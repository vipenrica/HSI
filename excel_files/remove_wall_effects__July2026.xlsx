
<file path=[Content_Types].xml><?xml version="1.0" encoding="utf-8"?>
<Types xmlns="http://schemas.openxmlformats.org/package/2006/content-types">
  <Default Extension="bin" ContentType="application/vnd.openxmlformats-officedocument.oleObjec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mailsc-my.sharepoint.com/personal/viparell_cec_sc_edu/Documents/in_use/lab_documents/"/>
    </mc:Choice>
  </mc:AlternateContent>
  <xr:revisionPtr revIDLastSave="71" documentId="8_{1BE231D8-5FBD-4CD7-971F-9DD695032F43}" xr6:coauthVersionLast="47" xr6:coauthVersionMax="47" xr10:uidLastSave="{5CC244BA-DF95-480C-80D1-8BD1D21F3716}"/>
  <bookViews>
    <workbookView xWindow="653" yWindow="2220" windowWidth="17790" windowHeight="7410" activeTab="1" xr2:uid="{00000000-000D-0000-FFFF-FFFF00000000}"/>
  </bookViews>
  <sheets>
    <sheet name="Formulation" sheetId="1" r:id="rId1"/>
    <sheet name="calculator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3" i="3" l="1"/>
  <c r="C41" i="3"/>
  <c r="C40" i="3"/>
  <c r="C20" i="3"/>
  <c r="E20" i="3" s="1"/>
  <c r="E10" i="3"/>
  <c r="E5" i="3"/>
  <c r="E6" i="3"/>
  <c r="E7" i="3"/>
  <c r="C18" i="3" s="1"/>
  <c r="E9" i="3"/>
  <c r="C16" i="3" l="1"/>
  <c r="C21" i="3" s="1"/>
  <c r="C19" i="3"/>
  <c r="C17" i="3" l="1"/>
  <c r="C22" i="3"/>
  <c r="C23" i="3" l="1"/>
  <c r="C24" i="3" s="1"/>
  <c r="S25" i="3" s="1"/>
  <c r="T25" i="3" s="1"/>
  <c r="U25" i="3" s="1"/>
  <c r="U26" i="3" s="1"/>
  <c r="V25" i="3" l="1"/>
  <c r="W25" i="3" s="1"/>
  <c r="W26" i="3" s="1"/>
  <c r="X25" i="3" l="1"/>
  <c r="Y25" i="3" s="1"/>
  <c r="V26" i="3"/>
  <c r="X26" i="3" l="1"/>
  <c r="Y26" i="3"/>
  <c r="Z25" i="3"/>
  <c r="AA25" i="3" l="1"/>
  <c r="Z26" i="3"/>
  <c r="AB25" i="3" l="1"/>
  <c r="AA26" i="3"/>
  <c r="AB26" i="3" l="1"/>
  <c r="AC25" i="3"/>
  <c r="AC26" i="3" l="1"/>
  <c r="AD25" i="3"/>
  <c r="AE25" i="3" l="1"/>
  <c r="AD26" i="3"/>
  <c r="AF25" i="3" l="1"/>
  <c r="AE26" i="3"/>
  <c r="AF26" i="3" l="1"/>
  <c r="AG25" i="3"/>
  <c r="AG26" i="3" l="1"/>
  <c r="AH25" i="3"/>
  <c r="AI25" i="3" l="1"/>
  <c r="AH26" i="3"/>
  <c r="AJ25" i="3" l="1"/>
  <c r="AI26" i="3"/>
  <c r="AJ26" i="3" l="1"/>
  <c r="AK25" i="3"/>
  <c r="AK26" i="3" l="1"/>
  <c r="AL25" i="3"/>
  <c r="AM25" i="3" l="1"/>
  <c r="AL26" i="3"/>
  <c r="AN25" i="3" l="1"/>
  <c r="AM26" i="3"/>
  <c r="AN26" i="3" l="1"/>
  <c r="AO25" i="3"/>
  <c r="AO26" i="3" l="1"/>
  <c r="AP25" i="3"/>
  <c r="AQ25" i="3" l="1"/>
  <c r="AP26" i="3"/>
  <c r="AR25" i="3" l="1"/>
  <c r="AQ26" i="3"/>
  <c r="AR26" i="3" l="1"/>
  <c r="AS25" i="3"/>
  <c r="AS26" i="3" l="1"/>
  <c r="AT25" i="3"/>
  <c r="AU25" i="3" l="1"/>
  <c r="AT26" i="3"/>
  <c r="AV25" i="3" l="1"/>
  <c r="AU26" i="3"/>
  <c r="AV26" i="3" l="1"/>
  <c r="AW25" i="3"/>
  <c r="AW26" i="3" l="1"/>
  <c r="AX25" i="3"/>
  <c r="AY25" i="3" l="1"/>
  <c r="AY26" i="3" s="1"/>
  <c r="AX26" i="3"/>
  <c r="AZ25" i="3" l="1"/>
  <c r="AZ26" i="3" l="1"/>
  <c r="BA25" i="3"/>
  <c r="BA26" i="3" l="1"/>
  <c r="BB25" i="3"/>
  <c r="BC25" i="3" l="1"/>
  <c r="BB26" i="3"/>
  <c r="BD25" i="3" l="1"/>
  <c r="BC26" i="3"/>
  <c r="BD26" i="3" l="1"/>
  <c r="BE25" i="3"/>
  <c r="BE26" i="3" l="1"/>
  <c r="BF25" i="3"/>
  <c r="BG25" i="3" l="1"/>
  <c r="BF26" i="3"/>
  <c r="BH25" i="3" l="1"/>
  <c r="BG26" i="3"/>
  <c r="BH26" i="3" l="1"/>
  <c r="BI25" i="3"/>
  <c r="BI26" i="3" l="1"/>
  <c r="BJ25" i="3"/>
  <c r="BK25" i="3" l="1"/>
  <c r="BJ26" i="3"/>
  <c r="BL25" i="3" l="1"/>
  <c r="BK26" i="3"/>
  <c r="BL26" i="3" l="1"/>
  <c r="BM25" i="3"/>
  <c r="BM26" i="3" l="1"/>
  <c r="BN25" i="3"/>
  <c r="BO25" i="3" l="1"/>
  <c r="BN26" i="3"/>
  <c r="BP25" i="3" l="1"/>
  <c r="BO26" i="3"/>
  <c r="BP26" i="3" l="1"/>
  <c r="BQ25" i="3"/>
  <c r="BQ26" i="3" l="1"/>
  <c r="C25" i="3"/>
  <c r="BR25" i="3"/>
  <c r="C26" i="3" l="1"/>
  <c r="E27" i="3" s="1"/>
  <c r="BR26" i="3"/>
  <c r="C31" i="3"/>
  <c r="C30" i="3"/>
  <c r="C27" i="3" l="1"/>
  <c r="C28" i="3" s="1"/>
  <c r="C32" i="3"/>
  <c r="C29" i="3" l="1"/>
  <c r="E29" i="3" s="1"/>
  <c r="S42" i="3" s="1"/>
  <c r="T42" i="3" s="1"/>
  <c r="E28" i="3"/>
  <c r="E33" i="3"/>
  <c r="C33" i="3" s="1"/>
  <c r="C34" i="3"/>
  <c r="U42" i="3" l="1"/>
  <c r="V42" i="3" l="1"/>
  <c r="W42" i="3" s="1"/>
  <c r="U43" i="3"/>
  <c r="V43" i="3" l="1"/>
  <c r="W43" i="3"/>
  <c r="X42" i="3"/>
  <c r="Y42" i="3" l="1"/>
  <c r="X43" i="3"/>
  <c r="Y43" i="3" l="1"/>
  <c r="Z42" i="3"/>
  <c r="Z43" i="3" l="1"/>
  <c r="AA42" i="3"/>
  <c r="AA43" i="3" l="1"/>
  <c r="AB42" i="3"/>
  <c r="AC42" i="3" l="1"/>
  <c r="AB43" i="3"/>
  <c r="AC43" i="3" l="1"/>
  <c r="AD42" i="3"/>
  <c r="AD43" i="3" l="1"/>
  <c r="AE42" i="3"/>
  <c r="AE43" i="3" l="1"/>
  <c r="AF42" i="3"/>
  <c r="AG42" i="3" l="1"/>
  <c r="AF43" i="3"/>
  <c r="AG43" i="3" l="1"/>
  <c r="AH42" i="3"/>
  <c r="AH43" i="3" l="1"/>
  <c r="AI42" i="3"/>
  <c r="AI43" i="3" l="1"/>
  <c r="AJ42" i="3"/>
  <c r="AK42" i="3" l="1"/>
  <c r="AJ43" i="3"/>
  <c r="AK43" i="3" l="1"/>
  <c r="AL42" i="3"/>
  <c r="AL43" i="3" l="1"/>
  <c r="AM42" i="3"/>
  <c r="AM43" i="3" l="1"/>
  <c r="AN42" i="3"/>
  <c r="AO42" i="3" l="1"/>
  <c r="AN43" i="3"/>
  <c r="AO43" i="3" l="1"/>
  <c r="AP42" i="3"/>
  <c r="AP43" i="3" l="1"/>
  <c r="AQ42" i="3"/>
  <c r="AQ43" i="3" l="1"/>
  <c r="AR42" i="3"/>
  <c r="AS42" i="3" l="1"/>
  <c r="AR43" i="3"/>
  <c r="AS43" i="3" l="1"/>
  <c r="AT42" i="3"/>
  <c r="AT43" i="3" l="1"/>
  <c r="AU42" i="3"/>
  <c r="AU43" i="3" l="1"/>
  <c r="AV42" i="3"/>
  <c r="AW42" i="3" l="1"/>
  <c r="AV43" i="3"/>
  <c r="AW43" i="3" l="1"/>
  <c r="AX42" i="3"/>
  <c r="AX43" i="3" l="1"/>
  <c r="AY42" i="3"/>
  <c r="AY43" i="3" l="1"/>
  <c r="AZ42" i="3"/>
  <c r="BA42" i="3" l="1"/>
  <c r="AZ43" i="3"/>
  <c r="BA43" i="3" l="1"/>
  <c r="BB42" i="3"/>
  <c r="BB43" i="3" l="1"/>
  <c r="BC42" i="3"/>
  <c r="BC43" i="3" l="1"/>
  <c r="BD42" i="3"/>
  <c r="BE42" i="3" l="1"/>
  <c r="BD43" i="3"/>
  <c r="BE43" i="3" l="1"/>
  <c r="BF42" i="3"/>
  <c r="BF43" i="3" l="1"/>
  <c r="BG42" i="3"/>
  <c r="BG43" i="3" l="1"/>
  <c r="BH42" i="3"/>
  <c r="BI42" i="3" l="1"/>
  <c r="BH43" i="3"/>
  <c r="BI43" i="3" l="1"/>
  <c r="BJ42" i="3"/>
  <c r="BJ43" i="3" l="1"/>
  <c r="BK42" i="3"/>
  <c r="BK43" i="3" l="1"/>
  <c r="BL42" i="3"/>
  <c r="BM42" i="3" l="1"/>
  <c r="BL43" i="3"/>
  <c r="BM43" i="3" l="1"/>
  <c r="BN42" i="3"/>
  <c r="BN43" i="3" l="1"/>
  <c r="BO42" i="3"/>
  <c r="BO43" i="3" l="1"/>
  <c r="BP42" i="3"/>
  <c r="BQ42" i="3" l="1"/>
  <c r="BP43" i="3"/>
  <c r="BQ43" i="3" l="1"/>
  <c r="BR42" i="3"/>
  <c r="E39" i="3" s="1"/>
  <c r="C42" i="3" s="1"/>
  <c r="BR43" i="3" l="1"/>
  <c r="C39" i="3" l="1"/>
</calcChain>
</file>

<file path=xl/sharedStrings.xml><?xml version="1.0" encoding="utf-8"?>
<sst xmlns="http://schemas.openxmlformats.org/spreadsheetml/2006/main" count="345" uniqueCount="247">
  <si>
    <t>Hydraulic radius for the bed region due to skin friction only</t>
    <phoneticPr fontId="0" type="noConversion"/>
  </si>
  <si>
    <t>Bed shear stress on the bed region due to skin friction only</t>
    <phoneticPr fontId="0" type="noConversion"/>
  </si>
  <si>
    <t>Side-wall corrected Shields parameter</t>
  </si>
  <si>
    <t>Nondimensional friction coefficient for the wall region  (calculation done in cells S24:BR26)</t>
  </si>
  <si>
    <t>Reynolds number for the wall region (calculation done in cells S24:BR26)</t>
  </si>
  <si>
    <r>
      <t>r</t>
    </r>
    <r>
      <rPr>
        <b/>
        <vertAlign val="subscript"/>
        <sz val="12"/>
        <rFont val="Arial"/>
        <family val="2"/>
      </rPr>
      <t>b</t>
    </r>
  </si>
  <si>
    <t>Hydraulic radius for the bed region</t>
  </si>
  <si>
    <t>COMPUTE THE FRICTION COEFFICIENT AND THE REYNOLDS NUMBER FOR THE WALL REGION</t>
  </si>
  <si>
    <r>
      <t xml:space="preserve">Calculation of bed shear stress due to skin friction alone, </t>
    </r>
    <r>
      <rPr>
        <b/>
        <sz val="14"/>
        <color indexed="10"/>
        <rFont val="Symbol"/>
        <family val="1"/>
      </rPr>
      <t>t</t>
    </r>
    <r>
      <rPr>
        <b/>
        <vertAlign val="subscript"/>
        <sz val="14"/>
        <color indexed="10"/>
        <rFont val="Arial"/>
        <family val="2"/>
      </rPr>
      <t>bs</t>
    </r>
    <r>
      <rPr>
        <b/>
        <sz val="14"/>
        <color indexed="10"/>
        <rFont val="Arial"/>
        <family val="2"/>
      </rPr>
      <t>*</t>
    </r>
  </si>
  <si>
    <r>
      <t>r</t>
    </r>
    <r>
      <rPr>
        <b/>
        <vertAlign val="subscript"/>
        <sz val="12"/>
        <rFont val="Arial"/>
        <family val="2"/>
      </rPr>
      <t>bs</t>
    </r>
  </si>
  <si>
    <r>
      <t>t</t>
    </r>
    <r>
      <rPr>
        <b/>
        <vertAlign val="subscript"/>
        <sz val="12"/>
        <rFont val="Arial"/>
        <family val="2"/>
      </rPr>
      <t>bs</t>
    </r>
  </si>
  <si>
    <r>
      <t>t</t>
    </r>
    <r>
      <rPr>
        <b/>
        <vertAlign val="subscript"/>
        <sz val="12"/>
        <rFont val="Arial"/>
        <family val="2"/>
      </rPr>
      <t>bs</t>
    </r>
    <r>
      <rPr>
        <b/>
        <vertAlign val="superscript"/>
        <sz val="12"/>
        <rFont val="Arial"/>
        <family val="2"/>
      </rPr>
      <t>*</t>
    </r>
  </si>
  <si>
    <t>Cz</t>
  </si>
  <si>
    <t>rbs</t>
  </si>
  <si>
    <r>
      <t>Coefficient such that roughness height k</t>
    </r>
    <r>
      <rPr>
        <b/>
        <vertAlign val="subscript"/>
        <sz val="12"/>
        <rFont val="Arial"/>
        <family val="2"/>
      </rPr>
      <t>s</t>
    </r>
    <r>
      <rPr>
        <b/>
        <sz val="12"/>
        <rFont val="Arial"/>
        <family val="2"/>
      </rPr>
      <t xml:space="preserve"> = n * D</t>
    </r>
    <r>
      <rPr>
        <b/>
        <vertAlign val="subscript"/>
        <sz val="12"/>
        <rFont val="Arial"/>
        <family val="2"/>
      </rPr>
      <t>90</t>
    </r>
  </si>
  <si>
    <r>
      <t>ITERATIVE COMPUTATION OF r</t>
    </r>
    <r>
      <rPr>
        <b/>
        <vertAlign val="subscript"/>
        <sz val="12"/>
        <color indexed="10"/>
        <rFont val="Arial"/>
        <family val="2"/>
      </rPr>
      <t>bs</t>
    </r>
  </si>
  <si>
    <t>Procedure implemented to compute the bed shear stress due to skin friction only</t>
  </si>
  <si>
    <r>
      <t>1) The roughness heigth for the skin friction is assumed to scale with the D</t>
    </r>
    <r>
      <rPr>
        <b/>
        <vertAlign val="subscript"/>
        <sz val="10"/>
        <rFont val="Arial"/>
        <family val="2"/>
      </rPr>
      <t>90</t>
    </r>
    <r>
      <rPr>
        <b/>
        <sz val="10"/>
        <rFont val="Arial"/>
        <family val="2"/>
      </rPr>
      <t xml:space="preserve"> of the sediment:</t>
    </r>
  </si>
  <si>
    <t>(i)</t>
  </si>
  <si>
    <t>2) The nondimensional Chezy friction coefficient due to skin friction is computed with the Keulegan Law:</t>
  </si>
  <si>
    <t>(ii)</t>
  </si>
  <si>
    <r>
      <t>where r</t>
    </r>
    <r>
      <rPr>
        <b/>
        <vertAlign val="subscript"/>
        <sz val="10"/>
        <rFont val="Arial"/>
        <family val="2"/>
      </rPr>
      <t>bs</t>
    </r>
    <r>
      <rPr>
        <b/>
        <sz val="10"/>
        <rFont val="Arial"/>
        <family val="2"/>
      </rPr>
      <t xml:space="preserve"> represents the hydraulic radius due to skin  friction only.</t>
    </r>
  </si>
  <si>
    <t>with two equations in two unknows that have to be solved iteratively (calculation done in cells S42: BR44 of the)</t>
  </si>
  <si>
    <t>worksheet calculator.</t>
  </si>
  <si>
    <t>If we use a Chezy formulation - equation (iii) below - and we compute the friction coefficient from the Keulegan Law, we have a problem</t>
  </si>
  <si>
    <t>(iii)</t>
  </si>
  <si>
    <t>3) Compute the shear stress due to skin friction only assuming normal flow</t>
  </si>
  <si>
    <t>(iv)</t>
  </si>
  <si>
    <t>(v)</t>
  </si>
  <si>
    <r>
      <t>4) Compute the Shields parameter due to skin friction only,</t>
    </r>
    <r>
      <rPr>
        <b/>
        <sz val="10"/>
        <rFont val="Symbol"/>
        <family val="1"/>
      </rPr>
      <t xml:space="preserve"> t</t>
    </r>
    <r>
      <rPr>
        <b/>
        <vertAlign val="subscript"/>
        <sz val="10"/>
        <rFont val="Arial"/>
        <family val="2"/>
      </rPr>
      <t>bs</t>
    </r>
    <r>
      <rPr>
        <b/>
        <vertAlign val="superscript"/>
        <sz val="10"/>
        <rFont val="Arial"/>
        <family val="2"/>
      </rPr>
      <t>*</t>
    </r>
  </si>
  <si>
    <t>S</t>
  </si>
  <si>
    <t>m/m</t>
  </si>
  <si>
    <t>Bed slope</t>
  </si>
  <si>
    <t>D</t>
  </si>
  <si>
    <t>mm</t>
  </si>
  <si>
    <r>
      <t>Characteristic diameter of the sediment (e.g. D</t>
    </r>
    <r>
      <rPr>
        <b/>
        <vertAlign val="subscript"/>
        <sz val="12"/>
        <rFont val="Arial"/>
        <family val="2"/>
      </rPr>
      <t>g</t>
    </r>
    <r>
      <rPr>
        <b/>
        <sz val="12"/>
        <rFont val="Arial"/>
        <family val="2"/>
      </rPr>
      <t>, D</t>
    </r>
    <r>
      <rPr>
        <b/>
        <vertAlign val="subscript"/>
        <sz val="12"/>
        <rFont val="Arial"/>
        <family val="2"/>
      </rPr>
      <t>50</t>
    </r>
    <r>
      <rPr>
        <b/>
        <sz val="12"/>
        <rFont val="Arial"/>
        <family val="2"/>
      </rPr>
      <t>, ...)</t>
    </r>
  </si>
  <si>
    <r>
      <t>D</t>
    </r>
    <r>
      <rPr>
        <b/>
        <vertAlign val="subscript"/>
        <sz val="12"/>
        <rFont val="Arial"/>
        <family val="2"/>
      </rPr>
      <t>90</t>
    </r>
  </si>
  <si>
    <r>
      <t>D</t>
    </r>
    <r>
      <rPr>
        <b/>
        <vertAlign val="subscript"/>
        <sz val="12"/>
        <rFont val="Arial"/>
        <family val="2"/>
      </rPr>
      <t>90</t>
    </r>
    <r>
      <rPr>
        <b/>
        <sz val="12"/>
        <rFont val="Arial"/>
        <family val="2"/>
      </rPr>
      <t xml:space="preserve"> of the sediment</t>
    </r>
  </si>
  <si>
    <t>r</t>
  </si>
  <si>
    <r>
      <t>kg/m</t>
    </r>
    <r>
      <rPr>
        <b/>
        <vertAlign val="superscript"/>
        <sz val="12"/>
        <rFont val="Arial"/>
        <family val="2"/>
      </rPr>
      <t>3</t>
    </r>
  </si>
  <si>
    <t>Density of the water</t>
  </si>
  <si>
    <r>
      <t>r</t>
    </r>
    <r>
      <rPr>
        <b/>
        <vertAlign val="subscript"/>
        <sz val="12"/>
        <rFont val="Arial"/>
        <family val="2"/>
      </rPr>
      <t>s</t>
    </r>
  </si>
  <si>
    <t>Density of the sediment</t>
  </si>
  <si>
    <t>g</t>
  </si>
  <si>
    <r>
      <t>m/s</t>
    </r>
    <r>
      <rPr>
        <b/>
        <vertAlign val="superscript"/>
        <sz val="12"/>
        <rFont val="Arial"/>
        <family val="2"/>
      </rPr>
      <t>2</t>
    </r>
  </si>
  <si>
    <t>Acceleration of gravity</t>
  </si>
  <si>
    <t>n</t>
  </si>
  <si>
    <r>
      <t>m</t>
    </r>
    <r>
      <rPr>
        <b/>
        <vertAlign val="superscript"/>
        <sz val="12"/>
        <rFont val="Arial"/>
        <family val="2"/>
      </rPr>
      <t>2</t>
    </r>
    <r>
      <rPr>
        <b/>
        <sz val="12"/>
        <rFont val="Arial"/>
        <family val="2"/>
      </rPr>
      <t>/s</t>
    </r>
  </si>
  <si>
    <t>Kinematic viscosity</t>
  </si>
  <si>
    <t>U</t>
  </si>
  <si>
    <t>m/s</t>
  </si>
  <si>
    <t>Flow velocity</t>
  </si>
  <si>
    <t>Fr</t>
  </si>
  <si>
    <t>Froude number</t>
  </si>
  <si>
    <t>Hydraulic radius for the entire cross section</t>
  </si>
  <si>
    <t>Nondimensional friction coefficient for the entire cross section</t>
  </si>
  <si>
    <t>Re</t>
  </si>
  <si>
    <t xml:space="preserve">Reynolds number for the entire cross section </t>
  </si>
  <si>
    <t>Ratio between the nondimensional friction coefficient and the Reynolds number</t>
  </si>
  <si>
    <t>Ratio between the Darcy-Weisbach friction coefficient and the Reynolds number</t>
  </si>
  <si>
    <r>
      <t>C</t>
    </r>
    <r>
      <rPr>
        <b/>
        <vertAlign val="subscript"/>
        <sz val="12"/>
        <rFont val="Arial"/>
        <family val="2"/>
      </rPr>
      <t>f</t>
    </r>
  </si>
  <si>
    <r>
      <t>C</t>
    </r>
    <r>
      <rPr>
        <b/>
        <vertAlign val="subscript"/>
        <sz val="12"/>
        <rFont val="Arial"/>
        <family val="2"/>
      </rPr>
      <t>f</t>
    </r>
    <r>
      <rPr>
        <b/>
        <sz val="12"/>
        <rFont val="Arial"/>
        <family val="2"/>
      </rPr>
      <t>/Re</t>
    </r>
  </si>
  <si>
    <r>
      <t>C</t>
    </r>
    <r>
      <rPr>
        <b/>
        <vertAlign val="subscript"/>
        <sz val="12"/>
        <rFont val="Arial"/>
        <family val="2"/>
      </rPr>
      <t>fw</t>
    </r>
  </si>
  <si>
    <r>
      <t>Re</t>
    </r>
    <r>
      <rPr>
        <b/>
        <vertAlign val="subscript"/>
        <sz val="12"/>
        <rFont val="Arial"/>
        <family val="2"/>
      </rPr>
      <t>w</t>
    </r>
  </si>
  <si>
    <t>Rew1</t>
  </si>
  <si>
    <t>fw0</t>
  </si>
  <si>
    <t>Rew0</t>
  </si>
  <si>
    <t>Rew2</t>
  </si>
  <si>
    <t>fw3</t>
  </si>
  <si>
    <t>Rew3</t>
  </si>
  <si>
    <t>fw4</t>
  </si>
  <si>
    <t>Rew4</t>
  </si>
  <si>
    <t>fw5</t>
  </si>
  <si>
    <t>Rew5</t>
  </si>
  <si>
    <t>fw6</t>
  </si>
  <si>
    <t>Rew6</t>
  </si>
  <si>
    <t>fw7</t>
  </si>
  <si>
    <t>Rew7</t>
  </si>
  <si>
    <t>fw8</t>
  </si>
  <si>
    <t>Rew8</t>
  </si>
  <si>
    <t>fw9</t>
  </si>
  <si>
    <t>Rew9</t>
  </si>
  <si>
    <t>fw10</t>
  </si>
  <si>
    <t>Rew10</t>
  </si>
  <si>
    <t>fw11</t>
  </si>
  <si>
    <t>Rew11</t>
  </si>
  <si>
    <t>fw12</t>
  </si>
  <si>
    <t>Rew12</t>
  </si>
  <si>
    <t>fw13</t>
  </si>
  <si>
    <t>Rew13</t>
  </si>
  <si>
    <t>fw14</t>
  </si>
  <si>
    <t>Rew14</t>
  </si>
  <si>
    <t>fw15</t>
  </si>
  <si>
    <t>Rew15</t>
  </si>
  <si>
    <t>fw16</t>
  </si>
  <si>
    <t>Rew16</t>
  </si>
  <si>
    <t>fw17</t>
  </si>
  <si>
    <t>Rew17</t>
  </si>
  <si>
    <t>fw18</t>
  </si>
  <si>
    <t>Rew18</t>
  </si>
  <si>
    <t>fw19</t>
  </si>
  <si>
    <t>Rew19</t>
  </si>
  <si>
    <t>fw20</t>
  </si>
  <si>
    <t>Rew20</t>
  </si>
  <si>
    <t>fw21</t>
  </si>
  <si>
    <t>Rew21</t>
  </si>
  <si>
    <t>fw22</t>
  </si>
  <si>
    <t>Rew22</t>
  </si>
  <si>
    <t>fw23</t>
  </si>
  <si>
    <t>Rew23</t>
  </si>
  <si>
    <t>fw24</t>
  </si>
  <si>
    <t>Rew24</t>
  </si>
  <si>
    <t>fw25</t>
  </si>
  <si>
    <t>Rew25</t>
  </si>
  <si>
    <t>error</t>
  </si>
  <si>
    <r>
      <t>A</t>
    </r>
    <r>
      <rPr>
        <b/>
        <vertAlign val="subscript"/>
        <sz val="12"/>
        <rFont val="Arial"/>
        <family val="2"/>
      </rPr>
      <t>w</t>
    </r>
  </si>
  <si>
    <r>
      <t>m</t>
    </r>
    <r>
      <rPr>
        <b/>
        <vertAlign val="superscript"/>
        <sz val="12"/>
        <rFont val="Arial"/>
        <family val="2"/>
      </rPr>
      <t>2</t>
    </r>
  </si>
  <si>
    <r>
      <t>cm</t>
    </r>
    <r>
      <rPr>
        <b/>
        <vertAlign val="superscript"/>
        <sz val="12"/>
        <rFont val="Arial"/>
        <family val="2"/>
      </rPr>
      <t>2</t>
    </r>
  </si>
  <si>
    <r>
      <t>r</t>
    </r>
    <r>
      <rPr>
        <b/>
        <sz val="10"/>
        <rFont val="Arial"/>
        <family val="2"/>
      </rPr>
      <t xml:space="preserve"> and </t>
    </r>
    <r>
      <rPr>
        <b/>
        <sz val="10"/>
        <rFont val="Symbol"/>
        <family val="1"/>
      </rPr>
      <t>r</t>
    </r>
    <r>
      <rPr>
        <b/>
        <vertAlign val="subscript"/>
        <sz val="10"/>
        <rFont val="Arial"/>
        <family val="2"/>
      </rPr>
      <t>s</t>
    </r>
    <r>
      <rPr>
        <b/>
        <sz val="10"/>
        <rFont val="Arial"/>
        <family val="2"/>
      </rPr>
      <t>, density of the water and of the sediment in kg/m</t>
    </r>
    <r>
      <rPr>
        <b/>
        <vertAlign val="superscript"/>
        <sz val="10"/>
        <rFont val="Arial"/>
        <family val="2"/>
      </rPr>
      <t>3</t>
    </r>
  </si>
  <si>
    <r>
      <t>A</t>
    </r>
    <r>
      <rPr>
        <b/>
        <vertAlign val="subscript"/>
        <sz val="12"/>
        <rFont val="Arial"/>
        <family val="2"/>
      </rPr>
      <t>b</t>
    </r>
  </si>
  <si>
    <t>Area of the wall region</t>
  </si>
  <si>
    <t>Area of the bed region</t>
  </si>
  <si>
    <t>Nondimensional friction coeffcient for the bed region</t>
  </si>
  <si>
    <r>
      <t>C</t>
    </r>
    <r>
      <rPr>
        <b/>
        <vertAlign val="subscript"/>
        <sz val="12"/>
        <rFont val="Arial"/>
        <family val="2"/>
      </rPr>
      <t>fb</t>
    </r>
  </si>
  <si>
    <r>
      <t>t</t>
    </r>
    <r>
      <rPr>
        <b/>
        <vertAlign val="subscript"/>
        <sz val="12"/>
        <rFont val="Arial"/>
        <family val="2"/>
      </rPr>
      <t>w</t>
    </r>
  </si>
  <si>
    <r>
      <t>t</t>
    </r>
    <r>
      <rPr>
        <b/>
        <vertAlign val="subscript"/>
        <sz val="12"/>
        <rFont val="Arial"/>
        <family val="2"/>
      </rPr>
      <t>b</t>
    </r>
  </si>
  <si>
    <t>Pa</t>
  </si>
  <si>
    <t>Shear stress in the wall region</t>
  </si>
  <si>
    <t>Shear stress in the bed region</t>
  </si>
  <si>
    <t>u*</t>
  </si>
  <si>
    <t>cm/s</t>
  </si>
  <si>
    <t>Side-wall corrected shear velocity</t>
  </si>
  <si>
    <r>
      <t>r</t>
    </r>
    <r>
      <rPr>
        <b/>
        <sz val="12"/>
        <rFont val="Arial"/>
        <family val="2"/>
      </rPr>
      <t>gHS</t>
    </r>
  </si>
  <si>
    <t>Downstream component of the gravity force per unit width and per unit lenght of the channel</t>
  </si>
  <si>
    <r>
      <t>t</t>
    </r>
    <r>
      <rPr>
        <b/>
        <vertAlign val="subscript"/>
        <sz val="12"/>
        <rFont val="Arial"/>
        <family val="2"/>
      </rPr>
      <t>b</t>
    </r>
    <r>
      <rPr>
        <b/>
        <sz val="12"/>
        <rFont val="Arial"/>
        <family val="2"/>
      </rPr>
      <t>*</t>
    </r>
  </si>
  <si>
    <r>
      <t>t</t>
    </r>
    <r>
      <rPr>
        <b/>
        <vertAlign val="subscript"/>
        <sz val="12"/>
        <rFont val="Arial"/>
        <family val="2"/>
      </rPr>
      <t>b,nc</t>
    </r>
    <r>
      <rPr>
        <b/>
        <sz val="12"/>
        <rFont val="Arial"/>
        <family val="2"/>
      </rPr>
      <t>*</t>
    </r>
  </si>
  <si>
    <t>Non corrected Shields parameter</t>
  </si>
  <si>
    <t>3) Use equation (5) to compute the ratio between the friction coefficient and the Reynolds number for the wall region</t>
  </si>
  <si>
    <t>(6)</t>
  </si>
  <si>
    <t>(c)</t>
  </si>
  <si>
    <r>
      <t>The first estimate of f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>, f</t>
    </r>
    <r>
      <rPr>
        <b/>
        <vertAlign val="subscript"/>
        <sz val="10"/>
        <rFont val="Arial"/>
        <family val="2"/>
      </rPr>
      <t>w,0</t>
    </r>
    <r>
      <rPr>
        <b/>
        <sz val="10"/>
        <rFont val="Arial"/>
        <family val="2"/>
      </rPr>
      <t>, is done with the equation of Blasius, as modified by Chiew and Parker in 1994</t>
    </r>
  </si>
  <si>
    <t>4) Compute the friction coefficient and the Reynolds number for the wall region with equation (6). Equation (6) has to be solved iteratively</t>
  </si>
  <si>
    <t xml:space="preserve">because the friction coefficient is on both sides of the equation. </t>
  </si>
  <si>
    <r>
      <t>where (f/Re) = 8(C</t>
    </r>
    <r>
      <rPr>
        <b/>
        <vertAlign val="subscript"/>
        <sz val="10"/>
        <rFont val="Arial"/>
        <family val="2"/>
      </rPr>
      <t>f</t>
    </r>
    <r>
      <rPr>
        <b/>
        <sz val="10"/>
        <rFont val="Arial"/>
        <family val="2"/>
      </rPr>
      <t>/Re) for the relation between the friction coefficents described above.</t>
    </r>
  </si>
  <si>
    <r>
      <t>The other estimates, f</t>
    </r>
    <r>
      <rPr>
        <b/>
        <vertAlign val="subscript"/>
        <sz val="10"/>
        <rFont val="Arial"/>
        <family val="2"/>
      </rPr>
      <t>w,i</t>
    </r>
    <r>
      <rPr>
        <b/>
        <sz val="10"/>
        <rFont val="Arial"/>
        <family val="2"/>
      </rPr>
      <t xml:space="preserve"> and Re</t>
    </r>
    <r>
      <rPr>
        <b/>
        <vertAlign val="subscript"/>
        <sz val="10"/>
        <rFont val="Arial"/>
        <family val="2"/>
      </rPr>
      <t>w,i</t>
    </r>
    <r>
      <rPr>
        <b/>
        <sz val="10"/>
        <rFont val="Arial"/>
        <family val="2"/>
      </rPr>
      <t>, are computed as a function of the values obtained one iteration before, f</t>
    </r>
    <r>
      <rPr>
        <b/>
        <vertAlign val="subscript"/>
        <sz val="10"/>
        <rFont val="Arial"/>
        <family val="2"/>
      </rPr>
      <t>w,i-1</t>
    </r>
    <r>
      <rPr>
        <b/>
        <sz val="10"/>
        <rFont val="Arial"/>
        <family val="2"/>
      </rPr>
      <t xml:space="preserve"> and Re</t>
    </r>
    <r>
      <rPr>
        <b/>
        <vertAlign val="subscript"/>
        <sz val="10"/>
        <rFont val="Arial"/>
        <family val="2"/>
      </rPr>
      <t>w,i-1</t>
    </r>
  </si>
  <si>
    <t>(d)</t>
  </si>
  <si>
    <t>5) Compute the area of the wall region from the definition of the Reynolds number</t>
  </si>
  <si>
    <t>(e)</t>
  </si>
  <si>
    <t>6) Compute the area of the bed region from equation (2)</t>
  </si>
  <si>
    <r>
      <t xml:space="preserve">the unknowns in equations 2, 3 and 5 are the friction coefficients for the bed and for the wall region, </t>
    </r>
    <r>
      <rPr>
        <b/>
        <sz val="10"/>
        <rFont val="Arial"/>
        <family val="2"/>
      </rPr>
      <t>C</t>
    </r>
    <r>
      <rPr>
        <b/>
        <vertAlign val="subscript"/>
        <sz val="10"/>
        <rFont val="Arial"/>
        <family val="2"/>
      </rPr>
      <t>fb</t>
    </r>
    <r>
      <rPr>
        <b/>
        <sz val="10"/>
        <rFont val="Arial"/>
        <family val="2"/>
      </rPr>
      <t xml:space="preserve"> and C</t>
    </r>
    <r>
      <rPr>
        <b/>
        <vertAlign val="subscript"/>
        <sz val="10"/>
        <rFont val="Arial"/>
        <family val="2"/>
      </rPr>
      <t>fw</t>
    </r>
    <r>
      <rPr>
        <b/>
        <sz val="10"/>
        <rFont val="Arial"/>
        <family val="2"/>
      </rPr>
      <t xml:space="preserve">, </t>
    </r>
  </si>
  <si>
    <t>7) Compute the friction coefficient for the bed region from equation (3)</t>
  </si>
  <si>
    <t>8) Compute the shear stress and the Shields number for the bed and for the wall region.</t>
  </si>
  <si>
    <t>9) Compute the side-wall corrected shear velocity, u*</t>
  </si>
  <si>
    <t>(f)</t>
  </si>
  <si>
    <r>
      <t>C</t>
    </r>
    <r>
      <rPr>
        <b/>
        <vertAlign val="subscript"/>
        <sz val="10"/>
        <rFont val="Arial"/>
        <family val="2"/>
      </rPr>
      <t>zb,d</t>
    </r>
    <r>
      <rPr>
        <b/>
        <sz val="10"/>
        <rFont val="Arial"/>
        <family val="2"/>
      </rPr>
      <t>, dimensional Chezy coefficient for the bed region</t>
    </r>
  </si>
  <si>
    <t xml:space="preserve">Relations between the nondimensional friction coefficients: </t>
  </si>
  <si>
    <t>f/Re</t>
  </si>
  <si>
    <t>fw1</t>
  </si>
  <si>
    <t>fw2</t>
  </si>
  <si>
    <t>The coefficient in the equation of Blasius is differentr from the coefficient in Chiew and Parker 1994 because of the</t>
  </si>
  <si>
    <t>different definition of the Reynolds number.</t>
  </si>
  <si>
    <t xml:space="preserve">INPUT PARAMETERS ARE IN YELLOW CELLS. </t>
  </si>
  <si>
    <t>OUTPUT PARAMETERS ARE IN BLUE CELLS</t>
  </si>
  <si>
    <t>USEFUL NUMBERS ARE IN GREEN CELLS</t>
  </si>
  <si>
    <t>Q</t>
  </si>
  <si>
    <t>l/s</t>
  </si>
  <si>
    <r>
      <t>m</t>
    </r>
    <r>
      <rPr>
        <b/>
        <vertAlign val="superscript"/>
        <sz val="12"/>
        <rFont val="Arial"/>
        <family val="2"/>
      </rPr>
      <t>3</t>
    </r>
    <r>
      <rPr>
        <b/>
        <sz val="12"/>
        <rFont val="Arial"/>
        <family val="2"/>
      </rPr>
      <t>/s</t>
    </r>
  </si>
  <si>
    <t>Water discharge</t>
  </si>
  <si>
    <t>B</t>
  </si>
  <si>
    <t>cm</t>
  </si>
  <si>
    <t>m</t>
  </si>
  <si>
    <t>Width of the flume</t>
  </si>
  <si>
    <t>H</t>
  </si>
  <si>
    <t>Water depth</t>
  </si>
  <si>
    <r>
      <t>r</t>
    </r>
    <r>
      <rPr>
        <b/>
        <vertAlign val="subscript"/>
        <sz val="10"/>
        <rFont val="Arial"/>
        <family val="2"/>
      </rPr>
      <t>b</t>
    </r>
    <r>
      <rPr>
        <b/>
        <sz val="10"/>
        <rFont val="Arial"/>
        <family val="2"/>
      </rPr>
      <t>, hydraulic radius for the bed region in cm</t>
    </r>
  </si>
  <si>
    <r>
      <t>r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>, hydraulic radius for the wall region in cm</t>
    </r>
  </si>
  <si>
    <t>The Darcy – Weisbach resistance relation can be applied to each region and to the entire cross section.</t>
  </si>
  <si>
    <t>Cf, nondimensional friction coefficient for the entire cross section</t>
  </si>
  <si>
    <t>Re, Reynolds number for the entire cross section, nondimensional parameter</t>
  </si>
  <si>
    <t>P, wetted perimeter of the enitre cross section in cm</t>
  </si>
  <si>
    <t xml:space="preserve">Mean flow velocity: </t>
  </si>
  <si>
    <t xml:space="preserve">Froude Number: </t>
  </si>
  <si>
    <t>Wetted perimeters:</t>
  </si>
  <si>
    <t xml:space="preserve">Hydraulic radii: </t>
  </si>
  <si>
    <t>Shear stresses:</t>
  </si>
  <si>
    <t>Shields parameters:</t>
  </si>
  <si>
    <t>Reynolds numbers:</t>
  </si>
  <si>
    <t>Formulation of the problem, Chiew and Parker, 1994</t>
  </si>
  <si>
    <t xml:space="preserve">Darcy-Weisbach resistance relation: </t>
  </si>
  <si>
    <t>The wetted perimeter of the entire cross section is the sum of the wetted perimeter of the bed and of the wall region</t>
  </si>
  <si>
    <t>(1)</t>
  </si>
  <si>
    <t>The equation of conservation of water mass</t>
  </si>
  <si>
    <t>(2)</t>
  </si>
  <si>
    <t>reduces to</t>
  </si>
  <si>
    <t>(3)</t>
  </si>
  <si>
    <t xml:space="preserve">and the equation of conservation of streamwise momentum </t>
  </si>
  <si>
    <t>because the mean flow velocity, U, is the same for the entire cross section, for the bed and for the wall region.</t>
  </si>
  <si>
    <t>The energy gradient, S, is assumed to be the same in the entire cross section, in the bed and in the wall region.</t>
  </si>
  <si>
    <t>This condition can be expressed with the Darcy-Weisbach resistance relation as:</t>
  </si>
  <si>
    <t>(4)</t>
  </si>
  <si>
    <t xml:space="preserve">recalling the definition of the Reynolds number, </t>
  </si>
  <si>
    <t>equation (4) can be rewritten as</t>
  </si>
  <si>
    <t>(5)</t>
  </si>
  <si>
    <t>Procedure implemented to solve the equations</t>
  </si>
  <si>
    <r>
      <t>the area of the bed region, A</t>
    </r>
    <r>
      <rPr>
        <b/>
        <vertAlign val="subscript"/>
        <sz val="10"/>
        <rFont val="Arial"/>
        <family val="2"/>
      </rPr>
      <t>b</t>
    </r>
    <r>
      <rPr>
        <b/>
        <sz val="10"/>
        <rFont val="Arial"/>
        <family val="2"/>
      </rPr>
      <t>, and the area of the wall region, A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>.</t>
    </r>
  </si>
  <si>
    <t>The friction coefficient for the wall region can be cmputed with a relation for smooth pipes (Nikuradse in this excel spreadsheet).</t>
  </si>
  <si>
    <t>1) Compute the friction coefficient for the entire cross section with the Darcy-Waisbach resistance relation:</t>
  </si>
  <si>
    <t>(a)</t>
  </si>
  <si>
    <t>2) Compute the ratio between the friction coefficient and the Reynolds number for the entire cross section</t>
  </si>
  <si>
    <t>(b)</t>
  </si>
  <si>
    <t>Known parameters:</t>
  </si>
  <si>
    <t>D, characteristic grain size of the sediment (i.e. median or mean diameter) in mm</t>
  </si>
  <si>
    <t>Q, water discharge in l/s</t>
  </si>
  <si>
    <t>S, slope in m/m</t>
  </si>
  <si>
    <t>B, flume width in cm</t>
  </si>
  <si>
    <t>H, water depth in cm</t>
  </si>
  <si>
    <t>Unknown parameters:</t>
  </si>
  <si>
    <t>U, mean flow velocity in m/s</t>
  </si>
  <si>
    <t>Fr, Froude number, non dimensional parameter</t>
  </si>
  <si>
    <r>
      <t>D</t>
    </r>
    <r>
      <rPr>
        <b/>
        <vertAlign val="subscript"/>
        <sz val="10"/>
        <rFont val="Arial"/>
        <family val="2"/>
      </rPr>
      <t>90</t>
    </r>
    <r>
      <rPr>
        <b/>
        <sz val="10"/>
        <rFont val="Arial"/>
        <family val="2"/>
      </rPr>
      <t>, diameter such that the 90% of the sediment is finer in mm</t>
    </r>
  </si>
  <si>
    <r>
      <t>n</t>
    </r>
    <r>
      <rPr>
        <b/>
        <sz val="10"/>
        <rFont val="Arial"/>
        <family val="2"/>
      </rPr>
      <t>, kinematic viscosity of the water in m</t>
    </r>
    <r>
      <rPr>
        <b/>
        <vertAlign val="superscript"/>
        <sz val="10"/>
        <rFont val="Arial"/>
        <family val="2"/>
      </rPr>
      <t>2</t>
    </r>
    <r>
      <rPr>
        <b/>
        <sz val="10"/>
        <rFont val="Arial"/>
        <family val="2"/>
      </rPr>
      <t>/s</t>
    </r>
  </si>
  <si>
    <r>
      <t>g, acceleration of gravity in m/s</t>
    </r>
    <r>
      <rPr>
        <b/>
        <vertAlign val="superscript"/>
        <sz val="10"/>
        <rFont val="Arial"/>
        <family val="2"/>
      </rPr>
      <t>2</t>
    </r>
  </si>
  <si>
    <r>
      <t>A, area of the cross section in cm</t>
    </r>
    <r>
      <rPr>
        <b/>
        <vertAlign val="superscript"/>
        <sz val="10"/>
        <rFont val="Arial"/>
        <family val="2"/>
      </rPr>
      <t>2</t>
    </r>
  </si>
  <si>
    <r>
      <t>A</t>
    </r>
    <r>
      <rPr>
        <b/>
        <vertAlign val="subscript"/>
        <sz val="10"/>
        <rFont val="Arial"/>
        <family val="2"/>
      </rPr>
      <t>b</t>
    </r>
    <r>
      <rPr>
        <b/>
        <sz val="10"/>
        <rFont val="Arial"/>
        <family val="2"/>
      </rPr>
      <t>, area of the bed region in cm</t>
    </r>
    <r>
      <rPr>
        <b/>
        <vertAlign val="superscript"/>
        <sz val="10"/>
        <rFont val="Arial"/>
        <family val="2"/>
      </rPr>
      <t>2</t>
    </r>
  </si>
  <si>
    <r>
      <t>P</t>
    </r>
    <r>
      <rPr>
        <b/>
        <vertAlign val="subscript"/>
        <sz val="10"/>
        <rFont val="Arial"/>
        <family val="2"/>
      </rPr>
      <t>b</t>
    </r>
    <r>
      <rPr>
        <b/>
        <sz val="10"/>
        <rFont val="Arial"/>
        <family val="2"/>
      </rPr>
      <t>, wetted perimeter of the bed region in cm</t>
    </r>
  </si>
  <si>
    <r>
      <t>P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>, wetted perimeter of the wall region in cm</t>
    </r>
  </si>
  <si>
    <r>
      <t>A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>, area of the wall region in cm</t>
    </r>
    <r>
      <rPr>
        <b/>
        <vertAlign val="superscript"/>
        <sz val="10"/>
        <rFont val="Arial"/>
        <family val="2"/>
      </rPr>
      <t>2</t>
    </r>
  </si>
  <si>
    <r>
      <t>t</t>
    </r>
    <r>
      <rPr>
        <b/>
        <vertAlign val="subscript"/>
        <sz val="10"/>
        <rFont val="Arial"/>
        <family val="2"/>
      </rPr>
      <t>b</t>
    </r>
    <r>
      <rPr>
        <b/>
        <sz val="10"/>
        <rFont val="Arial"/>
        <family val="2"/>
      </rPr>
      <t>, shear stress in the bed region in Pa</t>
    </r>
  </si>
  <si>
    <r>
      <t>t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>, shear stress in the wall region in Pa</t>
    </r>
  </si>
  <si>
    <r>
      <t>C</t>
    </r>
    <r>
      <rPr>
        <b/>
        <vertAlign val="subscript"/>
        <sz val="10"/>
        <rFont val="Arial"/>
        <family val="2"/>
      </rPr>
      <t>fb</t>
    </r>
    <r>
      <rPr>
        <b/>
        <sz val="10"/>
        <rFont val="Arial"/>
        <family val="2"/>
      </rPr>
      <t>, nondimensional friction coeffcient for the bed region</t>
    </r>
  </si>
  <si>
    <r>
      <t>C</t>
    </r>
    <r>
      <rPr>
        <b/>
        <vertAlign val="subscript"/>
        <sz val="10"/>
        <rFont val="Arial"/>
        <family val="2"/>
      </rPr>
      <t>fw</t>
    </r>
    <r>
      <rPr>
        <b/>
        <sz val="10"/>
        <rFont val="Arial"/>
        <family val="2"/>
      </rPr>
      <t xml:space="preserve">, nondimensional friction coefficient for the wall region </t>
    </r>
  </si>
  <si>
    <r>
      <t>Re</t>
    </r>
    <r>
      <rPr>
        <b/>
        <vertAlign val="subscript"/>
        <sz val="10"/>
        <rFont val="Arial"/>
        <family val="2"/>
      </rPr>
      <t>b</t>
    </r>
    <r>
      <rPr>
        <b/>
        <sz val="10"/>
        <rFont val="Arial"/>
        <family val="2"/>
      </rPr>
      <t>, Reynolds number for the bed region nondimensional parameter</t>
    </r>
  </si>
  <si>
    <r>
      <t>Re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>, Reynolds number for the wall region non dimensional parameter</t>
    </r>
  </si>
  <si>
    <r>
      <t>t</t>
    </r>
    <r>
      <rPr>
        <b/>
        <vertAlign val="subscript"/>
        <sz val="10"/>
        <rFont val="Arial"/>
        <family val="2"/>
      </rPr>
      <t>b</t>
    </r>
    <r>
      <rPr>
        <b/>
        <vertAlign val="superscript"/>
        <sz val="10"/>
        <rFont val="Arial"/>
        <family val="2"/>
      </rPr>
      <t>*</t>
    </r>
    <r>
      <rPr>
        <b/>
        <sz val="10"/>
        <rFont val="Arial"/>
        <family val="2"/>
      </rPr>
      <t>, Shields number for the bed region, nondimensional</t>
    </r>
  </si>
  <si>
    <r>
      <t>t</t>
    </r>
    <r>
      <rPr>
        <b/>
        <vertAlign val="subscript"/>
        <sz val="10"/>
        <rFont val="Arial"/>
        <family val="2"/>
      </rPr>
      <t>w</t>
    </r>
    <r>
      <rPr>
        <b/>
        <vertAlign val="superscript"/>
        <sz val="10"/>
        <rFont val="Arial"/>
        <family val="2"/>
      </rPr>
      <t>*</t>
    </r>
    <r>
      <rPr>
        <b/>
        <sz val="10"/>
        <rFont val="Arial"/>
        <family val="2"/>
      </rPr>
      <t>, Shields number for the wall region, nondimensional</t>
    </r>
  </si>
  <si>
    <t>Main assumptions</t>
  </si>
  <si>
    <t>The assumption is that the cross section can be divided in two non-interacting regions: the bed region and the wall region.</t>
  </si>
  <si>
    <t>In these regions the streamwise component of gravity force is balanced by shear stresses on the wall and on the bed.</t>
  </si>
  <si>
    <t>Mean flow velocities, U, and energy gradients, S, are assumed to be the same in the wall and in the bed region.</t>
  </si>
  <si>
    <t>f, Darcy-Weisbach friction coefficient for the entire cross section</t>
  </si>
  <si>
    <r>
      <t>f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>, Darcy-Weisbach friction coefficient for the wall region</t>
    </r>
  </si>
  <si>
    <t>Definition of some parameters</t>
  </si>
  <si>
    <t>r, hydraulic radius for the cross section in cm</t>
  </si>
  <si>
    <t>j</t>
  </si>
  <si>
    <t xml:space="preserve">Bed Shields number due to skin friction </t>
  </si>
  <si>
    <t>Fraction of the bed shear stress associated with skin friction. If equal to 1 there is no form drag</t>
  </si>
  <si>
    <r>
      <t>C</t>
    </r>
    <r>
      <rPr>
        <b/>
        <vertAlign val="subscript"/>
        <sz val="12"/>
        <rFont val="Arial"/>
        <family val="2"/>
      </rPr>
      <t>fbs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</si>
</sst>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_);[Red]\(0.000\)"/>
    <numFmt numFmtId="165" formatCode="0.000"/>
    <numFmt numFmtId="166" formatCode="0.0000"/>
    <numFmt numFmtId="167" formatCode="0.0E+00"/>
    <numFmt numFmtId="168" formatCode="0.E+00"/>
    <numFmt numFmtId="169" formatCode="0.0"/>
    <numFmt numFmtId="171" formatCode="0.0_);[Red]\(0.0\)"/>
    <numFmt numFmtId="172" formatCode="0.0000_);[Red]\(0.0000\)"/>
  </numFmts>
  <fonts count="17" x14ac:knownFonts="1">
    <font>
      <sz val="10"/>
      <name val="Arial"/>
    </font>
    <font>
      <b/>
      <sz val="12"/>
      <name val="Arial"/>
      <family val="2"/>
    </font>
    <font>
      <b/>
      <sz val="10"/>
      <name val="Arial"/>
      <family val="2"/>
    </font>
    <font>
      <b/>
      <vertAlign val="subscript"/>
      <sz val="10"/>
      <name val="Arial"/>
      <family val="2"/>
    </font>
    <font>
      <b/>
      <sz val="10"/>
      <name val="Symbol"/>
      <family val="1"/>
    </font>
    <font>
      <b/>
      <vertAlign val="superscript"/>
      <sz val="10"/>
      <name val="Arial"/>
      <family val="2"/>
    </font>
    <font>
      <b/>
      <sz val="12"/>
      <color indexed="10"/>
      <name val="Arial"/>
      <family val="2"/>
    </font>
    <font>
      <b/>
      <vertAlign val="superscript"/>
      <sz val="12"/>
      <name val="Arial"/>
      <family val="2"/>
    </font>
    <font>
      <b/>
      <vertAlign val="subscript"/>
      <sz val="12"/>
      <name val="Arial"/>
      <family val="2"/>
    </font>
    <font>
      <b/>
      <sz val="12"/>
      <name val="Arial"/>
      <family val="2"/>
    </font>
    <font>
      <b/>
      <sz val="12"/>
      <name val="Symbol"/>
      <family val="1"/>
    </font>
    <font>
      <sz val="12"/>
      <name val="Symbol"/>
      <family val="1"/>
    </font>
    <font>
      <b/>
      <vertAlign val="subscript"/>
      <sz val="12"/>
      <color indexed="10"/>
      <name val="Arial"/>
      <family val="2"/>
    </font>
    <font>
      <b/>
      <sz val="14"/>
      <color indexed="10"/>
      <name val="Arial"/>
      <family val="2"/>
    </font>
    <font>
      <b/>
      <sz val="14"/>
      <color indexed="10"/>
      <name val="Symbol"/>
      <family val="1"/>
    </font>
    <font>
      <b/>
      <vertAlign val="subscript"/>
      <sz val="14"/>
      <color indexed="10"/>
      <name val="Arial"/>
      <family val="2"/>
    </font>
    <font>
      <b/>
      <sz val="12"/>
      <name val="Symbol"/>
      <charset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6" fillId="2" borderId="0" xfId="0" applyFont="1" applyFill="1"/>
    <xf numFmtId="0" fontId="1" fillId="2" borderId="0" xfId="0" applyFont="1" applyFill="1"/>
    <xf numFmtId="0" fontId="2" fillId="2" borderId="0" xfId="0" applyFont="1" applyFill="1"/>
    <xf numFmtId="0" fontId="4" fillId="2" borderId="0" xfId="0" applyFont="1" applyFill="1"/>
    <xf numFmtId="0" fontId="0" fillId="2" borderId="0" xfId="0" applyFill="1"/>
    <xf numFmtId="49" fontId="2" fillId="2" borderId="0" xfId="0" applyNumberFormat="1" applyFont="1" applyFill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left"/>
    </xf>
    <xf numFmtId="0" fontId="9" fillId="0" borderId="0" xfId="0" applyFont="1"/>
    <xf numFmtId="166" fontId="1" fillId="5" borderId="1" xfId="0" applyNumberFormat="1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165" fontId="1" fillId="4" borderId="1" xfId="0" applyNumberFormat="1" applyFont="1" applyFill="1" applyBorder="1" applyAlignment="1">
      <alignment horizontal="center"/>
    </xf>
    <xf numFmtId="166" fontId="1" fillId="4" borderId="1" xfId="0" applyNumberFormat="1" applyFont="1" applyFill="1" applyBorder="1" applyAlignment="1">
      <alignment horizontal="center"/>
    </xf>
    <xf numFmtId="167" fontId="1" fillId="5" borderId="1" xfId="0" applyNumberFormat="1" applyFont="1" applyFill="1" applyBorder="1" applyAlignment="1">
      <alignment horizontal="center"/>
    </xf>
    <xf numFmtId="169" fontId="1" fillId="5" borderId="1" xfId="0" applyNumberFormat="1" applyFont="1" applyFill="1" applyBorder="1" applyAlignment="1">
      <alignment horizontal="center"/>
    </xf>
    <xf numFmtId="0" fontId="11" fillId="2" borderId="0" xfId="0" applyFont="1" applyFill="1" applyAlignment="1">
      <alignment horizontal="center"/>
    </xf>
    <xf numFmtId="0" fontId="13" fillId="2" borderId="0" xfId="0" applyFont="1" applyFill="1" applyAlignment="1">
      <alignment horizontal="left"/>
    </xf>
    <xf numFmtId="11" fontId="9" fillId="2" borderId="0" xfId="0" applyNumberFormat="1" applyFont="1" applyFill="1"/>
    <xf numFmtId="2" fontId="1" fillId="2" borderId="0" xfId="0" applyNumberFormat="1" applyFont="1" applyFill="1" applyAlignment="1">
      <alignment horizontal="center"/>
    </xf>
    <xf numFmtId="0" fontId="9" fillId="2" borderId="0" xfId="0" applyFont="1" applyFill="1"/>
    <xf numFmtId="168" fontId="9" fillId="2" borderId="0" xfId="0" applyNumberFormat="1" applyFont="1" applyFill="1"/>
    <xf numFmtId="0" fontId="16" fillId="2" borderId="0" xfId="0" applyFont="1" applyFill="1" applyAlignment="1">
      <alignment horizontal="center"/>
    </xf>
    <xf numFmtId="2" fontId="9" fillId="2" borderId="0" xfId="0" applyNumberFormat="1" applyFont="1" applyFill="1"/>
    <xf numFmtId="169" fontId="9" fillId="2" borderId="0" xfId="0" applyNumberFormat="1" applyFont="1" applyFill="1"/>
    <xf numFmtId="171" fontId="1" fillId="5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172" fontId="1" fillId="5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9.emf"/></Relationships>
</file>

<file path=xl/drawings/_rels/vmlDrawing1.v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wmf"/><Relationship Id="rId18" Type="http://schemas.openxmlformats.org/officeDocument/2006/relationships/image" Target="../media/image18.wmf"/><Relationship Id="rId26" Type="http://schemas.openxmlformats.org/officeDocument/2006/relationships/image" Target="../media/image26.wmf"/><Relationship Id="rId21" Type="http://schemas.openxmlformats.org/officeDocument/2006/relationships/image" Target="../media/image21.wmf"/><Relationship Id="rId34" Type="http://schemas.openxmlformats.org/officeDocument/2006/relationships/image" Target="../media/image34.wmf"/><Relationship Id="rId7" Type="http://schemas.openxmlformats.org/officeDocument/2006/relationships/image" Target="../media/image7.wmf"/><Relationship Id="rId12" Type="http://schemas.openxmlformats.org/officeDocument/2006/relationships/image" Target="../media/image12.wmf"/><Relationship Id="rId17" Type="http://schemas.openxmlformats.org/officeDocument/2006/relationships/image" Target="../media/image17.wmf"/><Relationship Id="rId25" Type="http://schemas.openxmlformats.org/officeDocument/2006/relationships/image" Target="../media/image25.wmf"/><Relationship Id="rId33" Type="http://schemas.openxmlformats.org/officeDocument/2006/relationships/image" Target="../media/image33.wmf"/><Relationship Id="rId38" Type="http://schemas.openxmlformats.org/officeDocument/2006/relationships/image" Target="../media/image38.wmf"/><Relationship Id="rId2" Type="http://schemas.openxmlformats.org/officeDocument/2006/relationships/image" Target="../media/image2.wmf"/><Relationship Id="rId16" Type="http://schemas.openxmlformats.org/officeDocument/2006/relationships/image" Target="../media/image16.wmf"/><Relationship Id="rId20" Type="http://schemas.openxmlformats.org/officeDocument/2006/relationships/image" Target="../media/image20.wmf"/><Relationship Id="rId29" Type="http://schemas.openxmlformats.org/officeDocument/2006/relationships/image" Target="../media/image29.wmf"/><Relationship Id="rId1" Type="http://schemas.openxmlformats.org/officeDocument/2006/relationships/image" Target="../media/image1.wmf"/><Relationship Id="rId6" Type="http://schemas.openxmlformats.org/officeDocument/2006/relationships/image" Target="../media/image6.wmf"/><Relationship Id="rId11" Type="http://schemas.openxmlformats.org/officeDocument/2006/relationships/image" Target="../media/image11.wmf"/><Relationship Id="rId24" Type="http://schemas.openxmlformats.org/officeDocument/2006/relationships/image" Target="../media/image24.wmf"/><Relationship Id="rId32" Type="http://schemas.openxmlformats.org/officeDocument/2006/relationships/image" Target="../media/image32.wmf"/><Relationship Id="rId37" Type="http://schemas.openxmlformats.org/officeDocument/2006/relationships/image" Target="../media/image37.wmf"/><Relationship Id="rId5" Type="http://schemas.openxmlformats.org/officeDocument/2006/relationships/image" Target="../media/image5.wmf"/><Relationship Id="rId15" Type="http://schemas.openxmlformats.org/officeDocument/2006/relationships/image" Target="../media/image15.wmf"/><Relationship Id="rId23" Type="http://schemas.openxmlformats.org/officeDocument/2006/relationships/image" Target="../media/image23.wmf"/><Relationship Id="rId28" Type="http://schemas.openxmlformats.org/officeDocument/2006/relationships/image" Target="../media/image28.wmf"/><Relationship Id="rId36" Type="http://schemas.openxmlformats.org/officeDocument/2006/relationships/image" Target="../media/image36.wmf"/><Relationship Id="rId10" Type="http://schemas.openxmlformats.org/officeDocument/2006/relationships/image" Target="../media/image10.wmf"/><Relationship Id="rId19" Type="http://schemas.openxmlformats.org/officeDocument/2006/relationships/image" Target="../media/image19.wmf"/><Relationship Id="rId31" Type="http://schemas.openxmlformats.org/officeDocument/2006/relationships/image" Target="../media/image31.wmf"/><Relationship Id="rId4" Type="http://schemas.openxmlformats.org/officeDocument/2006/relationships/image" Target="../media/image4.wmf"/><Relationship Id="rId9" Type="http://schemas.openxmlformats.org/officeDocument/2006/relationships/image" Target="../media/image9.wmf"/><Relationship Id="rId14" Type="http://schemas.openxmlformats.org/officeDocument/2006/relationships/image" Target="../media/image14.wmf"/><Relationship Id="rId22" Type="http://schemas.openxmlformats.org/officeDocument/2006/relationships/image" Target="../media/image22.wmf"/><Relationship Id="rId27" Type="http://schemas.openxmlformats.org/officeDocument/2006/relationships/image" Target="../media/image27.wmf"/><Relationship Id="rId30" Type="http://schemas.openxmlformats.org/officeDocument/2006/relationships/image" Target="../media/image30.wmf"/><Relationship Id="rId35" Type="http://schemas.openxmlformats.org/officeDocument/2006/relationships/image" Target="../media/image35.wmf"/><Relationship Id="rId8" Type="http://schemas.openxmlformats.org/officeDocument/2006/relationships/image" Target="../media/image8.wmf"/><Relationship Id="rId3" Type="http://schemas.openxmlformats.org/officeDocument/2006/relationships/image" Target="../media/image3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495300</xdr:colOff>
      <xdr:row>93</xdr:row>
      <xdr:rowOff>114300</xdr:rowOff>
    </xdr:from>
    <xdr:to>
      <xdr:col>4</xdr:col>
      <xdr:colOff>508000</xdr:colOff>
      <xdr:row>95</xdr:row>
      <xdr:rowOff>101600</xdr:rowOff>
    </xdr:to>
    <xdr:pic>
      <xdr:nvPicPr>
        <xdr:cNvPr id="1091" name="Picture 34">
          <a:extLst>
            <a:ext uri="{FF2B5EF4-FFF2-40B4-BE49-F238E27FC236}">
              <a16:creationId xmlns:a16="http://schemas.microsoft.com/office/drawing/2014/main" id="{00000000-0008-0000-0000-00004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90800" y="16205200"/>
          <a:ext cx="711200" cy="317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52388</xdr:colOff>
          <xdr:row>30</xdr:row>
          <xdr:rowOff>114300</xdr:rowOff>
        </xdr:from>
        <xdr:to>
          <xdr:col>4</xdr:col>
          <xdr:colOff>190500</xdr:colOff>
          <xdr:row>32</xdr:row>
          <xdr:rowOff>100013</xdr:rowOff>
        </xdr:to>
        <xdr:sp macro="" textlink="">
          <xdr:nvSpPr>
            <xdr:cNvPr id="1026" name="Object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519113</xdr:colOff>
          <xdr:row>33</xdr:row>
          <xdr:rowOff>90488</xdr:rowOff>
        </xdr:from>
        <xdr:to>
          <xdr:col>4</xdr:col>
          <xdr:colOff>495300</xdr:colOff>
          <xdr:row>35</xdr:row>
          <xdr:rowOff>138113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37</xdr:row>
          <xdr:rowOff>14288</xdr:rowOff>
        </xdr:from>
        <xdr:to>
          <xdr:col>3</xdr:col>
          <xdr:colOff>661988</xdr:colOff>
          <xdr:row>37</xdr:row>
          <xdr:rowOff>152400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76200</xdr:colOff>
          <xdr:row>37</xdr:row>
          <xdr:rowOff>0</xdr:rowOff>
        </xdr:from>
        <xdr:to>
          <xdr:col>4</xdr:col>
          <xdr:colOff>481013</xdr:colOff>
          <xdr:row>38</xdr:row>
          <xdr:rowOff>14288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647700</xdr:colOff>
          <xdr:row>36</xdr:row>
          <xdr:rowOff>152400</xdr:rowOff>
        </xdr:from>
        <xdr:to>
          <xdr:col>5</xdr:col>
          <xdr:colOff>442913</xdr:colOff>
          <xdr:row>38</xdr:row>
          <xdr:rowOff>0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457200</xdr:colOff>
          <xdr:row>38</xdr:row>
          <xdr:rowOff>100013</xdr:rowOff>
        </xdr:from>
        <xdr:to>
          <xdr:col>3</xdr:col>
          <xdr:colOff>685800</xdr:colOff>
          <xdr:row>40</xdr:row>
          <xdr:rowOff>90488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114300</xdr:colOff>
          <xdr:row>38</xdr:row>
          <xdr:rowOff>90488</xdr:rowOff>
        </xdr:from>
        <xdr:to>
          <xdr:col>5</xdr:col>
          <xdr:colOff>214313</xdr:colOff>
          <xdr:row>40</xdr:row>
          <xdr:rowOff>114300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419100</xdr:colOff>
          <xdr:row>38</xdr:row>
          <xdr:rowOff>90488</xdr:rowOff>
        </xdr:from>
        <xdr:to>
          <xdr:col>6</xdr:col>
          <xdr:colOff>585788</xdr:colOff>
          <xdr:row>40</xdr:row>
          <xdr:rowOff>114300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23813</xdr:colOff>
          <xdr:row>41</xdr:row>
          <xdr:rowOff>90488</xdr:rowOff>
        </xdr:from>
        <xdr:to>
          <xdr:col>7</xdr:col>
          <xdr:colOff>457200</xdr:colOff>
          <xdr:row>43</xdr:row>
          <xdr:rowOff>90488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43</xdr:row>
          <xdr:rowOff>152400</xdr:rowOff>
        </xdr:from>
        <xdr:to>
          <xdr:col>5</xdr:col>
          <xdr:colOff>190500</xdr:colOff>
          <xdr:row>45</xdr:row>
          <xdr:rowOff>14288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433388</xdr:colOff>
          <xdr:row>43</xdr:row>
          <xdr:rowOff>152400</xdr:rowOff>
        </xdr:from>
        <xdr:to>
          <xdr:col>6</xdr:col>
          <xdr:colOff>633413</xdr:colOff>
          <xdr:row>45</xdr:row>
          <xdr:rowOff>0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595313</xdr:colOff>
          <xdr:row>45</xdr:row>
          <xdr:rowOff>100013</xdr:rowOff>
        </xdr:from>
        <xdr:to>
          <xdr:col>6</xdr:col>
          <xdr:colOff>280988</xdr:colOff>
          <xdr:row>47</xdr:row>
          <xdr:rowOff>114300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419100</xdr:colOff>
          <xdr:row>45</xdr:row>
          <xdr:rowOff>114300</xdr:rowOff>
        </xdr:from>
        <xdr:to>
          <xdr:col>8</xdr:col>
          <xdr:colOff>128588</xdr:colOff>
          <xdr:row>47</xdr:row>
          <xdr:rowOff>128588</xdr:rowOff>
        </xdr:to>
        <xdr:sp macro="" textlink="">
          <xdr:nvSpPr>
            <xdr:cNvPr id="1041" name="Object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38100</xdr:colOff>
          <xdr:row>48</xdr:row>
          <xdr:rowOff>114300</xdr:rowOff>
        </xdr:from>
        <xdr:to>
          <xdr:col>3</xdr:col>
          <xdr:colOff>647700</xdr:colOff>
          <xdr:row>50</xdr:row>
          <xdr:rowOff>100013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90488</xdr:colOff>
          <xdr:row>48</xdr:row>
          <xdr:rowOff>100013</xdr:rowOff>
        </xdr:from>
        <xdr:to>
          <xdr:col>5</xdr:col>
          <xdr:colOff>114300</xdr:colOff>
          <xdr:row>50</xdr:row>
          <xdr:rowOff>90488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48</xdr:row>
          <xdr:rowOff>114300</xdr:rowOff>
        </xdr:from>
        <xdr:to>
          <xdr:col>6</xdr:col>
          <xdr:colOff>328613</xdr:colOff>
          <xdr:row>50</xdr:row>
          <xdr:rowOff>100013</xdr:rowOff>
        </xdr:to>
        <xdr:sp macro="" textlink="">
          <xdr:nvSpPr>
            <xdr:cNvPr id="1044" name="Object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571500</xdr:colOff>
          <xdr:row>51</xdr:row>
          <xdr:rowOff>90488</xdr:rowOff>
        </xdr:from>
        <xdr:to>
          <xdr:col>5</xdr:col>
          <xdr:colOff>557213</xdr:colOff>
          <xdr:row>53</xdr:row>
          <xdr:rowOff>114300</xdr:rowOff>
        </xdr:to>
        <xdr:sp macro="" textlink="">
          <xdr:nvSpPr>
            <xdr:cNvPr id="1046" name="Object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442913</xdr:colOff>
          <xdr:row>58</xdr:row>
          <xdr:rowOff>152400</xdr:rowOff>
        </xdr:from>
        <xdr:to>
          <xdr:col>4</xdr:col>
          <xdr:colOff>433388</xdr:colOff>
          <xdr:row>60</xdr:row>
          <xdr:rowOff>14288</xdr:rowOff>
        </xdr:to>
        <xdr:sp macro="" textlink="">
          <xdr:nvSpPr>
            <xdr:cNvPr id="1047" name="Object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404813</xdr:colOff>
          <xdr:row>60</xdr:row>
          <xdr:rowOff>152400</xdr:rowOff>
        </xdr:from>
        <xdr:to>
          <xdr:col>7</xdr:col>
          <xdr:colOff>519113</xdr:colOff>
          <xdr:row>62</xdr:row>
          <xdr:rowOff>14288</xdr:rowOff>
        </xdr:to>
        <xdr:sp macro="" textlink="">
          <xdr:nvSpPr>
            <xdr:cNvPr id="1048" name="Object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395288</xdr:colOff>
          <xdr:row>63</xdr:row>
          <xdr:rowOff>14288</xdr:rowOff>
        </xdr:from>
        <xdr:to>
          <xdr:col>4</xdr:col>
          <xdr:colOff>457200</xdr:colOff>
          <xdr:row>64</xdr:row>
          <xdr:rowOff>0</xdr:rowOff>
        </xdr:to>
        <xdr:sp macro="" textlink="">
          <xdr:nvSpPr>
            <xdr:cNvPr id="1049" name="Object 25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0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61913</xdr:colOff>
          <xdr:row>64</xdr:row>
          <xdr:rowOff>152400</xdr:rowOff>
        </xdr:from>
        <xdr:to>
          <xdr:col>9</xdr:col>
          <xdr:colOff>547688</xdr:colOff>
          <xdr:row>66</xdr:row>
          <xdr:rowOff>14288</xdr:rowOff>
        </xdr:to>
        <xdr:sp macro="" textlink="">
          <xdr:nvSpPr>
            <xdr:cNvPr id="1051" name="Object 2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0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204788</xdr:colOff>
          <xdr:row>67</xdr:row>
          <xdr:rowOff>0</xdr:rowOff>
        </xdr:from>
        <xdr:to>
          <xdr:col>4</xdr:col>
          <xdr:colOff>685800</xdr:colOff>
          <xdr:row>68</xdr:row>
          <xdr:rowOff>14288</xdr:rowOff>
        </xdr:to>
        <xdr:sp macro="" textlink="">
          <xdr:nvSpPr>
            <xdr:cNvPr id="1052" name="Object 28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0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152400</xdr:colOff>
          <xdr:row>73</xdr:row>
          <xdr:rowOff>61913</xdr:rowOff>
        </xdr:from>
        <xdr:to>
          <xdr:col>5</xdr:col>
          <xdr:colOff>114300</xdr:colOff>
          <xdr:row>75</xdr:row>
          <xdr:rowOff>114300</xdr:rowOff>
        </xdr:to>
        <xdr:sp macro="" textlink="">
          <xdr:nvSpPr>
            <xdr:cNvPr id="1053" name="Object 29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0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647700</xdr:colOff>
          <xdr:row>75</xdr:row>
          <xdr:rowOff>100013</xdr:rowOff>
        </xdr:from>
        <xdr:to>
          <xdr:col>6</xdr:col>
          <xdr:colOff>557213</xdr:colOff>
          <xdr:row>77</xdr:row>
          <xdr:rowOff>90488</xdr:rowOff>
        </xdr:to>
        <xdr:sp macro="" textlink="">
          <xdr:nvSpPr>
            <xdr:cNvPr id="1054" name="Object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0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471488</xdr:colOff>
          <xdr:row>89</xdr:row>
          <xdr:rowOff>100013</xdr:rowOff>
        </xdr:from>
        <xdr:to>
          <xdr:col>4</xdr:col>
          <xdr:colOff>519113</xdr:colOff>
          <xdr:row>91</xdr:row>
          <xdr:rowOff>90488</xdr:rowOff>
        </xdr:to>
        <xdr:sp macro="" textlink="">
          <xdr:nvSpPr>
            <xdr:cNvPr id="1056" name="Object 32" hidden="1">
              <a:extLst>
                <a:ext uri="{63B3BB69-23CF-44E3-9099-C40C66FF867C}">
                  <a14:compatExt spid="_x0000_s1056"/>
                </a:ext>
                <a:ext uri="{FF2B5EF4-FFF2-40B4-BE49-F238E27FC236}">
                  <a16:creationId xmlns:a16="http://schemas.microsoft.com/office/drawing/2014/main" id="{00000000-0008-0000-0000-00002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214313</xdr:colOff>
          <xdr:row>77</xdr:row>
          <xdr:rowOff>90488</xdr:rowOff>
        </xdr:from>
        <xdr:to>
          <xdr:col>4</xdr:col>
          <xdr:colOff>595313</xdr:colOff>
          <xdr:row>79</xdr:row>
          <xdr:rowOff>114300</xdr:rowOff>
        </xdr:to>
        <xdr:sp macro="" textlink="">
          <xdr:nvSpPr>
            <xdr:cNvPr id="1057" name="Object 33" hidden="1">
              <a:extLst>
                <a:ext uri="{63B3BB69-23CF-44E3-9099-C40C66FF867C}">
                  <a14:compatExt spid="_x0000_s1057"/>
                </a:ext>
                <a:ext uri="{FF2B5EF4-FFF2-40B4-BE49-F238E27FC236}">
                  <a16:creationId xmlns:a16="http://schemas.microsoft.com/office/drawing/2014/main" id="{00000000-0008-0000-0000-00002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509588</xdr:colOff>
          <xdr:row>83</xdr:row>
          <xdr:rowOff>61913</xdr:rowOff>
        </xdr:from>
        <xdr:to>
          <xdr:col>5</xdr:col>
          <xdr:colOff>266700</xdr:colOff>
          <xdr:row>85</xdr:row>
          <xdr:rowOff>114300</xdr:rowOff>
        </xdr:to>
        <xdr:sp macro="" textlink="">
          <xdr:nvSpPr>
            <xdr:cNvPr id="1060" name="Object 36" hidden="1">
              <a:extLst>
                <a:ext uri="{63B3BB69-23CF-44E3-9099-C40C66FF867C}">
                  <a14:compatExt spid="_x0000_s1060"/>
                </a:ext>
                <a:ext uri="{FF2B5EF4-FFF2-40B4-BE49-F238E27FC236}">
                  <a16:creationId xmlns:a16="http://schemas.microsoft.com/office/drawing/2014/main" id="{00000000-0008-0000-0000-00002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357188</xdr:colOff>
          <xdr:row>113</xdr:row>
          <xdr:rowOff>114300</xdr:rowOff>
        </xdr:from>
        <xdr:to>
          <xdr:col>4</xdr:col>
          <xdr:colOff>266700</xdr:colOff>
          <xdr:row>115</xdr:row>
          <xdr:rowOff>128588</xdr:rowOff>
        </xdr:to>
        <xdr:sp macro="" textlink="">
          <xdr:nvSpPr>
            <xdr:cNvPr id="1066" name="Object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471488</xdr:colOff>
          <xdr:row>113</xdr:row>
          <xdr:rowOff>100013</xdr:rowOff>
        </xdr:from>
        <xdr:to>
          <xdr:col>6</xdr:col>
          <xdr:colOff>128588</xdr:colOff>
          <xdr:row>115</xdr:row>
          <xdr:rowOff>90488</xdr:rowOff>
        </xdr:to>
        <xdr:sp macro="" textlink="">
          <xdr:nvSpPr>
            <xdr:cNvPr id="1067" name="Object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152400</xdr:colOff>
          <xdr:row>123</xdr:row>
          <xdr:rowOff>61913</xdr:rowOff>
        </xdr:from>
        <xdr:to>
          <xdr:col>5</xdr:col>
          <xdr:colOff>38100</xdr:colOff>
          <xdr:row>125</xdr:row>
          <xdr:rowOff>128588</xdr:rowOff>
        </xdr:to>
        <xdr:sp macro="" textlink="">
          <xdr:nvSpPr>
            <xdr:cNvPr id="1068" name="Object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61913</xdr:colOff>
          <xdr:row>108</xdr:row>
          <xdr:rowOff>90488</xdr:rowOff>
        </xdr:from>
        <xdr:to>
          <xdr:col>5</xdr:col>
          <xdr:colOff>90488</xdr:colOff>
          <xdr:row>110</xdr:row>
          <xdr:rowOff>138113</xdr:rowOff>
        </xdr:to>
        <xdr:sp macro="" textlink="">
          <xdr:nvSpPr>
            <xdr:cNvPr id="1071" name="Object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id="{00000000-0008-0000-00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381000</xdr:colOff>
          <xdr:row>101</xdr:row>
          <xdr:rowOff>52388</xdr:rowOff>
        </xdr:from>
        <xdr:to>
          <xdr:col>4</xdr:col>
          <xdr:colOff>138113</xdr:colOff>
          <xdr:row>103</xdr:row>
          <xdr:rowOff>128588</xdr:rowOff>
        </xdr:to>
        <xdr:sp macro="" textlink="">
          <xdr:nvSpPr>
            <xdr:cNvPr id="1072" name="Object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0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242888</xdr:colOff>
          <xdr:row>108</xdr:row>
          <xdr:rowOff>52388</xdr:rowOff>
        </xdr:from>
        <xdr:to>
          <xdr:col>6</xdr:col>
          <xdr:colOff>623888</xdr:colOff>
          <xdr:row>110</xdr:row>
          <xdr:rowOff>114300</xdr:rowOff>
        </xdr:to>
        <xdr:sp macro="" textlink="">
          <xdr:nvSpPr>
            <xdr:cNvPr id="1073" name="Object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id="{00000000-0008-0000-00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509588</xdr:colOff>
          <xdr:row>101</xdr:row>
          <xdr:rowOff>61913</xdr:rowOff>
        </xdr:from>
        <xdr:to>
          <xdr:col>6</xdr:col>
          <xdr:colOff>252413</xdr:colOff>
          <xdr:row>103</xdr:row>
          <xdr:rowOff>128588</xdr:rowOff>
        </xdr:to>
        <xdr:sp macro="" textlink="">
          <xdr:nvSpPr>
            <xdr:cNvPr id="1074" name="Object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id="{00000000-0008-0000-00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23813</xdr:colOff>
          <xdr:row>131</xdr:row>
          <xdr:rowOff>14288</xdr:rowOff>
        </xdr:from>
        <xdr:to>
          <xdr:col>5</xdr:col>
          <xdr:colOff>76200</xdr:colOff>
          <xdr:row>132</xdr:row>
          <xdr:rowOff>23813</xdr:rowOff>
        </xdr:to>
        <xdr:sp macro="" textlink="">
          <xdr:nvSpPr>
            <xdr:cNvPr id="1075" name="Object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id="{00000000-0008-0000-00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395288</xdr:colOff>
          <xdr:row>134</xdr:row>
          <xdr:rowOff>52388</xdr:rowOff>
        </xdr:from>
        <xdr:to>
          <xdr:col>5</xdr:col>
          <xdr:colOff>242888</xdr:colOff>
          <xdr:row>136</xdr:row>
          <xdr:rowOff>128588</xdr:rowOff>
        </xdr:to>
        <xdr:sp macro="" textlink="">
          <xdr:nvSpPr>
            <xdr:cNvPr id="1076" name="Object 52" hidden="1">
              <a:extLst>
                <a:ext uri="{63B3BB69-23CF-44E3-9099-C40C66FF867C}">
                  <a14:compatExt spid="_x0000_s1076"/>
                </a:ext>
                <a:ext uri="{FF2B5EF4-FFF2-40B4-BE49-F238E27FC236}">
                  <a16:creationId xmlns:a16="http://schemas.microsoft.com/office/drawing/2014/main" id="{00000000-0008-0000-0000-00003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328613</xdr:colOff>
          <xdr:row>141</xdr:row>
          <xdr:rowOff>61913</xdr:rowOff>
        </xdr:from>
        <xdr:to>
          <xdr:col>4</xdr:col>
          <xdr:colOff>633413</xdr:colOff>
          <xdr:row>143</xdr:row>
          <xdr:rowOff>128588</xdr:rowOff>
        </xdr:to>
        <xdr:sp macro="" textlink="">
          <xdr:nvSpPr>
            <xdr:cNvPr id="1077" name="Object 53" hidden="1">
              <a:extLst>
                <a:ext uri="{63B3BB69-23CF-44E3-9099-C40C66FF867C}">
                  <a14:compatExt spid="_x0000_s1077"/>
                </a:ext>
                <a:ext uri="{FF2B5EF4-FFF2-40B4-BE49-F238E27FC236}">
                  <a16:creationId xmlns:a16="http://schemas.microsoft.com/office/drawing/2014/main" id="{00000000-0008-0000-0000-00003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304800</xdr:colOff>
          <xdr:row>146</xdr:row>
          <xdr:rowOff>0</xdr:rowOff>
        </xdr:from>
        <xdr:to>
          <xdr:col>4</xdr:col>
          <xdr:colOff>585788</xdr:colOff>
          <xdr:row>147</xdr:row>
          <xdr:rowOff>14288</xdr:rowOff>
        </xdr:to>
        <xdr:sp macro="" textlink="">
          <xdr:nvSpPr>
            <xdr:cNvPr id="1078" name="Object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:a16="http://schemas.microsoft.com/office/drawing/2014/main" id="{00000000-0008-0000-0000-00003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176213</xdr:colOff>
          <xdr:row>149</xdr:row>
          <xdr:rowOff>90488</xdr:rowOff>
        </xdr:from>
        <xdr:to>
          <xdr:col>4</xdr:col>
          <xdr:colOff>623888</xdr:colOff>
          <xdr:row>151</xdr:row>
          <xdr:rowOff>114300</xdr:rowOff>
        </xdr:to>
        <xdr:sp macro="" textlink="">
          <xdr:nvSpPr>
            <xdr:cNvPr id="1079" name="Object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:a16="http://schemas.microsoft.com/office/drawing/2014/main" id="{00000000-0008-0000-0000-00003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2.wmf"/><Relationship Id="rId21" Type="http://schemas.openxmlformats.org/officeDocument/2006/relationships/oleObject" Target="../embeddings/oleObject10.bin"/><Relationship Id="rId42" Type="http://schemas.openxmlformats.org/officeDocument/2006/relationships/image" Target="../media/image20.wmf"/><Relationship Id="rId47" Type="http://schemas.openxmlformats.org/officeDocument/2006/relationships/oleObject" Target="../embeddings/oleObject23.bin"/><Relationship Id="rId63" Type="http://schemas.openxmlformats.org/officeDocument/2006/relationships/image" Target="../media/image30.wmf"/><Relationship Id="rId68" Type="http://schemas.openxmlformats.org/officeDocument/2006/relationships/oleObject" Target="../embeddings/oleObject34.bin"/><Relationship Id="rId16" Type="http://schemas.openxmlformats.org/officeDocument/2006/relationships/image" Target="../media/image7.wmf"/><Relationship Id="rId11" Type="http://schemas.openxmlformats.org/officeDocument/2006/relationships/oleObject" Target="../embeddings/oleObject5.bin"/><Relationship Id="rId24" Type="http://schemas.openxmlformats.org/officeDocument/2006/relationships/image" Target="../media/image11.wmf"/><Relationship Id="rId32" Type="http://schemas.openxmlformats.org/officeDocument/2006/relationships/image" Target="../media/image15.wmf"/><Relationship Id="rId37" Type="http://schemas.openxmlformats.org/officeDocument/2006/relationships/oleObject" Target="../embeddings/oleObject18.bin"/><Relationship Id="rId40" Type="http://schemas.openxmlformats.org/officeDocument/2006/relationships/image" Target="../media/image19.wmf"/><Relationship Id="rId45" Type="http://schemas.openxmlformats.org/officeDocument/2006/relationships/oleObject" Target="../embeddings/oleObject22.bin"/><Relationship Id="rId53" Type="http://schemas.openxmlformats.org/officeDocument/2006/relationships/image" Target="../media/image25.wmf"/><Relationship Id="rId58" Type="http://schemas.openxmlformats.org/officeDocument/2006/relationships/oleObject" Target="../embeddings/oleObject29.bin"/><Relationship Id="rId66" Type="http://schemas.openxmlformats.org/officeDocument/2006/relationships/oleObject" Target="../embeddings/oleObject33.bin"/><Relationship Id="rId74" Type="http://schemas.openxmlformats.org/officeDocument/2006/relationships/oleObject" Target="../embeddings/oleObject37.bin"/><Relationship Id="rId79" Type="http://schemas.openxmlformats.org/officeDocument/2006/relationships/image" Target="../media/image38.wmf"/><Relationship Id="rId5" Type="http://schemas.openxmlformats.org/officeDocument/2006/relationships/oleObject" Target="../embeddings/oleObject2.bin"/><Relationship Id="rId61" Type="http://schemas.openxmlformats.org/officeDocument/2006/relationships/image" Target="../media/image29.wmf"/><Relationship Id="rId19" Type="http://schemas.openxmlformats.org/officeDocument/2006/relationships/oleObject" Target="../embeddings/oleObject9.bin"/><Relationship Id="rId14" Type="http://schemas.openxmlformats.org/officeDocument/2006/relationships/image" Target="../media/image6.wmf"/><Relationship Id="rId22" Type="http://schemas.openxmlformats.org/officeDocument/2006/relationships/image" Target="../media/image10.wmf"/><Relationship Id="rId27" Type="http://schemas.openxmlformats.org/officeDocument/2006/relationships/oleObject" Target="../embeddings/oleObject13.bin"/><Relationship Id="rId30" Type="http://schemas.openxmlformats.org/officeDocument/2006/relationships/image" Target="../media/image14.wmf"/><Relationship Id="rId35" Type="http://schemas.openxmlformats.org/officeDocument/2006/relationships/oleObject" Target="../embeddings/oleObject17.bin"/><Relationship Id="rId43" Type="http://schemas.openxmlformats.org/officeDocument/2006/relationships/oleObject" Target="../embeddings/oleObject21.bin"/><Relationship Id="rId48" Type="http://schemas.openxmlformats.org/officeDocument/2006/relationships/image" Target="../media/image23.wmf"/><Relationship Id="rId56" Type="http://schemas.openxmlformats.org/officeDocument/2006/relationships/oleObject" Target="../embeddings/oleObject28.bin"/><Relationship Id="rId64" Type="http://schemas.openxmlformats.org/officeDocument/2006/relationships/oleObject" Target="../embeddings/oleObject32.bin"/><Relationship Id="rId69" Type="http://schemas.openxmlformats.org/officeDocument/2006/relationships/image" Target="../media/image33.wmf"/><Relationship Id="rId77" Type="http://schemas.openxmlformats.org/officeDocument/2006/relationships/image" Target="../media/image37.wmf"/><Relationship Id="rId8" Type="http://schemas.openxmlformats.org/officeDocument/2006/relationships/image" Target="../media/image3.wmf"/><Relationship Id="rId51" Type="http://schemas.openxmlformats.org/officeDocument/2006/relationships/image" Target="../media/image24.wmf"/><Relationship Id="rId72" Type="http://schemas.openxmlformats.org/officeDocument/2006/relationships/oleObject" Target="../embeddings/oleObject36.bin"/><Relationship Id="rId3" Type="http://schemas.openxmlformats.org/officeDocument/2006/relationships/oleObject" Target="../embeddings/oleObject1.bin"/><Relationship Id="rId12" Type="http://schemas.openxmlformats.org/officeDocument/2006/relationships/image" Target="../media/image5.wmf"/><Relationship Id="rId17" Type="http://schemas.openxmlformats.org/officeDocument/2006/relationships/oleObject" Target="../embeddings/oleObject8.bin"/><Relationship Id="rId25" Type="http://schemas.openxmlformats.org/officeDocument/2006/relationships/oleObject" Target="../embeddings/oleObject12.bin"/><Relationship Id="rId33" Type="http://schemas.openxmlformats.org/officeDocument/2006/relationships/oleObject" Target="../embeddings/oleObject16.bin"/><Relationship Id="rId38" Type="http://schemas.openxmlformats.org/officeDocument/2006/relationships/image" Target="../media/image18.wmf"/><Relationship Id="rId46" Type="http://schemas.openxmlformats.org/officeDocument/2006/relationships/image" Target="../media/image22.wmf"/><Relationship Id="rId59" Type="http://schemas.openxmlformats.org/officeDocument/2006/relationships/image" Target="../media/image28.wmf"/><Relationship Id="rId67" Type="http://schemas.openxmlformats.org/officeDocument/2006/relationships/image" Target="../media/image32.wmf"/><Relationship Id="rId20" Type="http://schemas.openxmlformats.org/officeDocument/2006/relationships/image" Target="../media/image9.wmf"/><Relationship Id="rId41" Type="http://schemas.openxmlformats.org/officeDocument/2006/relationships/oleObject" Target="../embeddings/oleObject20.bin"/><Relationship Id="rId54" Type="http://schemas.openxmlformats.org/officeDocument/2006/relationships/oleObject" Target="../embeddings/oleObject27.bin"/><Relationship Id="rId62" Type="http://schemas.openxmlformats.org/officeDocument/2006/relationships/oleObject" Target="../embeddings/oleObject31.bin"/><Relationship Id="rId70" Type="http://schemas.openxmlformats.org/officeDocument/2006/relationships/oleObject" Target="../embeddings/oleObject35.bin"/><Relationship Id="rId75" Type="http://schemas.openxmlformats.org/officeDocument/2006/relationships/image" Target="../media/image36.wmf"/><Relationship Id="rId1" Type="http://schemas.openxmlformats.org/officeDocument/2006/relationships/drawing" Target="../drawings/drawing1.xml"/><Relationship Id="rId6" Type="http://schemas.openxmlformats.org/officeDocument/2006/relationships/image" Target="../media/image2.wmf"/><Relationship Id="rId15" Type="http://schemas.openxmlformats.org/officeDocument/2006/relationships/oleObject" Target="../embeddings/oleObject7.bin"/><Relationship Id="rId23" Type="http://schemas.openxmlformats.org/officeDocument/2006/relationships/oleObject" Target="../embeddings/oleObject11.bin"/><Relationship Id="rId28" Type="http://schemas.openxmlformats.org/officeDocument/2006/relationships/image" Target="../media/image13.wmf"/><Relationship Id="rId36" Type="http://schemas.openxmlformats.org/officeDocument/2006/relationships/image" Target="../media/image17.wmf"/><Relationship Id="rId49" Type="http://schemas.openxmlformats.org/officeDocument/2006/relationships/oleObject" Target="../embeddings/oleObject24.bin"/><Relationship Id="rId57" Type="http://schemas.openxmlformats.org/officeDocument/2006/relationships/image" Target="../media/image27.wmf"/><Relationship Id="rId10" Type="http://schemas.openxmlformats.org/officeDocument/2006/relationships/image" Target="../media/image4.wmf"/><Relationship Id="rId31" Type="http://schemas.openxmlformats.org/officeDocument/2006/relationships/oleObject" Target="../embeddings/oleObject15.bin"/><Relationship Id="rId44" Type="http://schemas.openxmlformats.org/officeDocument/2006/relationships/image" Target="../media/image21.wmf"/><Relationship Id="rId52" Type="http://schemas.openxmlformats.org/officeDocument/2006/relationships/oleObject" Target="../embeddings/oleObject26.bin"/><Relationship Id="rId60" Type="http://schemas.openxmlformats.org/officeDocument/2006/relationships/oleObject" Target="../embeddings/oleObject30.bin"/><Relationship Id="rId65" Type="http://schemas.openxmlformats.org/officeDocument/2006/relationships/image" Target="../media/image31.wmf"/><Relationship Id="rId73" Type="http://schemas.openxmlformats.org/officeDocument/2006/relationships/image" Target="../media/image35.wmf"/><Relationship Id="rId78" Type="http://schemas.openxmlformats.org/officeDocument/2006/relationships/oleObject" Target="../embeddings/oleObject39.bin"/><Relationship Id="rId4" Type="http://schemas.openxmlformats.org/officeDocument/2006/relationships/image" Target="../media/image1.wmf"/><Relationship Id="rId9" Type="http://schemas.openxmlformats.org/officeDocument/2006/relationships/oleObject" Target="../embeddings/oleObject4.bin"/><Relationship Id="rId13" Type="http://schemas.openxmlformats.org/officeDocument/2006/relationships/oleObject" Target="../embeddings/oleObject6.bin"/><Relationship Id="rId18" Type="http://schemas.openxmlformats.org/officeDocument/2006/relationships/image" Target="../media/image8.wmf"/><Relationship Id="rId39" Type="http://schemas.openxmlformats.org/officeDocument/2006/relationships/oleObject" Target="../embeddings/oleObject19.bin"/><Relationship Id="rId34" Type="http://schemas.openxmlformats.org/officeDocument/2006/relationships/image" Target="../media/image16.wmf"/><Relationship Id="rId50" Type="http://schemas.openxmlformats.org/officeDocument/2006/relationships/oleObject" Target="../embeddings/oleObject25.bin"/><Relationship Id="rId55" Type="http://schemas.openxmlformats.org/officeDocument/2006/relationships/image" Target="../media/image26.wmf"/><Relationship Id="rId76" Type="http://schemas.openxmlformats.org/officeDocument/2006/relationships/oleObject" Target="../embeddings/oleObject38.bin"/><Relationship Id="rId7" Type="http://schemas.openxmlformats.org/officeDocument/2006/relationships/oleObject" Target="../embeddings/oleObject3.bin"/><Relationship Id="rId71" Type="http://schemas.openxmlformats.org/officeDocument/2006/relationships/image" Target="../media/image34.wmf"/><Relationship Id="rId2" Type="http://schemas.openxmlformats.org/officeDocument/2006/relationships/vmlDrawing" Target="../drawings/vmlDrawing1.vml"/><Relationship Id="rId29" Type="http://schemas.openxmlformats.org/officeDocument/2006/relationships/oleObject" Target="../embeddings/oleObject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K156"/>
  <sheetViews>
    <sheetView topLeftCell="A66" zoomScale="90" zoomScaleNormal="90" workbookViewId="0">
      <selection activeCell="G158" sqref="G158"/>
    </sheetView>
  </sheetViews>
  <sheetFormatPr defaultColWidth="9.1328125" defaultRowHeight="13.15" x14ac:dyDescent="0.4"/>
  <cols>
    <col min="1" max="16384" width="9.1328125" style="3"/>
  </cols>
  <sheetData>
    <row r="2" spans="2:11" s="2" customFormat="1" ht="15" x14ac:dyDescent="0.4">
      <c r="B2" s="1" t="s">
        <v>210</v>
      </c>
      <c r="K2" s="1" t="s">
        <v>216</v>
      </c>
    </row>
    <row r="3" spans="2:11" ht="15.75" x14ac:dyDescent="0.5">
      <c r="B3" s="3" t="s">
        <v>215</v>
      </c>
      <c r="K3" s="3" t="s">
        <v>223</v>
      </c>
    </row>
    <row r="4" spans="2:11" ht="15.75" x14ac:dyDescent="0.5">
      <c r="B4" s="3" t="s">
        <v>214</v>
      </c>
      <c r="K4" s="3" t="s">
        <v>226</v>
      </c>
    </row>
    <row r="5" spans="2:11" ht="14.65" x14ac:dyDescent="0.5">
      <c r="B5" s="3" t="s">
        <v>213</v>
      </c>
      <c r="K5" s="3" t="s">
        <v>174</v>
      </c>
    </row>
    <row r="6" spans="2:11" ht="14.65" x14ac:dyDescent="0.5">
      <c r="B6" s="3" t="s">
        <v>212</v>
      </c>
      <c r="K6" s="3" t="s">
        <v>175</v>
      </c>
    </row>
    <row r="7" spans="2:11" ht="14.65" x14ac:dyDescent="0.5">
      <c r="B7" s="3" t="s">
        <v>211</v>
      </c>
      <c r="K7" s="3" t="s">
        <v>229</v>
      </c>
    </row>
    <row r="8" spans="2:11" ht="14.65" x14ac:dyDescent="0.5">
      <c r="B8" s="3" t="s">
        <v>219</v>
      </c>
      <c r="K8" s="3" t="s">
        <v>230</v>
      </c>
    </row>
    <row r="9" spans="2:11" ht="15.75" x14ac:dyDescent="0.5">
      <c r="B9" s="4" t="s">
        <v>118</v>
      </c>
      <c r="K9" s="3" t="s">
        <v>240</v>
      </c>
    </row>
    <row r="10" spans="2:11" ht="15.75" x14ac:dyDescent="0.5">
      <c r="B10" s="4" t="s">
        <v>220</v>
      </c>
      <c r="K10" s="3" t="s">
        <v>154</v>
      </c>
    </row>
    <row r="11" spans="2:11" ht="15.75" x14ac:dyDescent="0.5">
      <c r="B11" s="3" t="s">
        <v>221</v>
      </c>
      <c r="K11" s="3" t="s">
        <v>231</v>
      </c>
    </row>
    <row r="12" spans="2:11" ht="14.65" x14ac:dyDescent="0.5">
      <c r="B12" s="3" t="s">
        <v>179</v>
      </c>
      <c r="K12" s="3" t="s">
        <v>232</v>
      </c>
    </row>
    <row r="13" spans="2:11" ht="14.65" x14ac:dyDescent="0.5">
      <c r="B13" s="3" t="s">
        <v>224</v>
      </c>
      <c r="K13" s="4" t="s">
        <v>227</v>
      </c>
    </row>
    <row r="14" spans="2:11" ht="14.65" x14ac:dyDescent="0.5">
      <c r="B14" s="3" t="s">
        <v>225</v>
      </c>
      <c r="K14" s="4" t="s">
        <v>228</v>
      </c>
    </row>
    <row r="15" spans="2:11" ht="15.75" x14ac:dyDescent="0.5">
      <c r="B15" s="3" t="s">
        <v>222</v>
      </c>
      <c r="K15" s="4" t="s">
        <v>233</v>
      </c>
    </row>
    <row r="16" spans="2:11" ht="15.75" x14ac:dyDescent="0.5">
      <c r="B16" s="3" t="s">
        <v>217</v>
      </c>
      <c r="K16" s="4" t="s">
        <v>234</v>
      </c>
    </row>
    <row r="17" spans="2:11" x14ac:dyDescent="0.4">
      <c r="B17" s="3" t="s">
        <v>218</v>
      </c>
    </row>
    <row r="18" spans="2:11" x14ac:dyDescent="0.4">
      <c r="B18" s="3" t="s">
        <v>242</v>
      </c>
    </row>
    <row r="19" spans="2:11" x14ac:dyDescent="0.4">
      <c r="B19" s="3" t="s">
        <v>177</v>
      </c>
    </row>
    <row r="20" spans="2:11" x14ac:dyDescent="0.4">
      <c r="B20" s="3" t="s">
        <v>239</v>
      </c>
    </row>
    <row r="21" spans="2:11" x14ac:dyDescent="0.4">
      <c r="B21" s="3" t="s">
        <v>178</v>
      </c>
    </row>
    <row r="22" spans="2:11" ht="15" customHeight="1" x14ac:dyDescent="0.4"/>
    <row r="23" spans="2:11" ht="15" customHeight="1" x14ac:dyDescent="0.4">
      <c r="K23" s="4"/>
    </row>
    <row r="24" spans="2:11" ht="15" x14ac:dyDescent="0.4">
      <c r="B24" s="1" t="s">
        <v>235</v>
      </c>
    </row>
    <row r="25" spans="2:11" x14ac:dyDescent="0.4">
      <c r="B25" s="3" t="s">
        <v>236</v>
      </c>
    </row>
    <row r="26" spans="2:11" x14ac:dyDescent="0.4">
      <c r="B26" s="3" t="s">
        <v>237</v>
      </c>
    </row>
    <row r="27" spans="2:11" x14ac:dyDescent="0.4">
      <c r="B27" s="3" t="s">
        <v>238</v>
      </c>
    </row>
    <row r="28" spans="2:11" x14ac:dyDescent="0.4">
      <c r="B28" s="3" t="s">
        <v>176</v>
      </c>
    </row>
    <row r="30" spans="2:11" ht="15" x14ac:dyDescent="0.4">
      <c r="B30" s="1" t="s">
        <v>241</v>
      </c>
    </row>
    <row r="32" spans="2:11" x14ac:dyDescent="0.4">
      <c r="B32" s="3" t="s">
        <v>180</v>
      </c>
      <c r="D32" s="5"/>
    </row>
    <row r="35" spans="2:8" x14ac:dyDescent="0.4">
      <c r="B35" s="3" t="s">
        <v>181</v>
      </c>
      <c r="D35" s="5"/>
    </row>
    <row r="38" spans="2:8" x14ac:dyDescent="0.4">
      <c r="B38" s="3" t="s">
        <v>182</v>
      </c>
      <c r="D38" s="5"/>
      <c r="E38" s="5"/>
      <c r="F38" s="5"/>
    </row>
    <row r="40" spans="2:8" x14ac:dyDescent="0.4">
      <c r="B40" s="3" t="s">
        <v>183</v>
      </c>
      <c r="D40" s="5"/>
      <c r="E40" s="5"/>
      <c r="G40" s="5"/>
    </row>
    <row r="43" spans="2:8" x14ac:dyDescent="0.4">
      <c r="B43" s="3" t="s">
        <v>155</v>
      </c>
      <c r="G43" s="5"/>
    </row>
    <row r="44" spans="2:8" x14ac:dyDescent="0.4">
      <c r="H44" s="5"/>
    </row>
    <row r="45" spans="2:8" x14ac:dyDescent="0.4">
      <c r="B45" s="3" t="s">
        <v>184</v>
      </c>
      <c r="D45" s="5"/>
      <c r="E45" s="5"/>
      <c r="G45" s="5"/>
    </row>
    <row r="47" spans="2:8" x14ac:dyDescent="0.4">
      <c r="B47" s="3" t="s">
        <v>185</v>
      </c>
      <c r="D47" s="5"/>
      <c r="F47" s="5"/>
      <c r="H47" s="5"/>
    </row>
    <row r="50" spans="2:11" x14ac:dyDescent="0.4">
      <c r="B50" s="3" t="s">
        <v>186</v>
      </c>
      <c r="D50" s="5"/>
      <c r="E50" s="5"/>
      <c r="F50" s="5"/>
    </row>
    <row r="52" spans="2:11" x14ac:dyDescent="0.4">
      <c r="F52" s="5"/>
    </row>
    <row r="53" spans="2:11" x14ac:dyDescent="0.4">
      <c r="B53" s="3" t="s">
        <v>188</v>
      </c>
    </row>
    <row r="54" spans="2:11" x14ac:dyDescent="0.4">
      <c r="K54"/>
    </row>
    <row r="56" spans="2:11" ht="15" x14ac:dyDescent="0.4">
      <c r="B56" s="1" t="s">
        <v>187</v>
      </c>
    </row>
    <row r="58" spans="2:11" x14ac:dyDescent="0.4">
      <c r="B58" s="3" t="s">
        <v>189</v>
      </c>
    </row>
    <row r="59" spans="2:11" x14ac:dyDescent="0.4">
      <c r="B59" s="5"/>
    </row>
    <row r="60" spans="2:11" x14ac:dyDescent="0.4">
      <c r="H60" s="6" t="s">
        <v>190</v>
      </c>
    </row>
    <row r="62" spans="2:11" x14ac:dyDescent="0.4">
      <c r="B62" s="3" t="s">
        <v>191</v>
      </c>
      <c r="I62" s="3" t="s">
        <v>193</v>
      </c>
    </row>
    <row r="63" spans="2:11" x14ac:dyDescent="0.4">
      <c r="B63" s="5"/>
    </row>
    <row r="64" spans="2:11" x14ac:dyDescent="0.4">
      <c r="D64" s="5"/>
      <c r="H64" s="6" t="s">
        <v>192</v>
      </c>
    </row>
    <row r="66" spans="2:11" x14ac:dyDescent="0.4">
      <c r="B66" s="3" t="s">
        <v>195</v>
      </c>
      <c r="H66" s="5"/>
      <c r="I66" s="5"/>
      <c r="K66" s="3" t="s">
        <v>193</v>
      </c>
    </row>
    <row r="68" spans="2:11" x14ac:dyDescent="0.4">
      <c r="D68" s="5"/>
      <c r="H68" s="6" t="s">
        <v>194</v>
      </c>
    </row>
    <row r="70" spans="2:11" x14ac:dyDescent="0.4">
      <c r="B70" s="3" t="s">
        <v>196</v>
      </c>
    </row>
    <row r="72" spans="2:11" x14ac:dyDescent="0.4">
      <c r="B72" s="3" t="s">
        <v>197</v>
      </c>
    </row>
    <row r="73" spans="2:11" x14ac:dyDescent="0.4">
      <c r="B73" s="3" t="s">
        <v>198</v>
      </c>
    </row>
    <row r="75" spans="2:11" x14ac:dyDescent="0.4">
      <c r="F75" s="5"/>
      <c r="H75" s="6" t="s">
        <v>199</v>
      </c>
    </row>
    <row r="77" spans="2:11" x14ac:dyDescent="0.4">
      <c r="B77" s="3" t="s">
        <v>200</v>
      </c>
      <c r="H77" s="3" t="s">
        <v>201</v>
      </c>
    </row>
    <row r="79" spans="2:11" x14ac:dyDescent="0.4">
      <c r="D79" s="5"/>
      <c r="H79" s="6" t="s">
        <v>202</v>
      </c>
    </row>
    <row r="80" spans="2:11" x14ac:dyDescent="0.4">
      <c r="F80" s="5"/>
    </row>
    <row r="81" spans="2:8" ht="14.65" x14ac:dyDescent="0.5">
      <c r="B81" s="3" t="s">
        <v>149</v>
      </c>
      <c r="E81" s="5"/>
    </row>
    <row r="82" spans="2:8" ht="14.65" x14ac:dyDescent="0.5">
      <c r="B82" s="3" t="s">
        <v>204</v>
      </c>
    </row>
    <row r="83" spans="2:8" x14ac:dyDescent="0.4">
      <c r="B83" s="3" t="s">
        <v>205</v>
      </c>
    </row>
    <row r="85" spans="2:8" x14ac:dyDescent="0.4">
      <c r="F85" s="5"/>
      <c r="H85" s="6" t="s">
        <v>138</v>
      </c>
    </row>
    <row r="87" spans="2:8" ht="15" x14ac:dyDescent="0.4">
      <c r="B87" s="1" t="s">
        <v>203</v>
      </c>
    </row>
    <row r="89" spans="2:8" x14ac:dyDescent="0.4">
      <c r="B89" s="3" t="s">
        <v>206</v>
      </c>
    </row>
    <row r="91" spans="2:8" x14ac:dyDescent="0.4">
      <c r="E91" s="5"/>
      <c r="H91" s="6" t="s">
        <v>207</v>
      </c>
    </row>
    <row r="93" spans="2:8" x14ac:dyDescent="0.4">
      <c r="B93" s="3" t="s">
        <v>208</v>
      </c>
    </row>
    <row r="95" spans="2:8" x14ac:dyDescent="0.4">
      <c r="G95" s="5"/>
      <c r="H95" s="6" t="s">
        <v>209</v>
      </c>
    </row>
    <row r="97" spans="2:8" x14ac:dyDescent="0.4">
      <c r="B97" s="3" t="s">
        <v>137</v>
      </c>
    </row>
    <row r="99" spans="2:8" x14ac:dyDescent="0.4">
      <c r="B99" s="3" t="s">
        <v>141</v>
      </c>
    </row>
    <row r="100" spans="2:8" x14ac:dyDescent="0.4">
      <c r="C100" s="3" t="s">
        <v>142</v>
      </c>
    </row>
    <row r="101" spans="2:8" ht="14.65" x14ac:dyDescent="0.5">
      <c r="C101" s="3" t="s">
        <v>140</v>
      </c>
    </row>
    <row r="102" spans="2:8" x14ac:dyDescent="0.4">
      <c r="D102" s="5"/>
    </row>
    <row r="103" spans="2:8" x14ac:dyDescent="0.4">
      <c r="C103"/>
      <c r="F103"/>
      <c r="H103" s="6" t="s">
        <v>139</v>
      </c>
    </row>
    <row r="105" spans="2:8" ht="14.65" x14ac:dyDescent="0.5">
      <c r="C105" s="3" t="s">
        <v>143</v>
      </c>
    </row>
    <row r="106" spans="2:8" x14ac:dyDescent="0.4">
      <c r="C106" s="3" t="s">
        <v>159</v>
      </c>
    </row>
    <row r="107" spans="2:8" x14ac:dyDescent="0.4">
      <c r="C107" s="3" t="s">
        <v>160</v>
      </c>
    </row>
    <row r="108" spans="2:8" ht="14.65" x14ac:dyDescent="0.5">
      <c r="C108" s="3" t="s">
        <v>144</v>
      </c>
    </row>
    <row r="109" spans="2:8" x14ac:dyDescent="0.4">
      <c r="D109" s="5"/>
    </row>
    <row r="110" spans="2:8" x14ac:dyDescent="0.4">
      <c r="D110" s="5"/>
      <c r="G110" s="5"/>
      <c r="H110" s="6" t="s">
        <v>145</v>
      </c>
    </row>
    <row r="113" spans="2:8" x14ac:dyDescent="0.4">
      <c r="B113" s="3" t="s">
        <v>146</v>
      </c>
    </row>
    <row r="115" spans="2:8" x14ac:dyDescent="0.4">
      <c r="C115" s="5"/>
      <c r="F115" s="5"/>
      <c r="H115" s="6" t="s">
        <v>147</v>
      </c>
    </row>
    <row r="117" spans="2:8" x14ac:dyDescent="0.4">
      <c r="B117" s="3" t="s">
        <v>148</v>
      </c>
    </row>
    <row r="119" spans="2:8" x14ac:dyDescent="0.4">
      <c r="B119" s="3" t="s">
        <v>150</v>
      </c>
    </row>
    <row r="121" spans="2:8" x14ac:dyDescent="0.4">
      <c r="B121" s="3" t="s">
        <v>151</v>
      </c>
    </row>
    <row r="123" spans="2:8" x14ac:dyDescent="0.4">
      <c r="B123" s="3" t="s">
        <v>152</v>
      </c>
    </row>
    <row r="124" spans="2:8" x14ac:dyDescent="0.4">
      <c r="B124" s="5"/>
    </row>
    <row r="125" spans="2:8" x14ac:dyDescent="0.4">
      <c r="H125" s="6" t="s">
        <v>153</v>
      </c>
    </row>
    <row r="128" spans="2:8" ht="15" x14ac:dyDescent="0.4">
      <c r="B128" s="1" t="s">
        <v>16</v>
      </c>
    </row>
    <row r="130" spans="2:8" ht="14.65" x14ac:dyDescent="0.5">
      <c r="B130" s="3" t="s">
        <v>17</v>
      </c>
    </row>
    <row r="132" spans="2:8" x14ac:dyDescent="0.4">
      <c r="D132"/>
      <c r="H132" s="6" t="s">
        <v>18</v>
      </c>
    </row>
    <row r="134" spans="2:8" x14ac:dyDescent="0.4">
      <c r="B134" s="3" t="s">
        <v>19</v>
      </c>
    </row>
    <row r="136" spans="2:8" x14ac:dyDescent="0.4">
      <c r="F136"/>
      <c r="H136" s="6" t="s">
        <v>20</v>
      </c>
    </row>
    <row r="138" spans="2:8" ht="14.65" x14ac:dyDescent="0.5">
      <c r="C138" s="3" t="s">
        <v>21</v>
      </c>
    </row>
    <row r="139" spans="2:8" x14ac:dyDescent="0.4">
      <c r="C139" s="3" t="s">
        <v>24</v>
      </c>
    </row>
    <row r="140" spans="2:8" x14ac:dyDescent="0.4">
      <c r="C140" s="3" t="s">
        <v>22</v>
      </c>
    </row>
    <row r="141" spans="2:8" x14ac:dyDescent="0.4">
      <c r="C141" s="3" t="s">
        <v>23</v>
      </c>
    </row>
    <row r="142" spans="2:8" x14ac:dyDescent="0.4">
      <c r="F142"/>
    </row>
    <row r="143" spans="2:8" x14ac:dyDescent="0.4">
      <c r="H143" s="6" t="s">
        <v>25</v>
      </c>
    </row>
    <row r="145" spans="2:8" x14ac:dyDescent="0.4">
      <c r="B145" s="3" t="s">
        <v>26</v>
      </c>
    </row>
    <row r="146" spans="2:8" x14ac:dyDescent="0.4">
      <c r="F146"/>
    </row>
    <row r="147" spans="2:8" x14ac:dyDescent="0.4">
      <c r="H147" s="6" t="s">
        <v>27</v>
      </c>
    </row>
    <row r="149" spans="2:8" ht="15.75" x14ac:dyDescent="0.5">
      <c r="B149" s="3" t="s">
        <v>29</v>
      </c>
    </row>
    <row r="151" spans="2:8" x14ac:dyDescent="0.4">
      <c r="G151"/>
      <c r="H151" s="6" t="s">
        <v>28</v>
      </c>
    </row>
    <row r="155" spans="2:8" x14ac:dyDescent="0.4">
      <c r="F155"/>
    </row>
    <row r="156" spans="2:8" x14ac:dyDescent="0.4">
      <c r="H156" s="6"/>
    </row>
  </sheetData>
  <phoneticPr fontId="0" type="noConversion"/>
  <pageMargins left="0.75" right="0.75" top="1" bottom="1" header="0.5" footer="0.5"/>
  <pageSetup orientation="portrait" horizontalDpi="200" verticalDpi="200"/>
  <headerFooter alignWithMargins="0"/>
  <drawing r:id="rId1"/>
  <legacyDrawing r:id="rId2"/>
  <oleObjects>
    <mc:AlternateContent xmlns:mc="http://schemas.openxmlformats.org/markup-compatibility/2006">
      <mc:Choice Requires="x14">
        <oleObject progId="Equation.3" shapeId="1026" r:id="rId3">
          <objectPr defaultSize="0" autoPict="0" r:id="rId4">
            <anchor moveWithCells="1" sizeWithCells="1">
              <from>
                <xdr:col>3</xdr:col>
                <xdr:colOff>52388</xdr:colOff>
                <xdr:row>30</xdr:row>
                <xdr:rowOff>114300</xdr:rowOff>
              </from>
              <to>
                <xdr:col>4</xdr:col>
                <xdr:colOff>190500</xdr:colOff>
                <xdr:row>32</xdr:row>
                <xdr:rowOff>100013</xdr:rowOff>
              </to>
            </anchor>
          </objectPr>
        </oleObject>
      </mc:Choice>
      <mc:Fallback>
        <oleObject progId="Equation.3" shapeId="1026" r:id="rId3"/>
      </mc:Fallback>
    </mc:AlternateContent>
    <mc:AlternateContent xmlns:mc="http://schemas.openxmlformats.org/markup-compatibility/2006">
      <mc:Choice Requires="x14">
        <oleObject progId="Equation.3" shapeId="1027" r:id="rId5">
          <objectPr defaultSize="0" autoPict="0" r:id="rId6">
            <anchor moveWithCells="1" sizeWithCells="1">
              <from>
                <xdr:col>2</xdr:col>
                <xdr:colOff>519113</xdr:colOff>
                <xdr:row>33</xdr:row>
                <xdr:rowOff>90488</xdr:rowOff>
              </from>
              <to>
                <xdr:col>4</xdr:col>
                <xdr:colOff>495300</xdr:colOff>
                <xdr:row>35</xdr:row>
                <xdr:rowOff>138113</xdr:rowOff>
              </to>
            </anchor>
          </objectPr>
        </oleObject>
      </mc:Choice>
      <mc:Fallback>
        <oleObject progId="Equation.3" shapeId="1027" r:id="rId5"/>
      </mc:Fallback>
    </mc:AlternateContent>
    <mc:AlternateContent xmlns:mc="http://schemas.openxmlformats.org/markup-compatibility/2006">
      <mc:Choice Requires="x14">
        <oleObject progId="Equation.3" shapeId="1028" r:id="rId7">
          <objectPr defaultSize="0" autoPict="0" r:id="rId8">
            <anchor moveWithCells="1" sizeWithCells="1">
              <from>
                <xdr:col>3</xdr:col>
                <xdr:colOff>0</xdr:colOff>
                <xdr:row>37</xdr:row>
                <xdr:rowOff>14288</xdr:rowOff>
              </from>
              <to>
                <xdr:col>3</xdr:col>
                <xdr:colOff>661988</xdr:colOff>
                <xdr:row>37</xdr:row>
                <xdr:rowOff>152400</xdr:rowOff>
              </to>
            </anchor>
          </objectPr>
        </oleObject>
      </mc:Choice>
      <mc:Fallback>
        <oleObject progId="Equation.3" shapeId="1028" r:id="rId7"/>
      </mc:Fallback>
    </mc:AlternateContent>
    <mc:AlternateContent xmlns:mc="http://schemas.openxmlformats.org/markup-compatibility/2006">
      <mc:Choice Requires="x14">
        <oleObject progId="Equation.3" shapeId="1029" r:id="rId9">
          <objectPr defaultSize="0" autoPict="0" r:id="rId10">
            <anchor moveWithCells="1" sizeWithCells="1">
              <from>
                <xdr:col>4</xdr:col>
                <xdr:colOff>76200</xdr:colOff>
                <xdr:row>37</xdr:row>
                <xdr:rowOff>0</xdr:rowOff>
              </from>
              <to>
                <xdr:col>4</xdr:col>
                <xdr:colOff>481013</xdr:colOff>
                <xdr:row>38</xdr:row>
                <xdr:rowOff>14288</xdr:rowOff>
              </to>
            </anchor>
          </objectPr>
        </oleObject>
      </mc:Choice>
      <mc:Fallback>
        <oleObject progId="Equation.3" shapeId="1029" r:id="rId9"/>
      </mc:Fallback>
    </mc:AlternateContent>
    <mc:AlternateContent xmlns:mc="http://schemas.openxmlformats.org/markup-compatibility/2006">
      <mc:Choice Requires="x14">
        <oleObject progId="Equation.3" shapeId="1030" r:id="rId11">
          <objectPr defaultSize="0" autoPict="0" r:id="rId12">
            <anchor moveWithCells="1" sizeWithCells="1">
              <from>
                <xdr:col>4</xdr:col>
                <xdr:colOff>647700</xdr:colOff>
                <xdr:row>36</xdr:row>
                <xdr:rowOff>152400</xdr:rowOff>
              </from>
              <to>
                <xdr:col>5</xdr:col>
                <xdr:colOff>442913</xdr:colOff>
                <xdr:row>38</xdr:row>
                <xdr:rowOff>0</xdr:rowOff>
              </to>
            </anchor>
          </objectPr>
        </oleObject>
      </mc:Choice>
      <mc:Fallback>
        <oleObject progId="Equation.3" shapeId="1030" r:id="rId11"/>
      </mc:Fallback>
    </mc:AlternateContent>
    <mc:AlternateContent xmlns:mc="http://schemas.openxmlformats.org/markup-compatibility/2006">
      <mc:Choice Requires="x14">
        <oleObject progId="Equation.3" shapeId="1031" r:id="rId13">
          <objectPr defaultSize="0" autoPict="0" r:id="rId14">
            <anchor moveWithCells="1" sizeWithCells="1">
              <from>
                <xdr:col>2</xdr:col>
                <xdr:colOff>457200</xdr:colOff>
                <xdr:row>38</xdr:row>
                <xdr:rowOff>100013</xdr:rowOff>
              </from>
              <to>
                <xdr:col>3</xdr:col>
                <xdr:colOff>685800</xdr:colOff>
                <xdr:row>40</xdr:row>
                <xdr:rowOff>90488</xdr:rowOff>
              </to>
            </anchor>
          </objectPr>
        </oleObject>
      </mc:Choice>
      <mc:Fallback>
        <oleObject progId="Equation.3" shapeId="1031" r:id="rId13"/>
      </mc:Fallback>
    </mc:AlternateContent>
    <mc:AlternateContent xmlns:mc="http://schemas.openxmlformats.org/markup-compatibility/2006">
      <mc:Choice Requires="x14">
        <oleObject progId="Equation.3" shapeId="1032" r:id="rId15">
          <objectPr defaultSize="0" autoPict="0" r:id="rId16">
            <anchor moveWithCells="1" sizeWithCells="1">
              <from>
                <xdr:col>4</xdr:col>
                <xdr:colOff>114300</xdr:colOff>
                <xdr:row>38</xdr:row>
                <xdr:rowOff>90488</xdr:rowOff>
              </from>
              <to>
                <xdr:col>5</xdr:col>
                <xdr:colOff>214313</xdr:colOff>
                <xdr:row>40</xdr:row>
                <xdr:rowOff>114300</xdr:rowOff>
              </to>
            </anchor>
          </objectPr>
        </oleObject>
      </mc:Choice>
      <mc:Fallback>
        <oleObject progId="Equation.3" shapeId="1032" r:id="rId15"/>
      </mc:Fallback>
    </mc:AlternateContent>
    <mc:AlternateContent xmlns:mc="http://schemas.openxmlformats.org/markup-compatibility/2006">
      <mc:Choice Requires="x14">
        <oleObject progId="Equation.3" shapeId="1033" r:id="rId17">
          <objectPr defaultSize="0" autoPict="0" r:id="rId18">
            <anchor moveWithCells="1" sizeWithCells="1">
              <from>
                <xdr:col>5</xdr:col>
                <xdr:colOff>419100</xdr:colOff>
                <xdr:row>38</xdr:row>
                <xdr:rowOff>90488</xdr:rowOff>
              </from>
              <to>
                <xdr:col>6</xdr:col>
                <xdr:colOff>585788</xdr:colOff>
                <xdr:row>40</xdr:row>
                <xdr:rowOff>114300</xdr:rowOff>
              </to>
            </anchor>
          </objectPr>
        </oleObject>
      </mc:Choice>
      <mc:Fallback>
        <oleObject progId="Equation.3" shapeId="1033" r:id="rId17"/>
      </mc:Fallback>
    </mc:AlternateContent>
    <mc:AlternateContent xmlns:mc="http://schemas.openxmlformats.org/markup-compatibility/2006">
      <mc:Choice Requires="x14">
        <oleObject progId="Equation.3" shapeId="1035" r:id="rId19">
          <objectPr defaultSize="0" autoPict="0" r:id="rId20">
            <anchor moveWithCells="1" sizeWithCells="1">
              <from>
                <xdr:col>7</xdr:col>
                <xdr:colOff>23813</xdr:colOff>
                <xdr:row>41</xdr:row>
                <xdr:rowOff>90488</xdr:rowOff>
              </from>
              <to>
                <xdr:col>7</xdr:col>
                <xdr:colOff>457200</xdr:colOff>
                <xdr:row>43</xdr:row>
                <xdr:rowOff>90488</xdr:rowOff>
              </to>
            </anchor>
          </objectPr>
        </oleObject>
      </mc:Choice>
      <mc:Fallback>
        <oleObject progId="Equation.3" shapeId="1035" r:id="rId19"/>
      </mc:Fallback>
    </mc:AlternateContent>
    <mc:AlternateContent xmlns:mc="http://schemas.openxmlformats.org/markup-compatibility/2006">
      <mc:Choice Requires="x14">
        <oleObject progId="Equation.3" shapeId="1037" r:id="rId21">
          <objectPr defaultSize="0" autoPict="0" r:id="rId22">
            <anchor moveWithCells="1" sizeWithCells="1">
              <from>
                <xdr:col>4</xdr:col>
                <xdr:colOff>0</xdr:colOff>
                <xdr:row>43</xdr:row>
                <xdr:rowOff>152400</xdr:rowOff>
              </from>
              <to>
                <xdr:col>5</xdr:col>
                <xdr:colOff>190500</xdr:colOff>
                <xdr:row>45</xdr:row>
                <xdr:rowOff>14288</xdr:rowOff>
              </to>
            </anchor>
          </objectPr>
        </oleObject>
      </mc:Choice>
      <mc:Fallback>
        <oleObject progId="Equation.3" shapeId="1037" r:id="rId21"/>
      </mc:Fallback>
    </mc:AlternateContent>
    <mc:AlternateContent xmlns:mc="http://schemas.openxmlformats.org/markup-compatibility/2006">
      <mc:Choice Requires="x14">
        <oleObject progId="Equation.3" shapeId="1038" r:id="rId23">
          <objectPr defaultSize="0" autoPict="0" r:id="rId24">
            <anchor moveWithCells="1" sizeWithCells="1">
              <from>
                <xdr:col>5</xdr:col>
                <xdr:colOff>433388</xdr:colOff>
                <xdr:row>43</xdr:row>
                <xdr:rowOff>152400</xdr:rowOff>
              </from>
              <to>
                <xdr:col>6</xdr:col>
                <xdr:colOff>633413</xdr:colOff>
                <xdr:row>45</xdr:row>
                <xdr:rowOff>0</xdr:rowOff>
              </to>
            </anchor>
          </objectPr>
        </oleObject>
      </mc:Choice>
      <mc:Fallback>
        <oleObject progId="Equation.3" shapeId="1038" r:id="rId23"/>
      </mc:Fallback>
    </mc:AlternateContent>
    <mc:AlternateContent xmlns:mc="http://schemas.openxmlformats.org/markup-compatibility/2006">
      <mc:Choice Requires="x14">
        <oleObject progId="Equation.3" shapeId="1040" r:id="rId25">
          <objectPr defaultSize="0" autoPict="0" r:id="rId26">
            <anchor moveWithCells="1" sizeWithCells="1">
              <from>
                <xdr:col>4</xdr:col>
                <xdr:colOff>595313</xdr:colOff>
                <xdr:row>45</xdr:row>
                <xdr:rowOff>100013</xdr:rowOff>
              </from>
              <to>
                <xdr:col>6</xdr:col>
                <xdr:colOff>280988</xdr:colOff>
                <xdr:row>47</xdr:row>
                <xdr:rowOff>114300</xdr:rowOff>
              </to>
            </anchor>
          </objectPr>
        </oleObject>
      </mc:Choice>
      <mc:Fallback>
        <oleObject progId="Equation.3" shapeId="1040" r:id="rId25"/>
      </mc:Fallback>
    </mc:AlternateContent>
    <mc:AlternateContent xmlns:mc="http://schemas.openxmlformats.org/markup-compatibility/2006">
      <mc:Choice Requires="x14">
        <oleObject progId="Equation.3" shapeId="1041" r:id="rId27">
          <objectPr defaultSize="0" autoPict="0" r:id="rId28">
            <anchor moveWithCells="1" sizeWithCells="1">
              <from>
                <xdr:col>6</xdr:col>
                <xdr:colOff>419100</xdr:colOff>
                <xdr:row>45</xdr:row>
                <xdr:rowOff>114300</xdr:rowOff>
              </from>
              <to>
                <xdr:col>8</xdr:col>
                <xdr:colOff>128588</xdr:colOff>
                <xdr:row>47</xdr:row>
                <xdr:rowOff>128588</xdr:rowOff>
              </to>
            </anchor>
          </objectPr>
        </oleObject>
      </mc:Choice>
      <mc:Fallback>
        <oleObject progId="Equation.3" shapeId="1041" r:id="rId27"/>
      </mc:Fallback>
    </mc:AlternateContent>
    <mc:AlternateContent xmlns:mc="http://schemas.openxmlformats.org/markup-compatibility/2006">
      <mc:Choice Requires="x14">
        <oleObject progId="Equation.3" shapeId="1042" r:id="rId29">
          <objectPr defaultSize="0" autoPict="0" r:id="rId30">
            <anchor moveWithCells="1" sizeWithCells="1">
              <from>
                <xdr:col>3</xdr:col>
                <xdr:colOff>38100</xdr:colOff>
                <xdr:row>48</xdr:row>
                <xdr:rowOff>114300</xdr:rowOff>
              </from>
              <to>
                <xdr:col>3</xdr:col>
                <xdr:colOff>647700</xdr:colOff>
                <xdr:row>50</xdr:row>
                <xdr:rowOff>100013</xdr:rowOff>
              </to>
            </anchor>
          </objectPr>
        </oleObject>
      </mc:Choice>
      <mc:Fallback>
        <oleObject progId="Equation.3" shapeId="1042" r:id="rId29"/>
      </mc:Fallback>
    </mc:AlternateContent>
    <mc:AlternateContent xmlns:mc="http://schemas.openxmlformats.org/markup-compatibility/2006">
      <mc:Choice Requires="x14">
        <oleObject progId="Equation.3" shapeId="1043" r:id="rId31">
          <objectPr defaultSize="0" autoPict="0" r:id="rId32">
            <anchor moveWithCells="1" sizeWithCells="1">
              <from>
                <xdr:col>4</xdr:col>
                <xdr:colOff>90488</xdr:colOff>
                <xdr:row>48</xdr:row>
                <xdr:rowOff>100013</xdr:rowOff>
              </from>
              <to>
                <xdr:col>5</xdr:col>
                <xdr:colOff>114300</xdr:colOff>
                <xdr:row>50</xdr:row>
                <xdr:rowOff>90488</xdr:rowOff>
              </to>
            </anchor>
          </objectPr>
        </oleObject>
      </mc:Choice>
      <mc:Fallback>
        <oleObject progId="Equation.3" shapeId="1043" r:id="rId31"/>
      </mc:Fallback>
    </mc:AlternateContent>
    <mc:AlternateContent xmlns:mc="http://schemas.openxmlformats.org/markup-compatibility/2006">
      <mc:Choice Requires="x14">
        <oleObject progId="Equation.3" shapeId="1044" r:id="rId33">
          <objectPr defaultSize="0" autoPict="0" r:id="rId34">
            <anchor moveWithCells="1" sizeWithCells="1">
              <from>
                <xdr:col>5</xdr:col>
                <xdr:colOff>266700</xdr:colOff>
                <xdr:row>48</xdr:row>
                <xdr:rowOff>114300</xdr:rowOff>
              </from>
              <to>
                <xdr:col>6</xdr:col>
                <xdr:colOff>328613</xdr:colOff>
                <xdr:row>50</xdr:row>
                <xdr:rowOff>100013</xdr:rowOff>
              </to>
            </anchor>
          </objectPr>
        </oleObject>
      </mc:Choice>
      <mc:Fallback>
        <oleObject progId="Equation.3" shapeId="1044" r:id="rId33"/>
      </mc:Fallback>
    </mc:AlternateContent>
    <mc:AlternateContent xmlns:mc="http://schemas.openxmlformats.org/markup-compatibility/2006">
      <mc:Choice Requires="x14">
        <oleObject progId="Equation.3" shapeId="1046" r:id="rId35">
          <objectPr defaultSize="0" autoPict="0" r:id="rId36">
            <anchor moveWithCells="1" sizeWithCells="1">
              <from>
                <xdr:col>4</xdr:col>
                <xdr:colOff>571500</xdr:colOff>
                <xdr:row>51</xdr:row>
                <xdr:rowOff>90488</xdr:rowOff>
              </from>
              <to>
                <xdr:col>5</xdr:col>
                <xdr:colOff>557213</xdr:colOff>
                <xdr:row>53</xdr:row>
                <xdr:rowOff>114300</xdr:rowOff>
              </to>
            </anchor>
          </objectPr>
        </oleObject>
      </mc:Choice>
      <mc:Fallback>
        <oleObject progId="Equation.3" shapeId="1046" r:id="rId35"/>
      </mc:Fallback>
    </mc:AlternateContent>
    <mc:AlternateContent xmlns:mc="http://schemas.openxmlformats.org/markup-compatibility/2006">
      <mc:Choice Requires="x14">
        <oleObject progId="Equation.3" shapeId="1047" r:id="rId37">
          <objectPr defaultSize="0" autoPict="0" r:id="rId38">
            <anchor moveWithCells="1" sizeWithCells="1">
              <from>
                <xdr:col>3</xdr:col>
                <xdr:colOff>442913</xdr:colOff>
                <xdr:row>58</xdr:row>
                <xdr:rowOff>152400</xdr:rowOff>
              </from>
              <to>
                <xdr:col>4</xdr:col>
                <xdr:colOff>433388</xdr:colOff>
                <xdr:row>60</xdr:row>
                <xdr:rowOff>14288</xdr:rowOff>
              </to>
            </anchor>
          </objectPr>
        </oleObject>
      </mc:Choice>
      <mc:Fallback>
        <oleObject progId="Equation.3" shapeId="1047" r:id="rId37"/>
      </mc:Fallback>
    </mc:AlternateContent>
    <mc:AlternateContent xmlns:mc="http://schemas.openxmlformats.org/markup-compatibility/2006">
      <mc:Choice Requires="x14">
        <oleObject progId="Equation.3" shapeId="1048" r:id="rId39">
          <objectPr defaultSize="0" autoPict="0" r:id="rId40">
            <anchor moveWithCells="1" sizeWithCells="1">
              <from>
                <xdr:col>5</xdr:col>
                <xdr:colOff>404813</xdr:colOff>
                <xdr:row>60</xdr:row>
                <xdr:rowOff>152400</xdr:rowOff>
              </from>
              <to>
                <xdr:col>7</xdr:col>
                <xdr:colOff>519113</xdr:colOff>
                <xdr:row>62</xdr:row>
                <xdr:rowOff>14288</xdr:rowOff>
              </to>
            </anchor>
          </objectPr>
        </oleObject>
      </mc:Choice>
      <mc:Fallback>
        <oleObject progId="Equation.3" shapeId="1048" r:id="rId39"/>
      </mc:Fallback>
    </mc:AlternateContent>
    <mc:AlternateContent xmlns:mc="http://schemas.openxmlformats.org/markup-compatibility/2006">
      <mc:Choice Requires="x14">
        <oleObject progId="Equation.3" shapeId="1049" r:id="rId41">
          <objectPr defaultSize="0" autoPict="0" r:id="rId42">
            <anchor moveWithCells="1" sizeWithCells="1">
              <from>
                <xdr:col>3</xdr:col>
                <xdr:colOff>395288</xdr:colOff>
                <xdr:row>63</xdr:row>
                <xdr:rowOff>14288</xdr:rowOff>
              </from>
              <to>
                <xdr:col>4</xdr:col>
                <xdr:colOff>457200</xdr:colOff>
                <xdr:row>64</xdr:row>
                <xdr:rowOff>0</xdr:rowOff>
              </to>
            </anchor>
          </objectPr>
        </oleObject>
      </mc:Choice>
      <mc:Fallback>
        <oleObject progId="Equation.3" shapeId="1049" r:id="rId41"/>
      </mc:Fallback>
    </mc:AlternateContent>
    <mc:AlternateContent xmlns:mc="http://schemas.openxmlformats.org/markup-compatibility/2006">
      <mc:Choice Requires="x14">
        <oleObject progId="Equation.3" shapeId="1051" r:id="rId43">
          <objectPr defaultSize="0" autoPict="0" r:id="rId44">
            <anchor moveWithCells="1" sizeWithCells="1">
              <from>
                <xdr:col>7</xdr:col>
                <xdr:colOff>61913</xdr:colOff>
                <xdr:row>64</xdr:row>
                <xdr:rowOff>152400</xdr:rowOff>
              </from>
              <to>
                <xdr:col>9</xdr:col>
                <xdr:colOff>547688</xdr:colOff>
                <xdr:row>66</xdr:row>
                <xdr:rowOff>14288</xdr:rowOff>
              </to>
            </anchor>
          </objectPr>
        </oleObject>
      </mc:Choice>
      <mc:Fallback>
        <oleObject progId="Equation.3" shapeId="1051" r:id="rId43"/>
      </mc:Fallback>
    </mc:AlternateContent>
    <mc:AlternateContent xmlns:mc="http://schemas.openxmlformats.org/markup-compatibility/2006">
      <mc:Choice Requires="x14">
        <oleObject progId="Equation.3" shapeId="1052" r:id="rId45">
          <objectPr defaultSize="0" autoPict="0" r:id="rId46">
            <anchor moveWithCells="1" sizeWithCells="1">
              <from>
                <xdr:col>3</xdr:col>
                <xdr:colOff>204788</xdr:colOff>
                <xdr:row>67</xdr:row>
                <xdr:rowOff>0</xdr:rowOff>
              </from>
              <to>
                <xdr:col>4</xdr:col>
                <xdr:colOff>685800</xdr:colOff>
                <xdr:row>68</xdr:row>
                <xdr:rowOff>14288</xdr:rowOff>
              </to>
            </anchor>
          </objectPr>
        </oleObject>
      </mc:Choice>
      <mc:Fallback>
        <oleObject progId="Equation.3" shapeId="1052" r:id="rId45"/>
      </mc:Fallback>
    </mc:AlternateContent>
    <mc:AlternateContent xmlns:mc="http://schemas.openxmlformats.org/markup-compatibility/2006">
      <mc:Choice Requires="x14">
        <oleObject progId="Equation.3" shapeId="1053" r:id="rId47">
          <objectPr defaultSize="0" autoPict="0" r:id="rId48">
            <anchor moveWithCells="1" sizeWithCells="1">
              <from>
                <xdr:col>3</xdr:col>
                <xdr:colOff>152400</xdr:colOff>
                <xdr:row>73</xdr:row>
                <xdr:rowOff>61913</xdr:rowOff>
              </from>
              <to>
                <xdr:col>5</xdr:col>
                <xdr:colOff>114300</xdr:colOff>
                <xdr:row>75</xdr:row>
                <xdr:rowOff>114300</xdr:rowOff>
              </to>
            </anchor>
          </objectPr>
        </oleObject>
      </mc:Choice>
      <mc:Fallback>
        <oleObject progId="Equation.3" shapeId="1053" r:id="rId47"/>
      </mc:Fallback>
    </mc:AlternateContent>
    <mc:AlternateContent xmlns:mc="http://schemas.openxmlformats.org/markup-compatibility/2006">
      <mc:Choice Requires="x14">
        <oleObject progId="Equation.3" shapeId="1054" r:id="rId49">
          <objectPr defaultSize="0" autoPict="0" r:id="rId30">
            <anchor moveWithCells="1" sizeWithCells="1">
              <from>
                <xdr:col>5</xdr:col>
                <xdr:colOff>647700</xdr:colOff>
                <xdr:row>75</xdr:row>
                <xdr:rowOff>100013</xdr:rowOff>
              </from>
              <to>
                <xdr:col>6</xdr:col>
                <xdr:colOff>557213</xdr:colOff>
                <xdr:row>77</xdr:row>
                <xdr:rowOff>90488</xdr:rowOff>
              </to>
            </anchor>
          </objectPr>
        </oleObject>
      </mc:Choice>
      <mc:Fallback>
        <oleObject progId="Equation.3" shapeId="1054" r:id="rId49"/>
      </mc:Fallback>
    </mc:AlternateContent>
    <mc:AlternateContent xmlns:mc="http://schemas.openxmlformats.org/markup-compatibility/2006">
      <mc:Choice Requires="x14">
        <oleObject progId="Equation.3" shapeId="1056" r:id="rId50">
          <objectPr defaultSize="0" autoPict="0" r:id="rId51">
            <anchor moveWithCells="1" sizeWithCells="1">
              <from>
                <xdr:col>3</xdr:col>
                <xdr:colOff>471488</xdr:colOff>
                <xdr:row>89</xdr:row>
                <xdr:rowOff>100013</xdr:rowOff>
              </from>
              <to>
                <xdr:col>4</xdr:col>
                <xdr:colOff>519113</xdr:colOff>
                <xdr:row>91</xdr:row>
                <xdr:rowOff>90488</xdr:rowOff>
              </to>
            </anchor>
          </objectPr>
        </oleObject>
      </mc:Choice>
      <mc:Fallback>
        <oleObject progId="Equation.3" shapeId="1056" r:id="rId50"/>
      </mc:Fallback>
    </mc:AlternateContent>
    <mc:AlternateContent xmlns:mc="http://schemas.openxmlformats.org/markup-compatibility/2006">
      <mc:Choice Requires="x14">
        <oleObject progId="Equation.3" shapeId="1057" r:id="rId52">
          <objectPr defaultSize="0" autoPict="0" r:id="rId53">
            <anchor moveWithCells="1" sizeWithCells="1">
              <from>
                <xdr:col>3</xdr:col>
                <xdr:colOff>214313</xdr:colOff>
                <xdr:row>77</xdr:row>
                <xdr:rowOff>90488</xdr:rowOff>
              </from>
              <to>
                <xdr:col>4</xdr:col>
                <xdr:colOff>595313</xdr:colOff>
                <xdr:row>79</xdr:row>
                <xdr:rowOff>114300</xdr:rowOff>
              </to>
            </anchor>
          </objectPr>
        </oleObject>
      </mc:Choice>
      <mc:Fallback>
        <oleObject progId="Equation.3" shapeId="1057" r:id="rId52"/>
      </mc:Fallback>
    </mc:AlternateContent>
    <mc:AlternateContent xmlns:mc="http://schemas.openxmlformats.org/markup-compatibility/2006">
      <mc:Choice Requires="x14">
        <oleObject progId="Equation.3" shapeId="1060" r:id="rId54">
          <objectPr defaultSize="0" autoPict="0" r:id="rId55">
            <anchor moveWithCells="1" sizeWithCells="1">
              <from>
                <xdr:col>2</xdr:col>
                <xdr:colOff>509588</xdr:colOff>
                <xdr:row>83</xdr:row>
                <xdr:rowOff>61913</xdr:rowOff>
              </from>
              <to>
                <xdr:col>5</xdr:col>
                <xdr:colOff>266700</xdr:colOff>
                <xdr:row>85</xdr:row>
                <xdr:rowOff>114300</xdr:rowOff>
              </to>
            </anchor>
          </objectPr>
        </oleObject>
      </mc:Choice>
      <mc:Fallback>
        <oleObject progId="Equation.3" shapeId="1060" r:id="rId54"/>
      </mc:Fallback>
    </mc:AlternateContent>
    <mc:AlternateContent xmlns:mc="http://schemas.openxmlformats.org/markup-compatibility/2006">
      <mc:Choice Requires="x14">
        <oleObject progId="Equation.3" shapeId="1066" r:id="rId56">
          <objectPr defaultSize="0" autoPict="0" r:id="rId57">
            <anchor moveWithCells="1" sizeWithCells="1">
              <from>
                <xdr:col>2</xdr:col>
                <xdr:colOff>357188</xdr:colOff>
                <xdr:row>113</xdr:row>
                <xdr:rowOff>114300</xdr:rowOff>
              </from>
              <to>
                <xdr:col>4</xdr:col>
                <xdr:colOff>266700</xdr:colOff>
                <xdr:row>115</xdr:row>
                <xdr:rowOff>128588</xdr:rowOff>
              </to>
            </anchor>
          </objectPr>
        </oleObject>
      </mc:Choice>
      <mc:Fallback>
        <oleObject progId="Equation.3" shapeId="1066" r:id="rId56"/>
      </mc:Fallback>
    </mc:AlternateContent>
    <mc:AlternateContent xmlns:mc="http://schemas.openxmlformats.org/markup-compatibility/2006">
      <mc:Choice Requires="x14">
        <oleObject progId="Equation.3" shapeId="1067" r:id="rId58">
          <objectPr defaultSize="0" autoPict="0" r:id="rId59">
            <anchor moveWithCells="1" sizeWithCells="1">
              <from>
                <xdr:col>4</xdr:col>
                <xdr:colOff>471488</xdr:colOff>
                <xdr:row>113</xdr:row>
                <xdr:rowOff>100013</xdr:rowOff>
              </from>
              <to>
                <xdr:col>6</xdr:col>
                <xdr:colOff>128588</xdr:colOff>
                <xdr:row>115</xdr:row>
                <xdr:rowOff>90488</xdr:rowOff>
              </to>
            </anchor>
          </objectPr>
        </oleObject>
      </mc:Choice>
      <mc:Fallback>
        <oleObject progId="Equation.3" shapeId="1067" r:id="rId58"/>
      </mc:Fallback>
    </mc:AlternateContent>
    <mc:AlternateContent xmlns:mc="http://schemas.openxmlformats.org/markup-compatibility/2006">
      <mc:Choice Requires="x14">
        <oleObject progId="Equation.3" shapeId="1068" r:id="rId60">
          <objectPr defaultSize="0" autoPict="0" r:id="rId61">
            <anchor moveWithCells="1" sizeWithCells="1">
              <from>
                <xdr:col>4</xdr:col>
                <xdr:colOff>152400</xdr:colOff>
                <xdr:row>123</xdr:row>
                <xdr:rowOff>61913</xdr:rowOff>
              </from>
              <to>
                <xdr:col>5</xdr:col>
                <xdr:colOff>38100</xdr:colOff>
                <xdr:row>125</xdr:row>
                <xdr:rowOff>128588</xdr:rowOff>
              </to>
            </anchor>
          </objectPr>
        </oleObject>
      </mc:Choice>
      <mc:Fallback>
        <oleObject progId="Equation.3" shapeId="1068" r:id="rId60"/>
      </mc:Fallback>
    </mc:AlternateContent>
    <mc:AlternateContent xmlns:mc="http://schemas.openxmlformats.org/markup-compatibility/2006">
      <mc:Choice Requires="x14">
        <oleObject progId="Equation.3" shapeId="1071" r:id="rId62">
          <objectPr defaultSize="0" autoPict="0" r:id="rId63">
            <anchor moveWithCells="1" sizeWithCells="1">
              <from>
                <xdr:col>2</xdr:col>
                <xdr:colOff>61913</xdr:colOff>
                <xdr:row>108</xdr:row>
                <xdr:rowOff>90488</xdr:rowOff>
              </from>
              <to>
                <xdr:col>5</xdr:col>
                <xdr:colOff>90488</xdr:colOff>
                <xdr:row>110</xdr:row>
                <xdr:rowOff>138113</xdr:rowOff>
              </to>
            </anchor>
          </objectPr>
        </oleObject>
      </mc:Choice>
      <mc:Fallback>
        <oleObject progId="Equation.3" shapeId="1071" r:id="rId62"/>
      </mc:Fallback>
    </mc:AlternateContent>
    <mc:AlternateContent xmlns:mc="http://schemas.openxmlformats.org/markup-compatibility/2006">
      <mc:Choice Requires="x14">
        <oleObject progId="Equation.3" shapeId="1072" r:id="rId64">
          <objectPr defaultSize="0" autoPict="0" r:id="rId65">
            <anchor moveWithCells="1" sizeWithCells="1">
              <from>
                <xdr:col>2</xdr:col>
                <xdr:colOff>381000</xdr:colOff>
                <xdr:row>101</xdr:row>
                <xdr:rowOff>52388</xdr:rowOff>
              </from>
              <to>
                <xdr:col>4</xdr:col>
                <xdr:colOff>138113</xdr:colOff>
                <xdr:row>103</xdr:row>
                <xdr:rowOff>128588</xdr:rowOff>
              </to>
            </anchor>
          </objectPr>
        </oleObject>
      </mc:Choice>
      <mc:Fallback>
        <oleObject progId="Equation.3" shapeId="1072" r:id="rId64"/>
      </mc:Fallback>
    </mc:AlternateContent>
    <mc:AlternateContent xmlns:mc="http://schemas.openxmlformats.org/markup-compatibility/2006">
      <mc:Choice Requires="x14">
        <oleObject progId="Equation.3" shapeId="1073" r:id="rId66">
          <objectPr defaultSize="0" autoPict="0" r:id="rId67">
            <anchor moveWithCells="1" sizeWithCells="1">
              <from>
                <xdr:col>5</xdr:col>
                <xdr:colOff>242888</xdr:colOff>
                <xdr:row>108</xdr:row>
                <xdr:rowOff>52388</xdr:rowOff>
              </from>
              <to>
                <xdr:col>6</xdr:col>
                <xdr:colOff>623888</xdr:colOff>
                <xdr:row>110</xdr:row>
                <xdr:rowOff>114300</xdr:rowOff>
              </to>
            </anchor>
          </objectPr>
        </oleObject>
      </mc:Choice>
      <mc:Fallback>
        <oleObject progId="Equation.3" shapeId="1073" r:id="rId66"/>
      </mc:Fallback>
    </mc:AlternateContent>
    <mc:AlternateContent xmlns:mc="http://schemas.openxmlformats.org/markup-compatibility/2006">
      <mc:Choice Requires="x14">
        <oleObject progId="Equation.3" shapeId="1074" r:id="rId68">
          <objectPr defaultSize="0" autoPict="0" r:id="rId69">
            <anchor moveWithCells="1" sizeWithCells="1">
              <from>
                <xdr:col>4</xdr:col>
                <xdr:colOff>509588</xdr:colOff>
                <xdr:row>101</xdr:row>
                <xdr:rowOff>61913</xdr:rowOff>
              </from>
              <to>
                <xdr:col>6</xdr:col>
                <xdr:colOff>252413</xdr:colOff>
                <xdr:row>103</xdr:row>
                <xdr:rowOff>128588</xdr:rowOff>
              </to>
            </anchor>
          </objectPr>
        </oleObject>
      </mc:Choice>
      <mc:Fallback>
        <oleObject progId="Equation.3" shapeId="1074" r:id="rId68"/>
      </mc:Fallback>
    </mc:AlternateContent>
    <mc:AlternateContent xmlns:mc="http://schemas.openxmlformats.org/markup-compatibility/2006">
      <mc:Choice Requires="x14">
        <oleObject progId="Equation.3" shapeId="1075" r:id="rId70">
          <objectPr defaultSize="0" autoPict="0" r:id="rId71">
            <anchor moveWithCells="1" sizeWithCells="1">
              <from>
                <xdr:col>4</xdr:col>
                <xdr:colOff>23813</xdr:colOff>
                <xdr:row>131</xdr:row>
                <xdr:rowOff>14288</xdr:rowOff>
              </from>
              <to>
                <xdr:col>5</xdr:col>
                <xdr:colOff>76200</xdr:colOff>
                <xdr:row>132</xdr:row>
                <xdr:rowOff>23813</xdr:rowOff>
              </to>
            </anchor>
          </objectPr>
        </oleObject>
      </mc:Choice>
      <mc:Fallback>
        <oleObject progId="Equation.3" shapeId="1075" r:id="rId70"/>
      </mc:Fallback>
    </mc:AlternateContent>
    <mc:AlternateContent xmlns:mc="http://schemas.openxmlformats.org/markup-compatibility/2006">
      <mc:Choice Requires="x14">
        <oleObject progId="Equation.3" shapeId="1076" r:id="rId72">
          <objectPr defaultSize="0" autoPict="0" r:id="rId73">
            <anchor moveWithCells="1" sizeWithCells="1">
              <from>
                <xdr:col>3</xdr:col>
                <xdr:colOff>395288</xdr:colOff>
                <xdr:row>134</xdr:row>
                <xdr:rowOff>52388</xdr:rowOff>
              </from>
              <to>
                <xdr:col>5</xdr:col>
                <xdr:colOff>242888</xdr:colOff>
                <xdr:row>136</xdr:row>
                <xdr:rowOff>128588</xdr:rowOff>
              </to>
            </anchor>
          </objectPr>
        </oleObject>
      </mc:Choice>
      <mc:Fallback>
        <oleObject progId="Equation.3" shapeId="1076" r:id="rId72"/>
      </mc:Fallback>
    </mc:AlternateContent>
    <mc:AlternateContent xmlns:mc="http://schemas.openxmlformats.org/markup-compatibility/2006">
      <mc:Choice Requires="x14">
        <oleObject progId="Equation.3" shapeId="1077" r:id="rId74">
          <objectPr defaultSize="0" autoPict="0" r:id="rId75">
            <anchor moveWithCells="1" sizeWithCells="1">
              <from>
                <xdr:col>3</xdr:col>
                <xdr:colOff>328613</xdr:colOff>
                <xdr:row>141</xdr:row>
                <xdr:rowOff>61913</xdr:rowOff>
              </from>
              <to>
                <xdr:col>4</xdr:col>
                <xdr:colOff>633413</xdr:colOff>
                <xdr:row>143</xdr:row>
                <xdr:rowOff>128588</xdr:rowOff>
              </to>
            </anchor>
          </objectPr>
        </oleObject>
      </mc:Choice>
      <mc:Fallback>
        <oleObject progId="Equation.3" shapeId="1077" r:id="rId74"/>
      </mc:Fallback>
    </mc:AlternateContent>
    <mc:AlternateContent xmlns:mc="http://schemas.openxmlformats.org/markup-compatibility/2006">
      <mc:Choice Requires="x14">
        <oleObject progId="Equation.3" shapeId="1078" r:id="rId76">
          <objectPr defaultSize="0" autoPict="0" r:id="rId77">
            <anchor moveWithCells="1" sizeWithCells="1">
              <from>
                <xdr:col>3</xdr:col>
                <xdr:colOff>304800</xdr:colOff>
                <xdr:row>146</xdr:row>
                <xdr:rowOff>0</xdr:rowOff>
              </from>
              <to>
                <xdr:col>4</xdr:col>
                <xdr:colOff>585788</xdr:colOff>
                <xdr:row>147</xdr:row>
                <xdr:rowOff>14288</xdr:rowOff>
              </to>
            </anchor>
          </objectPr>
        </oleObject>
      </mc:Choice>
      <mc:Fallback>
        <oleObject progId="Equation.3" shapeId="1078" r:id="rId76"/>
      </mc:Fallback>
    </mc:AlternateContent>
    <mc:AlternateContent xmlns:mc="http://schemas.openxmlformats.org/markup-compatibility/2006">
      <mc:Choice Requires="x14">
        <oleObject progId="Equation.3" shapeId="1079" r:id="rId78">
          <objectPr defaultSize="0" autoPict="0" r:id="rId79">
            <anchor moveWithCells="1" sizeWithCells="1">
              <from>
                <xdr:col>3</xdr:col>
                <xdr:colOff>176213</xdr:colOff>
                <xdr:row>149</xdr:row>
                <xdr:rowOff>90488</xdr:rowOff>
              </from>
              <to>
                <xdr:col>4</xdr:col>
                <xdr:colOff>623888</xdr:colOff>
                <xdr:row>151</xdr:row>
                <xdr:rowOff>114300</xdr:rowOff>
              </to>
            </anchor>
          </objectPr>
        </oleObject>
      </mc:Choice>
      <mc:Fallback>
        <oleObject progId="Equation.3" shapeId="1079" r:id="rId7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R70"/>
  <sheetViews>
    <sheetView tabSelected="1" topLeftCell="A30" zoomScale="86" zoomScaleNormal="86" workbookViewId="0">
      <selection activeCell="D42" sqref="D42"/>
    </sheetView>
  </sheetViews>
  <sheetFormatPr defaultColWidth="9.1328125" defaultRowHeight="15" x14ac:dyDescent="0.4"/>
  <cols>
    <col min="1" max="1" width="11" style="23" bestFit="1" customWidth="1"/>
    <col min="2" max="2" width="9.1328125" style="14"/>
    <col min="3" max="3" width="11" style="25" customWidth="1"/>
    <col min="4" max="4" width="9.1328125" style="25"/>
    <col min="5" max="5" width="11.1328125" style="25" bestFit="1" customWidth="1"/>
    <col min="6" max="19" width="9.1328125" style="25"/>
    <col min="20" max="20" width="9" style="25" customWidth="1"/>
    <col min="21" max="21" width="9.1328125" style="25"/>
    <col min="22" max="22" width="9.796875" style="25" bestFit="1" customWidth="1"/>
    <col min="23" max="16384" width="9.1328125" style="25"/>
  </cols>
  <sheetData>
    <row r="1" spans="1:12" x14ac:dyDescent="0.4">
      <c r="B1" s="13" t="s">
        <v>161</v>
      </c>
      <c r="C1" s="7"/>
      <c r="D1" s="7"/>
      <c r="E1" s="7"/>
      <c r="F1" s="7"/>
      <c r="G1" s="8"/>
      <c r="H1" s="7"/>
      <c r="I1" s="7"/>
      <c r="J1" s="7"/>
      <c r="K1" s="7"/>
      <c r="L1" s="7"/>
    </row>
    <row r="2" spans="1:12" x14ac:dyDescent="0.4">
      <c r="B2" s="13" t="s">
        <v>162</v>
      </c>
      <c r="C2" s="7"/>
      <c r="D2" s="7"/>
      <c r="E2" s="7"/>
      <c r="F2" s="7"/>
      <c r="G2" s="8"/>
      <c r="H2" s="7"/>
      <c r="I2" s="7"/>
      <c r="J2" s="7"/>
      <c r="K2" s="7"/>
      <c r="L2" s="7"/>
    </row>
    <row r="3" spans="1:12" x14ac:dyDescent="0.4">
      <c r="B3" s="13" t="s">
        <v>163</v>
      </c>
      <c r="C3" s="7"/>
      <c r="D3" s="7"/>
      <c r="E3" s="7"/>
      <c r="F3" s="7"/>
      <c r="G3" s="8"/>
      <c r="H3" s="7"/>
      <c r="I3" s="7"/>
      <c r="J3" s="7"/>
      <c r="K3" s="7"/>
      <c r="L3" s="7"/>
    </row>
    <row r="4" spans="1:12" x14ac:dyDescent="0.4">
      <c r="B4" s="7"/>
      <c r="C4" s="7"/>
      <c r="D4" s="7"/>
      <c r="E4" s="7"/>
      <c r="F4" s="7"/>
      <c r="G4" s="8"/>
      <c r="H4" s="7"/>
      <c r="I4" s="7"/>
      <c r="J4" s="7"/>
      <c r="K4" s="7"/>
      <c r="L4" s="7"/>
    </row>
    <row r="5" spans="1:12" ht="16.899999999999999" x14ac:dyDescent="0.4">
      <c r="B5" s="7" t="s">
        <v>164</v>
      </c>
      <c r="C5" s="9">
        <v>1641</v>
      </c>
      <c r="D5" s="7" t="s">
        <v>165</v>
      </c>
      <c r="E5" s="10">
        <f>C5/1000</f>
        <v>1.641</v>
      </c>
      <c r="F5" s="7" t="s">
        <v>166</v>
      </c>
      <c r="G5" s="8" t="s">
        <v>167</v>
      </c>
      <c r="H5" s="7"/>
      <c r="I5" s="7"/>
      <c r="J5" s="7"/>
      <c r="K5" s="7"/>
      <c r="L5" s="7"/>
    </row>
    <row r="6" spans="1:12" x14ac:dyDescent="0.4">
      <c r="B6" s="7" t="s">
        <v>168</v>
      </c>
      <c r="C6" s="9">
        <v>200</v>
      </c>
      <c r="D6" s="7" t="s">
        <v>169</v>
      </c>
      <c r="E6" s="10">
        <f>C6/100</f>
        <v>2</v>
      </c>
      <c r="F6" s="7" t="s">
        <v>170</v>
      </c>
      <c r="G6" s="8" t="s">
        <v>171</v>
      </c>
      <c r="H6" s="7"/>
      <c r="I6" s="7"/>
      <c r="J6" s="7"/>
      <c r="K6" s="7"/>
      <c r="L6" s="7"/>
    </row>
    <row r="7" spans="1:12" x14ac:dyDescent="0.4">
      <c r="A7" s="24"/>
      <c r="B7" s="7" t="s">
        <v>172</v>
      </c>
      <c r="C7" s="9">
        <v>38.700000000000003</v>
      </c>
      <c r="D7" s="7" t="s">
        <v>169</v>
      </c>
      <c r="E7" s="10">
        <f>C7/100</f>
        <v>0.38700000000000001</v>
      </c>
      <c r="F7" s="7" t="s">
        <v>170</v>
      </c>
      <c r="G7" s="8" t="s">
        <v>173</v>
      </c>
      <c r="H7" s="7"/>
      <c r="I7" s="7"/>
      <c r="J7" s="7"/>
      <c r="K7" s="7"/>
      <c r="L7" s="7"/>
    </row>
    <row r="8" spans="1:12" x14ac:dyDescent="0.4">
      <c r="B8" s="7" t="s">
        <v>30</v>
      </c>
      <c r="C8" s="9">
        <v>1.0699999999999999E-2</v>
      </c>
      <c r="D8" s="7" t="s">
        <v>31</v>
      </c>
      <c r="E8" s="7"/>
      <c r="F8" s="7"/>
      <c r="G8" s="8" t="s">
        <v>32</v>
      </c>
      <c r="H8" s="7"/>
      <c r="I8" s="7"/>
      <c r="J8" s="7"/>
      <c r="K8" s="7"/>
      <c r="L8" s="7"/>
    </row>
    <row r="9" spans="1:12" ht="18" x14ac:dyDescent="0.6">
      <c r="B9" s="7" t="s">
        <v>33</v>
      </c>
      <c r="C9" s="9">
        <v>28.65</v>
      </c>
      <c r="D9" s="7" t="s">
        <v>34</v>
      </c>
      <c r="E9" s="10">
        <f>C9/1000</f>
        <v>2.8649999999999998E-2</v>
      </c>
      <c r="F9" s="7" t="s">
        <v>170</v>
      </c>
      <c r="G9" s="8" t="s">
        <v>35</v>
      </c>
      <c r="H9" s="7"/>
      <c r="I9" s="7"/>
      <c r="J9" s="7"/>
      <c r="K9" s="7"/>
      <c r="L9" s="7"/>
    </row>
    <row r="10" spans="1:12" ht="18" x14ac:dyDescent="0.6">
      <c r="B10" s="7" t="s">
        <v>36</v>
      </c>
      <c r="C10" s="9">
        <v>28.65</v>
      </c>
      <c r="D10" s="7" t="s">
        <v>34</v>
      </c>
      <c r="E10" s="10">
        <f>C10/1000</f>
        <v>2.8649999999999998E-2</v>
      </c>
      <c r="F10" s="7" t="s">
        <v>170</v>
      </c>
      <c r="G10" s="8" t="s">
        <v>37</v>
      </c>
      <c r="H10" s="7"/>
      <c r="I10" s="7"/>
      <c r="J10" s="7"/>
      <c r="K10" s="7"/>
      <c r="L10" s="7"/>
    </row>
    <row r="11" spans="1:12" ht="16.899999999999999" x14ac:dyDescent="0.4">
      <c r="B11" s="16" t="s">
        <v>38</v>
      </c>
      <c r="C11" s="9">
        <v>1000</v>
      </c>
      <c r="D11" s="7" t="s">
        <v>39</v>
      </c>
      <c r="E11" s="7"/>
      <c r="F11" s="7"/>
      <c r="G11" s="8" t="s">
        <v>40</v>
      </c>
      <c r="H11" s="7"/>
      <c r="I11" s="7"/>
      <c r="J11" s="7"/>
      <c r="K11" s="7"/>
      <c r="L11" s="7"/>
    </row>
    <row r="12" spans="1:12" ht="18.399999999999999" x14ac:dyDescent="0.6">
      <c r="B12" s="16" t="s">
        <v>41</v>
      </c>
      <c r="C12" s="9">
        <v>2680</v>
      </c>
      <c r="D12" s="7" t="s">
        <v>39</v>
      </c>
      <c r="E12" s="7"/>
      <c r="F12" s="7"/>
      <c r="G12" s="8" t="s">
        <v>42</v>
      </c>
      <c r="H12" s="7"/>
      <c r="I12" s="7"/>
      <c r="J12" s="7"/>
      <c r="K12" s="7"/>
      <c r="L12" s="7"/>
    </row>
    <row r="13" spans="1:12" ht="16.899999999999999" x14ac:dyDescent="0.4">
      <c r="B13" s="7" t="s">
        <v>43</v>
      </c>
      <c r="C13" s="9">
        <v>9.81</v>
      </c>
      <c r="D13" s="7" t="s">
        <v>44</v>
      </c>
      <c r="E13" s="7"/>
      <c r="F13" s="7"/>
      <c r="G13" s="8" t="s">
        <v>45</v>
      </c>
      <c r="H13" s="7"/>
      <c r="I13" s="7"/>
      <c r="J13" s="7"/>
      <c r="K13" s="7"/>
      <c r="L13" s="7"/>
    </row>
    <row r="14" spans="1:12" ht="16.899999999999999" x14ac:dyDescent="0.4">
      <c r="B14" s="16" t="s">
        <v>46</v>
      </c>
      <c r="C14" s="9">
        <v>9.9999999999999995E-7</v>
      </c>
      <c r="D14" s="7" t="s">
        <v>47</v>
      </c>
      <c r="E14" s="7"/>
      <c r="F14" s="7"/>
      <c r="G14" s="8" t="s">
        <v>48</v>
      </c>
      <c r="H14" s="7"/>
      <c r="I14" s="7"/>
      <c r="J14" s="7"/>
      <c r="K14" s="7"/>
      <c r="L14" s="7"/>
    </row>
    <row r="15" spans="1:12" x14ac:dyDescent="0.4">
      <c r="B15" s="7"/>
      <c r="C15" s="7"/>
      <c r="D15" s="7"/>
      <c r="E15" s="7"/>
      <c r="F15" s="7"/>
      <c r="G15" s="8"/>
      <c r="H15" s="7"/>
      <c r="I15" s="7"/>
      <c r="J15" s="7"/>
      <c r="K15" s="7"/>
      <c r="L15" s="7"/>
    </row>
    <row r="16" spans="1:12" x14ac:dyDescent="0.4">
      <c r="B16" s="7" t="s">
        <v>49</v>
      </c>
      <c r="C16" s="30">
        <f>E5/E6/E7</f>
        <v>2.1201550387596897</v>
      </c>
      <c r="D16" s="7" t="s">
        <v>50</v>
      </c>
      <c r="E16" s="7"/>
      <c r="F16" s="7"/>
      <c r="G16" s="8" t="s">
        <v>51</v>
      </c>
      <c r="H16" s="7"/>
      <c r="I16" s="7"/>
      <c r="J16" s="7"/>
      <c r="K16" s="7"/>
      <c r="L16" s="7"/>
    </row>
    <row r="17" spans="1:70" x14ac:dyDescent="0.4">
      <c r="B17" s="7" t="s">
        <v>52</v>
      </c>
      <c r="C17" s="12">
        <f>C16/((C13*E7)^0.5)</f>
        <v>1.0881221079281886</v>
      </c>
      <c r="D17" s="7"/>
      <c r="E17" s="7"/>
      <c r="F17" s="7"/>
      <c r="G17" s="8" t="s">
        <v>53</v>
      </c>
      <c r="H17" s="7"/>
      <c r="I17" s="7"/>
      <c r="J17" s="7"/>
      <c r="K17" s="7"/>
      <c r="L17" s="7"/>
    </row>
    <row r="18" spans="1:70" x14ac:dyDescent="0.4">
      <c r="B18" s="21" t="s">
        <v>132</v>
      </c>
      <c r="C18" s="12">
        <f>C11*C13*C8*E7</f>
        <v>40.622228999999997</v>
      </c>
      <c r="D18" s="25" t="s">
        <v>126</v>
      </c>
      <c r="G18" s="8" t="s">
        <v>133</v>
      </c>
      <c r="H18" s="7"/>
      <c r="I18" s="7"/>
      <c r="J18" s="7"/>
      <c r="K18" s="7"/>
      <c r="L18" s="7"/>
    </row>
    <row r="19" spans="1:70" ht="18" x14ac:dyDescent="0.6">
      <c r="B19" s="21" t="s">
        <v>135</v>
      </c>
      <c r="C19" s="12">
        <f>C18/(C12-C11)/C13/E9</f>
        <v>8.6032161555721756E-2</v>
      </c>
      <c r="G19" s="8" t="s">
        <v>136</v>
      </c>
      <c r="H19" s="7"/>
      <c r="I19" s="7"/>
      <c r="J19" s="7"/>
      <c r="K19" s="7"/>
      <c r="L19" s="7"/>
    </row>
    <row r="20" spans="1:70" x14ac:dyDescent="0.4">
      <c r="B20" s="7" t="s">
        <v>38</v>
      </c>
      <c r="C20" s="12">
        <f>C6*C7/(C6+2*C7)</f>
        <v>27.901946647440525</v>
      </c>
      <c r="D20" s="14" t="s">
        <v>169</v>
      </c>
      <c r="E20" s="10">
        <f>C20/100</f>
        <v>0.27901946647440523</v>
      </c>
      <c r="F20" s="14" t="s">
        <v>170</v>
      </c>
      <c r="G20" s="25" t="s">
        <v>54</v>
      </c>
    </row>
    <row r="21" spans="1:70" ht="18" x14ac:dyDescent="0.6">
      <c r="B21" s="7" t="s">
        <v>60</v>
      </c>
      <c r="C21" s="15">
        <f>C8*C13*E20/(C16^2)</f>
        <v>6.5155644982736209E-3</v>
      </c>
      <c r="G21" s="25" t="s">
        <v>55</v>
      </c>
    </row>
    <row r="22" spans="1:70" x14ac:dyDescent="0.4">
      <c r="B22" s="7" t="s">
        <v>56</v>
      </c>
      <c r="C22" s="19">
        <f>E20*C16/C14</f>
        <v>591564.52775775059</v>
      </c>
      <c r="G22" s="25" t="s">
        <v>57</v>
      </c>
    </row>
    <row r="23" spans="1:70" ht="18" x14ac:dyDescent="0.6">
      <c r="B23" s="7" t="s">
        <v>61</v>
      </c>
      <c r="C23" s="19">
        <f>C21/C22</f>
        <v>1.1014123045832433E-8</v>
      </c>
      <c r="G23" s="25" t="s">
        <v>58</v>
      </c>
      <c r="S23" s="13" t="s">
        <v>7</v>
      </c>
    </row>
    <row r="24" spans="1:70" x14ac:dyDescent="0.4">
      <c r="B24" s="7" t="s">
        <v>156</v>
      </c>
      <c r="C24" s="19">
        <f>8*C23</f>
        <v>8.8112984366659464E-8</v>
      </c>
      <c r="G24" s="25" t="s">
        <v>59</v>
      </c>
      <c r="S24" s="25" t="s">
        <v>65</v>
      </c>
      <c r="T24" s="25" t="s">
        <v>66</v>
      </c>
      <c r="U24" s="25" t="s">
        <v>157</v>
      </c>
      <c r="V24" s="25" t="s">
        <v>64</v>
      </c>
      <c r="W24" s="25" t="s">
        <v>158</v>
      </c>
      <c r="X24" s="25" t="s">
        <v>67</v>
      </c>
      <c r="Y24" s="25" t="s">
        <v>68</v>
      </c>
      <c r="Z24" s="25" t="s">
        <v>69</v>
      </c>
      <c r="AA24" s="25" t="s">
        <v>70</v>
      </c>
      <c r="AB24" s="25" t="s">
        <v>71</v>
      </c>
      <c r="AC24" s="25" t="s">
        <v>72</v>
      </c>
      <c r="AD24" s="25" t="s">
        <v>73</v>
      </c>
      <c r="AE24" s="25" t="s">
        <v>74</v>
      </c>
      <c r="AF24" s="25" t="s">
        <v>75</v>
      </c>
      <c r="AG24" s="25" t="s">
        <v>76</v>
      </c>
      <c r="AH24" s="25" t="s">
        <v>77</v>
      </c>
      <c r="AI24" s="25" t="s">
        <v>78</v>
      </c>
      <c r="AJ24" s="25" t="s">
        <v>79</v>
      </c>
      <c r="AK24" s="25" t="s">
        <v>80</v>
      </c>
      <c r="AL24" s="25" t="s">
        <v>81</v>
      </c>
      <c r="AM24" s="25" t="s">
        <v>82</v>
      </c>
      <c r="AN24" s="25" t="s">
        <v>83</v>
      </c>
      <c r="AO24" s="25" t="s">
        <v>84</v>
      </c>
      <c r="AP24" s="25" t="s">
        <v>85</v>
      </c>
      <c r="AQ24" s="25" t="s">
        <v>86</v>
      </c>
      <c r="AR24" s="25" t="s">
        <v>87</v>
      </c>
      <c r="AS24" s="25" t="s">
        <v>88</v>
      </c>
      <c r="AT24" s="25" t="s">
        <v>89</v>
      </c>
      <c r="AU24" s="25" t="s">
        <v>90</v>
      </c>
      <c r="AV24" s="25" t="s">
        <v>91</v>
      </c>
      <c r="AW24" s="25" t="s">
        <v>92</v>
      </c>
      <c r="AX24" s="25" t="s">
        <v>93</v>
      </c>
      <c r="AY24" s="25" t="s">
        <v>94</v>
      </c>
      <c r="AZ24" s="25" t="s">
        <v>95</v>
      </c>
      <c r="BA24" s="25" t="s">
        <v>96</v>
      </c>
      <c r="BB24" s="25" t="s">
        <v>97</v>
      </c>
      <c r="BC24" s="25" t="s">
        <v>98</v>
      </c>
      <c r="BD24" s="25" t="s">
        <v>99</v>
      </c>
      <c r="BE24" s="25" t="s">
        <v>100</v>
      </c>
      <c r="BF24" s="25" t="s">
        <v>101</v>
      </c>
      <c r="BG24" s="25" t="s">
        <v>102</v>
      </c>
      <c r="BH24" s="25" t="s">
        <v>103</v>
      </c>
      <c r="BI24" s="25" t="s">
        <v>104</v>
      </c>
      <c r="BJ24" s="25" t="s">
        <v>105</v>
      </c>
      <c r="BK24" s="25" t="s">
        <v>106</v>
      </c>
      <c r="BL24" s="25" t="s">
        <v>107</v>
      </c>
      <c r="BM24" s="25" t="s">
        <v>108</v>
      </c>
      <c r="BN24" s="25" t="s">
        <v>109</v>
      </c>
      <c r="BO24" s="25" t="s">
        <v>110</v>
      </c>
      <c r="BP24" s="25" t="s">
        <v>111</v>
      </c>
      <c r="BQ24" s="25" t="s">
        <v>112</v>
      </c>
      <c r="BR24" s="25" t="s">
        <v>113</v>
      </c>
    </row>
    <row r="25" spans="1:70" ht="18" x14ac:dyDescent="0.6">
      <c r="B25" s="7" t="s">
        <v>62</v>
      </c>
      <c r="C25" s="15">
        <f>BQ25/8</f>
        <v>1.6279216658613407E-3</v>
      </c>
      <c r="G25" s="25" t="s">
        <v>3</v>
      </c>
      <c r="S25" s="25">
        <f>0.301*(C24^(1/5))</f>
        <v>1.1683540753969662E-2</v>
      </c>
      <c r="T25" s="26">
        <f>S25/$C$24</f>
        <v>132597.26518116353</v>
      </c>
      <c r="U25" s="25">
        <f>(1/(0.86*LN(4*T25*(S25^0.5))-0.8))^2</f>
        <v>1.3449857547585171E-2</v>
      </c>
      <c r="V25" s="26">
        <f>U25/$C$24</f>
        <v>152643.30954467569</v>
      </c>
      <c r="W25" s="25">
        <f>(1/(0.86*LN(4*V25*(U25^0.5))-0.8))^2</f>
        <v>1.2900689637927265E-2</v>
      </c>
      <c r="X25" s="26">
        <f>W25/$C$24</f>
        <v>146410.76716053984</v>
      </c>
      <c r="Y25" s="25">
        <f>(1/(0.86*LN(4*X25*(W25^0.5))-0.8))^2</f>
        <v>1.3059742244813552E-2</v>
      </c>
      <c r="Z25" s="26">
        <f>Y25/$C$24</f>
        <v>148215.86555812028</v>
      </c>
      <c r="AA25" s="25">
        <f>(1/(0.86*LN(4*Z25*(Y25^0.5))-0.8))^2</f>
        <v>1.3012686746544317E-2</v>
      </c>
      <c r="AB25" s="26">
        <f>AA25/$C$24</f>
        <v>147681.82964267078</v>
      </c>
      <c r="AC25" s="25">
        <f>(1/(0.86*LN(4*AB25*(AA25^0.5))-0.8))^2</f>
        <v>1.3026521634678444E-2</v>
      </c>
      <c r="AD25" s="26">
        <f>AC25/$C$24</f>
        <v>147838.84268942627</v>
      </c>
      <c r="AE25" s="25">
        <f>(1/(0.86*LN(4*AD25*(AC25^0.5))-0.8))^2</f>
        <v>1.3022446533419109E-2</v>
      </c>
      <c r="AF25" s="26">
        <f>AE25/$C$24</f>
        <v>147792.5940997476</v>
      </c>
      <c r="AG25" s="25">
        <f>(1/(0.86*LN(4*AF25*(AE25^0.5))-0.8))^2</f>
        <v>1.3023646216308893E-2</v>
      </c>
      <c r="AH25" s="26">
        <f>AG25/$C$24</f>
        <v>147806.20937902122</v>
      </c>
      <c r="AI25" s="25">
        <f>(1/(0.86*LN(4*AH25*(AG25^0.5))-0.8))^2</f>
        <v>1.3023292981385236E-2</v>
      </c>
      <c r="AJ25" s="26">
        <f>AI25/$C$24</f>
        <v>147802.20049285993</v>
      </c>
      <c r="AK25" s="25">
        <f>(1/(0.86*LN(4*AJ25*(AI25^0.5))-0.8))^2</f>
        <v>1.3023396983089894E-2</v>
      </c>
      <c r="AL25" s="26">
        <f>AK25/$C$24</f>
        <v>147803.38081498165</v>
      </c>
      <c r="AM25" s="25">
        <f>(1/(0.86*LN(4*AL25*(AK25^0.5))-0.8))^2</f>
        <v>1.3023366361814778E-2</v>
      </c>
      <c r="AN25" s="26">
        <f>AM25/$C$24</f>
        <v>147803.03329213543</v>
      </c>
      <c r="AO25" s="25">
        <f>(1/(0.86*LN(4*AN25*(AM25^0.5))-0.8))^2</f>
        <v>1.3023375377615857E-2</v>
      </c>
      <c r="AP25" s="26">
        <f>AO25/$C$24</f>
        <v>147803.13561304923</v>
      </c>
      <c r="AQ25" s="25">
        <f>(1/(0.86*LN(4*AP25*(AO25^0.5))-0.8))^2</f>
        <v>1.3023372723096541E-2</v>
      </c>
      <c r="AR25" s="26">
        <f>AQ25/$C$24</f>
        <v>147803.1054867366</v>
      </c>
      <c r="AS25" s="25">
        <f>(1/(0.86*LN(4*AR25*(AQ25^0.5))-0.8))^2</f>
        <v>1.3023373504665505E-2</v>
      </c>
      <c r="AT25" s="26">
        <f>AS25/$C$24</f>
        <v>147803.11435681369</v>
      </c>
      <c r="AU25" s="25">
        <f>(1/(0.86*LN(4*AT25*(AS25^0.5))-0.8))^2</f>
        <v>1.302337327454847E-2</v>
      </c>
      <c r="AV25" s="26">
        <f t="shared" ref="AV25:BR25" si="0">AU25/$C$24</f>
        <v>147803.11174520047</v>
      </c>
      <c r="AW25" s="25">
        <f>(1/(0.86*LN(4*AV25*(AU25^0.5))-0.8))^2</f>
        <v>1.3023373342301735E-2</v>
      </c>
      <c r="AX25" s="26">
        <f t="shared" si="0"/>
        <v>147803.11251413668</v>
      </c>
      <c r="AY25" s="25">
        <f>(1/(0.86*LN(4*AX25*(AW25^0.5))-0.8))^2</f>
        <v>1.3023373322353168E-2</v>
      </c>
      <c r="AZ25" s="26">
        <f t="shared" si="0"/>
        <v>147803.11228773909</v>
      </c>
      <c r="BA25" s="25">
        <f>(1/(0.86*LN(4*AZ25*(AY25^0.5))-0.8))^2</f>
        <v>1.3023373328226617E-2</v>
      </c>
      <c r="BB25" s="26">
        <f t="shared" si="0"/>
        <v>147803.11235439725</v>
      </c>
      <c r="BC25" s="25">
        <f>(1/(0.86*LN(4*BB25*(BA25^0.5))-0.8))^2</f>
        <v>1.3023373326497304E-2</v>
      </c>
      <c r="BD25" s="26">
        <f t="shared" si="0"/>
        <v>147803.11233477117</v>
      </c>
      <c r="BE25" s="25">
        <f>(1/(0.86*LN(4*BD25*(BC25^0.5))-0.8))^2</f>
        <v>1.3023373327006461E-2</v>
      </c>
      <c r="BF25" s="26">
        <f t="shared" si="0"/>
        <v>147803.11234054962</v>
      </c>
      <c r="BG25" s="25">
        <f>(1/(0.86*LN(4*BF25*(BE25^0.5))-0.8))^2</f>
        <v>1.3023373326856555E-2</v>
      </c>
      <c r="BH25" s="26">
        <f t="shared" si="0"/>
        <v>147803.11233884832</v>
      </c>
      <c r="BI25" s="25">
        <f>(1/(0.86*LN(4*BH25*(BG25^0.5))-0.8))^2</f>
        <v>1.302337332690069E-2</v>
      </c>
      <c r="BJ25" s="26">
        <f t="shared" si="0"/>
        <v>147803.11233934923</v>
      </c>
      <c r="BK25" s="25">
        <f>(1/(0.86*LN(4*BJ25*(BI25^0.5))-0.8))^2</f>
        <v>1.3023373326887692E-2</v>
      </c>
      <c r="BL25" s="26">
        <f t="shared" si="0"/>
        <v>147803.1123392017</v>
      </c>
      <c r="BM25" s="25">
        <f>(1/(0.86*LN(4*BL25*(BK25^0.5))-0.8))^2</f>
        <v>1.3023373326891517E-2</v>
      </c>
      <c r="BN25" s="26">
        <f t="shared" si="0"/>
        <v>147803.1123392451</v>
      </c>
      <c r="BO25" s="25">
        <f>(1/(0.86*LN(4*BN25*(BM25^0.5))-0.8))^2</f>
        <v>1.3023373326890393E-2</v>
      </c>
      <c r="BP25" s="26">
        <f t="shared" si="0"/>
        <v>147803.11233923235</v>
      </c>
      <c r="BQ25" s="25">
        <f>(1/(0.86*LN(4*BP25*(BO25^0.5))-0.8))^2</f>
        <v>1.3023373326890726E-2</v>
      </c>
      <c r="BR25" s="26">
        <f t="shared" si="0"/>
        <v>147803.11233923613</v>
      </c>
    </row>
    <row r="26" spans="1:70" ht="18" x14ac:dyDescent="0.6">
      <c r="B26" s="7" t="s">
        <v>63</v>
      </c>
      <c r="C26" s="19">
        <f>BR25</f>
        <v>147803.11233923613</v>
      </c>
      <c r="G26" s="25" t="s">
        <v>4</v>
      </c>
      <c r="S26" s="25" t="s">
        <v>114</v>
      </c>
      <c r="U26" s="26">
        <f>ABS(U25-S25)/U25</f>
        <v>0.13132605957842572</v>
      </c>
      <c r="V26" s="26">
        <f>ABS(V25-T25)/V25</f>
        <v>0.13132605957842575</v>
      </c>
      <c r="W26" s="26">
        <f>ABS(W25-U25)/W25</f>
        <v>4.2568880042147886E-2</v>
      </c>
      <c r="X26" s="26">
        <f>ABS(X25-V25)/X25</f>
        <v>4.256888004214783E-2</v>
      </c>
      <c r="Y26" s="26">
        <f t="shared" ref="Y26:AV26" si="1">ABS(Y25-W25)/Y25</f>
        <v>1.2178847323686844E-2</v>
      </c>
      <c r="Z26" s="26">
        <f t="shared" si="1"/>
        <v>1.2178847323686836E-2</v>
      </c>
      <c r="AA26" s="26">
        <f t="shared" si="1"/>
        <v>3.6161247239530907E-3</v>
      </c>
      <c r="AB26" s="26">
        <f t="shared" si="1"/>
        <v>3.6161247239531193E-3</v>
      </c>
      <c r="AC26" s="26">
        <f t="shared" si="1"/>
        <v>1.0620554375235011E-3</v>
      </c>
      <c r="AD26" s="26">
        <f t="shared" si="1"/>
        <v>1.0620554375234867E-3</v>
      </c>
      <c r="AE26" s="26">
        <f t="shared" si="1"/>
        <v>3.1292900676362117E-4</v>
      </c>
      <c r="AF26" s="26">
        <f t="shared" si="1"/>
        <v>3.1292900676371896E-4</v>
      </c>
      <c r="AG26" s="26">
        <f t="shared" si="1"/>
        <v>9.2115746224812894E-5</v>
      </c>
      <c r="AH26" s="26">
        <f t="shared" si="1"/>
        <v>9.2115746224916313E-5</v>
      </c>
      <c r="AI26" s="26">
        <f t="shared" si="1"/>
        <v>2.7123318515649041E-5</v>
      </c>
      <c r="AJ26" s="26">
        <f t="shared" si="1"/>
        <v>2.7123318515701483E-5</v>
      </c>
      <c r="AK26" s="26">
        <f t="shared" si="1"/>
        <v>7.9857586152874594E-6</v>
      </c>
      <c r="AL26" s="26">
        <f t="shared" si="1"/>
        <v>7.9857586152910204E-6</v>
      </c>
      <c r="AM26" s="26">
        <f t="shared" si="1"/>
        <v>2.3512565235073975E-6</v>
      </c>
      <c r="AN26" s="26">
        <f t="shared" si="1"/>
        <v>2.3512565234874266E-6</v>
      </c>
      <c r="AO26" s="26">
        <f t="shared" si="1"/>
        <v>6.9227837010350649E-7</v>
      </c>
      <c r="AP26" s="26">
        <f t="shared" si="1"/>
        <v>6.9227837002975787E-7</v>
      </c>
      <c r="AQ26" s="26">
        <f t="shared" si="1"/>
        <v>2.0382733202870878E-7</v>
      </c>
      <c r="AR26" s="26">
        <f t="shared" si="1"/>
        <v>2.0382733185457877E-7</v>
      </c>
      <c r="AS26" s="26">
        <f t="shared" si="1"/>
        <v>6.001278883552592E-8</v>
      </c>
      <c r="AT26" s="26">
        <f t="shared" si="1"/>
        <v>6.0012788804971986E-8</v>
      </c>
      <c r="AU26" s="26">
        <f t="shared" si="1"/>
        <v>1.7669541519789978E-8</v>
      </c>
      <c r="AV26" s="26">
        <f t="shared" si="1"/>
        <v>1.7669541529923278E-8</v>
      </c>
      <c r="AW26" s="26">
        <f t="shared" ref="AW26:BR26" si="2">ABS(AW25-AU25)/AW25</f>
        <v>5.2024358838009151E-9</v>
      </c>
      <c r="AX26" s="26">
        <f t="shared" si="2"/>
        <v>5.2024358418404307E-9</v>
      </c>
      <c r="AY26" s="26">
        <f>ABS(AY25-AW25)/AY25</f>
        <v>1.5317511530983464E-9</v>
      </c>
      <c r="AZ26" s="26">
        <f t="shared" si="2"/>
        <v>1.5317511767724447E-9</v>
      </c>
      <c r="BA26" s="26">
        <f t="shared" si="2"/>
        <v>4.5099293004504881E-10</v>
      </c>
      <c r="BB26" s="26">
        <f t="shared" si="2"/>
        <v>4.5099295103855847E-10</v>
      </c>
      <c r="BC26" s="26">
        <f t="shared" si="2"/>
        <v>1.3278532605195172E-10</v>
      </c>
      <c r="BD26" s="26">
        <f t="shared" si="2"/>
        <v>1.3278530097900991E-10</v>
      </c>
      <c r="BE26" s="26">
        <f t="shared" si="2"/>
        <v>3.9095627524908785E-11</v>
      </c>
      <c r="BF26" s="26">
        <f t="shared" si="2"/>
        <v>3.9095584865281207E-11</v>
      </c>
      <c r="BG26" s="26">
        <f t="shared" si="2"/>
        <v>1.1510545341382649E-11</v>
      </c>
      <c r="BH26" s="26">
        <f t="shared" si="2"/>
        <v>1.1510539164280238E-11</v>
      </c>
      <c r="BI26" s="26">
        <f t="shared" si="2"/>
        <v>3.3888942264012606E-12</v>
      </c>
      <c r="BJ26" s="26">
        <f t="shared" si="2"/>
        <v>3.3890086484835739E-12</v>
      </c>
      <c r="BK26" s="26">
        <f t="shared" si="2"/>
        <v>9.980734391341086E-13</v>
      </c>
      <c r="BL26" s="26">
        <f t="shared" si="2"/>
        <v>9.9813403283832331E-13</v>
      </c>
      <c r="BM26" s="26">
        <f t="shared" si="2"/>
        <v>2.9370771830909689E-13</v>
      </c>
      <c r="BN26" s="26">
        <f t="shared" si="2"/>
        <v>2.935919990060176E-13</v>
      </c>
      <c r="BO26" s="26">
        <f t="shared" si="2"/>
        <v>8.6314104972476744E-14</v>
      </c>
      <c r="BP26" s="26">
        <f t="shared" si="2"/>
        <v>8.6246341760326488E-14</v>
      </c>
      <c r="BQ26" s="26">
        <f t="shared" si="2"/>
        <v>2.5574549621473936E-14</v>
      </c>
      <c r="BR26" s="26">
        <f t="shared" si="2"/>
        <v>2.5598229289593965E-14</v>
      </c>
    </row>
    <row r="27" spans="1:70" ht="18.399999999999999" x14ac:dyDescent="0.6">
      <c r="B27" s="7" t="s">
        <v>115</v>
      </c>
      <c r="C27" s="20">
        <f>E27*10000</f>
        <v>539.58133654930054</v>
      </c>
      <c r="D27" s="25" t="s">
        <v>117</v>
      </c>
      <c r="E27" s="18">
        <f>C26*2*E7*C14/C16</f>
        <v>5.395813365493006E-2</v>
      </c>
      <c r="F27" s="25" t="s">
        <v>116</v>
      </c>
      <c r="G27" s="25" t="s">
        <v>120</v>
      </c>
    </row>
    <row r="28" spans="1:70" ht="18.399999999999999" x14ac:dyDescent="0.6">
      <c r="B28" s="7" t="s">
        <v>119</v>
      </c>
      <c r="C28" s="20">
        <f>C6*C7-C27</f>
        <v>7200.4186634507005</v>
      </c>
      <c r="D28" s="25" t="s">
        <v>117</v>
      </c>
      <c r="E28" s="18">
        <f>C28/10000</f>
        <v>0.72004186634507006</v>
      </c>
      <c r="F28" s="25" t="s">
        <v>116</v>
      </c>
      <c r="G28" s="25" t="s">
        <v>121</v>
      </c>
    </row>
    <row r="29" spans="1:70" ht="18" x14ac:dyDescent="0.6">
      <c r="B29" s="7" t="s">
        <v>5</v>
      </c>
      <c r="C29" s="20">
        <f>C28/C6</f>
        <v>36.002093317253504</v>
      </c>
      <c r="D29" s="25" t="s">
        <v>169</v>
      </c>
      <c r="E29" s="18">
        <f>C29/100</f>
        <v>0.36002093317253503</v>
      </c>
      <c r="F29" s="25" t="s">
        <v>170</v>
      </c>
      <c r="G29" s="25" t="s">
        <v>6</v>
      </c>
    </row>
    <row r="30" spans="1:70" ht="18" x14ac:dyDescent="0.6">
      <c r="A30" s="28"/>
      <c r="B30" s="7" t="s">
        <v>123</v>
      </c>
      <c r="C30" s="15">
        <f>(C21*(E6+2*E7)-C25*2*E7)/E6</f>
        <v>8.4070822744171745E-3</v>
      </c>
      <c r="G30" s="25" t="s">
        <v>122</v>
      </c>
    </row>
    <row r="31" spans="1:70" ht="18" x14ac:dyDescent="0.6">
      <c r="B31" s="16" t="s">
        <v>124</v>
      </c>
      <c r="C31" s="12">
        <f>C11*C25*(C16^2)</f>
        <v>7.3176013118308063</v>
      </c>
      <c r="D31" s="25" t="s">
        <v>126</v>
      </c>
      <c r="G31" s="25" t="s">
        <v>127</v>
      </c>
    </row>
    <row r="32" spans="1:70" ht="18" x14ac:dyDescent="0.6">
      <c r="B32" s="16" t="s">
        <v>125</v>
      </c>
      <c r="C32" s="12">
        <f>C11*C30*(C16^2)</f>
        <v>37.79031729232149</v>
      </c>
      <c r="D32" s="25" t="s">
        <v>126</v>
      </c>
      <c r="G32" s="25" t="s">
        <v>128</v>
      </c>
    </row>
    <row r="33" spans="1:70" x14ac:dyDescent="0.4">
      <c r="B33" s="7" t="s">
        <v>129</v>
      </c>
      <c r="C33" s="12">
        <f>E33*100</f>
        <v>19.439731812018778</v>
      </c>
      <c r="D33" s="25" t="s">
        <v>130</v>
      </c>
      <c r="E33" s="10">
        <f>(C32/C11)^0.5</f>
        <v>0.19439731812018779</v>
      </c>
      <c r="F33" s="25" t="s">
        <v>50</v>
      </c>
      <c r="G33" s="25" t="s">
        <v>131</v>
      </c>
    </row>
    <row r="34" spans="1:70" ht="18" x14ac:dyDescent="0.6">
      <c r="A34" s="28"/>
      <c r="B34" s="21" t="s">
        <v>134</v>
      </c>
      <c r="C34" s="12">
        <f>C32/(C12-C11)/C13/E9</f>
        <v>8.0034571282018727E-2</v>
      </c>
      <c r="G34" s="8" t="s">
        <v>2</v>
      </c>
    </row>
    <row r="36" spans="1:70" ht="20.65" x14ac:dyDescent="0.7">
      <c r="B36" s="22" t="s">
        <v>8</v>
      </c>
      <c r="E36" s="14"/>
    </row>
    <row r="37" spans="1:70" x14ac:dyDescent="0.4">
      <c r="B37" s="7"/>
    </row>
    <row r="38" spans="1:70" ht="18" x14ac:dyDescent="0.6">
      <c r="B38" s="7" t="s">
        <v>46</v>
      </c>
      <c r="C38" s="9">
        <v>2</v>
      </c>
      <c r="D38" s="7"/>
      <c r="F38" s="7"/>
      <c r="G38" s="8" t="s">
        <v>14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</row>
    <row r="39" spans="1:70" ht="18" x14ac:dyDescent="0.6">
      <c r="B39" s="7" t="s">
        <v>9</v>
      </c>
      <c r="C39" s="11">
        <f>E39*100</f>
        <v>36.002093317253504</v>
      </c>
      <c r="D39" s="7" t="s">
        <v>169</v>
      </c>
      <c r="E39" s="17">
        <f>IF(BR42&lt;E29,BR42,E29)</f>
        <v>0.36002093317253503</v>
      </c>
      <c r="F39" s="7" t="s">
        <v>170</v>
      </c>
      <c r="G39" s="8" t="s">
        <v>0</v>
      </c>
      <c r="H39" s="7"/>
      <c r="I39" s="7"/>
      <c r="J39" s="7"/>
      <c r="K39" s="7"/>
      <c r="L39" s="8"/>
      <c r="S39" s="13" t="s">
        <v>15</v>
      </c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</row>
    <row r="40" spans="1:70" ht="18" x14ac:dyDescent="0.6">
      <c r="B40" s="16" t="s">
        <v>10</v>
      </c>
      <c r="C40" s="11">
        <f>C11*C13*C8*E39</f>
        <v>37.790317292321483</v>
      </c>
      <c r="D40" s="7" t="s">
        <v>126</v>
      </c>
      <c r="F40" s="7"/>
      <c r="G40" s="8" t="s">
        <v>1</v>
      </c>
      <c r="H40" s="7"/>
      <c r="I40" s="7"/>
      <c r="J40" s="7"/>
      <c r="K40" s="7"/>
      <c r="L40" s="7"/>
      <c r="S40" s="7"/>
      <c r="T40" s="7" t="s">
        <v>170</v>
      </c>
      <c r="U40" s="8"/>
      <c r="V40" s="7" t="s">
        <v>170</v>
      </c>
      <c r="W40" s="8"/>
      <c r="X40" s="7" t="s">
        <v>170</v>
      </c>
      <c r="Y40" s="8"/>
      <c r="Z40" s="7" t="s">
        <v>170</v>
      </c>
      <c r="AA40" s="8"/>
      <c r="AB40" s="7" t="s">
        <v>170</v>
      </c>
      <c r="AC40" s="8"/>
      <c r="AD40" s="7" t="s">
        <v>170</v>
      </c>
      <c r="AE40" s="8"/>
      <c r="AF40" s="7" t="s">
        <v>170</v>
      </c>
      <c r="AG40" s="8"/>
      <c r="AH40" s="7" t="s">
        <v>170</v>
      </c>
      <c r="AI40" s="8"/>
      <c r="AJ40" s="7" t="s">
        <v>170</v>
      </c>
      <c r="AK40" s="8"/>
      <c r="AL40" s="7" t="s">
        <v>170</v>
      </c>
      <c r="AM40" s="8"/>
      <c r="AN40" s="7" t="s">
        <v>170</v>
      </c>
      <c r="AO40" s="8"/>
      <c r="AP40" s="7" t="s">
        <v>170</v>
      </c>
      <c r="AQ40" s="8"/>
      <c r="AR40" s="7" t="s">
        <v>170</v>
      </c>
      <c r="AS40" s="8"/>
      <c r="AT40" s="7" t="s">
        <v>170</v>
      </c>
      <c r="AU40" s="8"/>
      <c r="AV40" s="7" t="s">
        <v>170</v>
      </c>
      <c r="AW40" s="8"/>
      <c r="AX40" s="7" t="s">
        <v>170</v>
      </c>
      <c r="AY40" s="8"/>
      <c r="AZ40" s="7" t="s">
        <v>170</v>
      </c>
      <c r="BA40" s="8"/>
      <c r="BB40" s="7" t="s">
        <v>170</v>
      </c>
      <c r="BC40" s="8"/>
      <c r="BD40" s="7" t="s">
        <v>170</v>
      </c>
      <c r="BE40" s="8"/>
      <c r="BF40" s="7" t="s">
        <v>170</v>
      </c>
      <c r="BG40" s="8"/>
      <c r="BH40" s="7" t="s">
        <v>170</v>
      </c>
      <c r="BI40" s="8"/>
      <c r="BJ40" s="7" t="s">
        <v>170</v>
      </c>
      <c r="BK40" s="8"/>
      <c r="BL40" s="7" t="s">
        <v>170</v>
      </c>
      <c r="BM40" s="8"/>
      <c r="BN40" s="7" t="s">
        <v>170</v>
      </c>
      <c r="BO40" s="8"/>
      <c r="BP40" s="7" t="s">
        <v>170</v>
      </c>
      <c r="BQ40" s="8"/>
      <c r="BR40" s="7" t="s">
        <v>170</v>
      </c>
    </row>
    <row r="41" spans="1:70" ht="18.399999999999999" x14ac:dyDescent="0.6">
      <c r="B41" s="16" t="s">
        <v>11</v>
      </c>
      <c r="C41" s="11">
        <f>C40/(C12-C11)/C13/E9</f>
        <v>8.0034571282018713E-2</v>
      </c>
      <c r="D41" s="7"/>
      <c r="F41" s="7"/>
      <c r="G41" s="8" t="s">
        <v>244</v>
      </c>
      <c r="H41" s="7"/>
      <c r="I41" s="7"/>
      <c r="J41" s="7"/>
      <c r="K41" s="7"/>
      <c r="L41" s="7"/>
      <c r="S41" s="7" t="s">
        <v>12</v>
      </c>
      <c r="T41" s="7" t="s">
        <v>13</v>
      </c>
      <c r="U41" s="8" t="s">
        <v>12</v>
      </c>
      <c r="V41" s="7" t="s">
        <v>13</v>
      </c>
      <c r="W41" s="8" t="s">
        <v>12</v>
      </c>
      <c r="X41" s="7" t="s">
        <v>13</v>
      </c>
      <c r="Y41" s="8" t="s">
        <v>12</v>
      </c>
      <c r="Z41" s="7" t="s">
        <v>13</v>
      </c>
      <c r="AA41" s="8" t="s">
        <v>12</v>
      </c>
      <c r="AB41" s="7" t="s">
        <v>13</v>
      </c>
      <c r="AC41" s="8" t="s">
        <v>12</v>
      </c>
      <c r="AD41" s="7" t="s">
        <v>13</v>
      </c>
      <c r="AE41" s="8" t="s">
        <v>12</v>
      </c>
      <c r="AF41" s="7" t="s">
        <v>13</v>
      </c>
      <c r="AG41" s="8" t="s">
        <v>12</v>
      </c>
      <c r="AH41" s="7" t="s">
        <v>13</v>
      </c>
      <c r="AI41" s="8" t="s">
        <v>12</v>
      </c>
      <c r="AJ41" s="7" t="s">
        <v>13</v>
      </c>
      <c r="AK41" s="8" t="s">
        <v>12</v>
      </c>
      <c r="AL41" s="7" t="s">
        <v>13</v>
      </c>
      <c r="AM41" s="8" t="s">
        <v>12</v>
      </c>
      <c r="AN41" s="7" t="s">
        <v>13</v>
      </c>
      <c r="AO41" s="8" t="s">
        <v>12</v>
      </c>
      <c r="AP41" s="7" t="s">
        <v>13</v>
      </c>
      <c r="AQ41" s="8" t="s">
        <v>12</v>
      </c>
      <c r="AR41" s="7" t="s">
        <v>13</v>
      </c>
      <c r="AS41" s="8" t="s">
        <v>12</v>
      </c>
      <c r="AT41" s="7" t="s">
        <v>13</v>
      </c>
      <c r="AU41" s="8" t="s">
        <v>12</v>
      </c>
      <c r="AV41" s="7" t="s">
        <v>13</v>
      </c>
      <c r="AW41" s="8" t="s">
        <v>12</v>
      </c>
      <c r="AX41" s="7" t="s">
        <v>13</v>
      </c>
      <c r="AY41" s="8" t="s">
        <v>12</v>
      </c>
      <c r="AZ41" s="7" t="s">
        <v>13</v>
      </c>
      <c r="BA41" s="8" t="s">
        <v>12</v>
      </c>
      <c r="BB41" s="7" t="s">
        <v>13</v>
      </c>
      <c r="BC41" s="8" t="s">
        <v>12</v>
      </c>
      <c r="BD41" s="7" t="s">
        <v>13</v>
      </c>
      <c r="BE41" s="8" t="s">
        <v>12</v>
      </c>
      <c r="BF41" s="7" t="s">
        <v>13</v>
      </c>
      <c r="BG41" s="8" t="s">
        <v>12</v>
      </c>
      <c r="BH41" s="7" t="s">
        <v>13</v>
      </c>
      <c r="BI41" s="8" t="s">
        <v>12</v>
      </c>
      <c r="BJ41" s="7" t="s">
        <v>13</v>
      </c>
      <c r="BK41" s="8" t="s">
        <v>12</v>
      </c>
      <c r="BL41" s="7" t="s">
        <v>13</v>
      </c>
      <c r="BM41" s="8" t="s">
        <v>12</v>
      </c>
      <c r="BN41" s="7" t="s">
        <v>13</v>
      </c>
      <c r="BO41" s="8" t="s">
        <v>12</v>
      </c>
      <c r="BP41" s="7" t="s">
        <v>13</v>
      </c>
      <c r="BQ41" s="8" t="s">
        <v>12</v>
      </c>
      <c r="BR41" s="7" t="s">
        <v>13</v>
      </c>
    </row>
    <row r="42" spans="1:70" x14ac:dyDescent="0.4">
      <c r="B42" s="27" t="s">
        <v>243</v>
      </c>
      <c r="C42" s="32">
        <f>C40/C32</f>
        <v>0.99999999999999978</v>
      </c>
      <c r="G42" s="2" t="s">
        <v>245</v>
      </c>
      <c r="S42" s="7">
        <f>2.5*LN(11*E29/$C$38/$E$10)</f>
        <v>10.589392066347017</v>
      </c>
      <c r="T42" s="7">
        <f>(($C$16/S42)^2)/$C$8/$C$13</f>
        <v>0.38189185818278387</v>
      </c>
      <c r="U42" s="7">
        <f>2.5*LN(11*T42/$C$38/$E$10)</f>
        <v>10.736830309608257</v>
      </c>
      <c r="V42" s="7">
        <f>(($C$16/U42)^2)/$C$8/$C$13</f>
        <v>0.37147558643056661</v>
      </c>
      <c r="W42" s="7">
        <f>2.5*LN(11*V42/$C$38/$E$10)</f>
        <v>10.667694487182589</v>
      </c>
      <c r="X42" s="7">
        <f>(($C$16/W42)^2)/$C$8/$C$13</f>
        <v>0.37630615067181317</v>
      </c>
      <c r="Y42" s="7">
        <f>2.5*LN(11*X42/$C$38/$E$10)</f>
        <v>10.699994229179694</v>
      </c>
      <c r="Z42" s="7">
        <f>(($C$16/Y42)^2)/$C$8/$C$13</f>
        <v>0.37403769220844502</v>
      </c>
      <c r="AA42" s="7">
        <f>2.5*LN(11*Z42/$C$38/$E$10)</f>
        <v>10.68487805680029</v>
      </c>
      <c r="AB42" s="7">
        <f>(($C$16/AA42)^2)/$C$8/$C$13</f>
        <v>0.37509676235307371</v>
      </c>
      <c r="AC42" s="7">
        <f>2.5*LN(11*AB42/$C$38/$E$10)</f>
        <v>10.691946686762108</v>
      </c>
      <c r="AD42" s="7">
        <f>(($C$16/AC42)^2)/$C$8/$C$13</f>
        <v>0.37460096044892377</v>
      </c>
      <c r="AE42" s="7">
        <f>2.5*LN(11*AD42/$C$38/$E$10)</f>
        <v>10.688640007540922</v>
      </c>
      <c r="AF42" s="7">
        <f>(($C$16/AE42)^2)/$C$8/$C$13</f>
        <v>0.37483277231900541</v>
      </c>
      <c r="AG42" s="7">
        <f>2.5*LN(11*AF42/$C$38/$E$10)</f>
        <v>10.690186587761021</v>
      </c>
      <c r="AH42" s="7">
        <f>(($C$16/AG42)^2)/$C$8/$C$13</f>
        <v>0.37472432388124072</v>
      </c>
      <c r="AI42" s="7">
        <f>2.5*LN(11*AH42/$C$38/$E$10)</f>
        <v>10.689463170965482</v>
      </c>
      <c r="AJ42" s="7">
        <f>(($C$16/AI42)^2)/$C$8/$C$13</f>
        <v>0.37477504505181458</v>
      </c>
      <c r="AK42" s="7">
        <f>2.5*LN(11*AJ42/$C$38/$E$10)</f>
        <v>10.689801537965867</v>
      </c>
      <c r="AL42" s="7">
        <f>(($C$16/AK42)^2)/$C$8/$C$13</f>
        <v>0.37475131972812842</v>
      </c>
      <c r="AM42" s="7">
        <f>2.5*LN(11*AL42/$C$38/$E$10)</f>
        <v>10.68964326919235</v>
      </c>
      <c r="AN42" s="7">
        <f>(($C$16/AM42)^2)/$C$8/$C$13</f>
        <v>0.37476241680018779</v>
      </c>
      <c r="AO42" s="7">
        <f>2.5*LN(11*AN42/$C$38/$E$10)</f>
        <v>10.689717297669212</v>
      </c>
      <c r="AP42" s="7">
        <f>(($C$16/AO42)^2)/$C$8/$C$13</f>
        <v>0.37475722620551355</v>
      </c>
      <c r="AQ42" s="7">
        <f>2.5*LN(11*AP42/$C$38/$E$10)</f>
        <v>10.689682671527503</v>
      </c>
      <c r="AR42" s="7">
        <f>(($C$16/AQ42)^2)/$C$8/$C$13</f>
        <v>0.37475965404518591</v>
      </c>
      <c r="AS42" s="7">
        <f>2.5*LN(11*AR42/$C$38/$E$10)</f>
        <v>10.689698867558148</v>
      </c>
      <c r="AT42" s="7">
        <f>(($C$16/AS42)^2)/$C$8/$C$13</f>
        <v>0.3747585184445823</v>
      </c>
      <c r="AU42" s="7">
        <f>2.5*LN(11*AT42/$C$38/$E$10)</f>
        <v>10.689691292020655</v>
      </c>
      <c r="AV42" s="7">
        <f>(($C$16/AU42)^2)/$C$8/$C$13</f>
        <v>0.37475904961019518</v>
      </c>
      <c r="AW42" s="7">
        <f>2.5*LN(11*AV42/$C$38/$E$10)</f>
        <v>10.689694835403996</v>
      </c>
      <c r="AX42" s="7">
        <f>(($C$16/AW42)^2)/$C$8/$C$13</f>
        <v>0.37475880116255028</v>
      </c>
      <c r="AY42" s="7">
        <f>2.5*LN(11*AX42/$C$38/$E$10)</f>
        <v>10.689693178020889</v>
      </c>
      <c r="AZ42" s="7">
        <f>(($C$16/AY42)^2)/$C$8/$C$13</f>
        <v>0.37475891737148986</v>
      </c>
      <c r="BA42" s="7">
        <f>2.5*LN(11*AZ42/$C$38/$E$10)</f>
        <v>10.689693953245655</v>
      </c>
      <c r="BB42" s="7">
        <f>(($C$16/BA42)^2)/$C$8/$C$13</f>
        <v>0.37475886301588629</v>
      </c>
      <c r="BC42" s="7">
        <f>2.5*LN(11*BB42/$C$38/$E$10)</f>
        <v>10.689693590641824</v>
      </c>
      <c r="BD42" s="7">
        <f>(($C$16/BC42)^2)/$C$8/$C$13</f>
        <v>0.37475888844018879</v>
      </c>
      <c r="BE42" s="7">
        <f>2.5*LN(11*BD42/$C$38/$E$10)</f>
        <v>10.689693760246231</v>
      </c>
      <c r="BF42" s="7">
        <f>(($C$16/BE42)^2)/$C$8/$C$13</f>
        <v>0.37475887654821882</v>
      </c>
      <c r="BG42" s="7">
        <f>2.5*LN(11*BF42/$C$38/$E$10)</f>
        <v>10.689693680915422</v>
      </c>
      <c r="BH42" s="7">
        <f>(($C$16/BG42)^2)/$C$8/$C$13</f>
        <v>0.37475888211057179</v>
      </c>
      <c r="BI42" s="7">
        <f>2.5*LN(11*BH42/$C$38/$E$10)</f>
        <v>10.689693718021633</v>
      </c>
      <c r="BJ42" s="7">
        <f>(($C$16/BI42)^2)/$C$8/$C$13</f>
        <v>0.37475887950883552</v>
      </c>
      <c r="BK42" s="7">
        <f>2.5*LN(11*BJ42/$C$38/$E$10)</f>
        <v>10.689693700665565</v>
      </c>
      <c r="BL42" s="7">
        <f>(($C$16/BK42)^2)/$C$8/$C$13</f>
        <v>0.37475888072577229</v>
      </c>
      <c r="BM42" s="7">
        <f>2.5*LN(11*BL42/$C$38/$E$10)</f>
        <v>10.689693708783699</v>
      </c>
      <c r="BN42" s="7">
        <f>(($C$16/BM42)^2)/$C$8/$C$13</f>
        <v>0.37475888015656184</v>
      </c>
      <c r="BO42" s="7">
        <f>2.5*LN(11*BN42/$C$38/$E$10)</f>
        <v>10.689693704986521</v>
      </c>
      <c r="BP42" s="7">
        <f>(($C$16/BO42)^2)/$C$8/$C$13</f>
        <v>0.37475888042280442</v>
      </c>
      <c r="BQ42" s="7">
        <f>2.5*LN(11*BP42/$C$38/$E$10)</f>
        <v>10.689693706762611</v>
      </c>
      <c r="BR42" s="7">
        <f>(($C$16/BQ42)^2)/$C$8/$C$13</f>
        <v>0.3747588802982722</v>
      </c>
    </row>
    <row r="43" spans="1:70" ht="18" x14ac:dyDescent="0.6">
      <c r="B43" s="31" t="s">
        <v>246</v>
      </c>
      <c r="C43" s="32">
        <f>IF(C42&lt;1,1/(BQ42^2),C30)</f>
        <v>8.4070822744171745E-3</v>
      </c>
      <c r="S43" s="25" t="s">
        <v>114</v>
      </c>
      <c r="U43" s="26">
        <f t="shared" ref="U43:AZ43" si="3">ABS(U42-S42)/U42</f>
        <v>1.3732008331108587E-2</v>
      </c>
      <c r="V43" s="26">
        <f t="shared" si="3"/>
        <v>2.804025925984828E-2</v>
      </c>
      <c r="W43" s="26">
        <f t="shared" si="3"/>
        <v>6.480858868683952E-3</v>
      </c>
      <c r="X43" s="26">
        <f t="shared" si="3"/>
        <v>1.2836793213777222E-2</v>
      </c>
      <c r="Y43" s="26">
        <f t="shared" si="3"/>
        <v>3.0186691044208017E-3</v>
      </c>
      <c r="Z43" s="26">
        <f t="shared" si="3"/>
        <v>6.0647857438495155E-3</v>
      </c>
      <c r="AA43" s="26">
        <f t="shared" si="3"/>
        <v>1.4147257740375844E-3</v>
      </c>
      <c r="AB43" s="26">
        <f t="shared" si="3"/>
        <v>2.8234585070393229E-3</v>
      </c>
      <c r="AC43" s="26">
        <f t="shared" si="3"/>
        <v>6.6111720988750497E-4</v>
      </c>
      <c r="AD43" s="26">
        <f t="shared" si="3"/>
        <v>1.3235468044603194E-3</v>
      </c>
      <c r="AE43" s="26">
        <f t="shared" si="3"/>
        <v>3.0936388715994983E-4</v>
      </c>
      <c r="AF43" s="26">
        <f t="shared" si="3"/>
        <v>6.1844077466192873E-4</v>
      </c>
      <c r="AG43" s="26">
        <f t="shared" si="3"/>
        <v>1.4467289297546515E-4</v>
      </c>
      <c r="AH43" s="26">
        <f t="shared" si="3"/>
        <v>2.8940858880318254E-4</v>
      </c>
      <c r="AI43" s="26">
        <f t="shared" si="3"/>
        <v>6.7675689973295707E-5</v>
      </c>
      <c r="AJ43" s="26">
        <f t="shared" si="3"/>
        <v>1.3533764118913439E-4</v>
      </c>
      <c r="AK43" s="26">
        <f t="shared" si="3"/>
        <v>3.1653253728161105E-5</v>
      </c>
      <c r="AL43" s="26">
        <f t="shared" si="3"/>
        <v>6.3309513368426518E-5</v>
      </c>
      <c r="AM43" s="26">
        <f t="shared" si="3"/>
        <v>1.4805804976892404E-5</v>
      </c>
      <c r="AN43" s="26">
        <f t="shared" si="3"/>
        <v>2.9610952331142015E-5</v>
      </c>
      <c r="AO43" s="26">
        <f t="shared" si="3"/>
        <v>6.9252043622878749E-6</v>
      </c>
      <c r="AP43" s="26">
        <f t="shared" si="3"/>
        <v>1.3850552601208729E-5</v>
      </c>
      <c r="AQ43" s="26">
        <f t="shared" si="3"/>
        <v>3.2392113753572689E-6</v>
      </c>
      <c r="AR43" s="26">
        <f t="shared" si="3"/>
        <v>6.4783912733198851E-6</v>
      </c>
      <c r="AS43" s="26">
        <f t="shared" si="3"/>
        <v>1.5151063510100068E-6</v>
      </c>
      <c r="AT43" s="26">
        <f t="shared" si="3"/>
        <v>3.0302195886596571E-6</v>
      </c>
      <c r="AU43" s="26">
        <f t="shared" si="3"/>
        <v>7.0867691931985945E-7</v>
      </c>
      <c r="AV43" s="26">
        <f t="shared" si="3"/>
        <v>1.417352331945203E-6</v>
      </c>
      <c r="AW43" s="26">
        <f t="shared" si="3"/>
        <v>3.314765665408256E-7</v>
      </c>
      <c r="AX43" s="26">
        <f t="shared" si="3"/>
        <v>6.6295346268293196E-7</v>
      </c>
      <c r="AY43" s="26">
        <f t="shared" si="3"/>
        <v>1.5504496523891089E-7</v>
      </c>
      <c r="AZ43" s="26">
        <f t="shared" si="3"/>
        <v>3.1008985829445158E-7</v>
      </c>
      <c r="BA43" s="26">
        <f t="shared" ref="BA43:BR43" si="4">ABS(BA42-AY42)/BA42</f>
        <v>7.2520763414668849E-8</v>
      </c>
      <c r="BB43" s="26">
        <f t="shared" si="4"/>
        <v>1.4504154254356562E-7</v>
      </c>
      <c r="BC43" s="26">
        <f t="shared" si="4"/>
        <v>3.3920881672673242E-8</v>
      </c>
      <c r="BD43" s="26">
        <f t="shared" si="4"/>
        <v>6.7841759811102292E-8</v>
      </c>
      <c r="BE43" s="26">
        <f t="shared" si="4"/>
        <v>1.5866161441777733E-8</v>
      </c>
      <c r="BF43" s="26">
        <f t="shared" si="4"/>
        <v>3.1732323657948336E-8</v>
      </c>
      <c r="BG43" s="26">
        <f t="shared" si="4"/>
        <v>7.4212424562303313E-9</v>
      </c>
      <c r="BH43" s="26">
        <f t="shared" si="4"/>
        <v>1.4842484681852937E-8</v>
      </c>
      <c r="BI43" s="26">
        <f t="shared" si="4"/>
        <v>3.4712137144083489E-9</v>
      </c>
      <c r="BJ43" s="26">
        <f t="shared" si="4"/>
        <v>6.942427286255217E-9</v>
      </c>
      <c r="BK43" s="26">
        <f t="shared" si="4"/>
        <v>1.6236263702532263E-9</v>
      </c>
      <c r="BL43" s="26">
        <f t="shared" si="4"/>
        <v>3.247252663411047E-9</v>
      </c>
      <c r="BM43" s="26">
        <f t="shared" si="4"/>
        <v>7.5943557804120712E-10</v>
      </c>
      <c r="BN43" s="26">
        <f t="shared" si="4"/>
        <v>1.5188711640644801E-9</v>
      </c>
      <c r="BO43" s="26">
        <f t="shared" si="4"/>
        <v>3.5521856735935269E-10</v>
      </c>
      <c r="BP43" s="26">
        <f t="shared" si="4"/>
        <v>7.1043702349356706E-10</v>
      </c>
      <c r="BQ43" s="26">
        <f t="shared" si="4"/>
        <v>1.661497919955119E-10</v>
      </c>
      <c r="BR43" s="26">
        <f t="shared" si="4"/>
        <v>3.3229957825683765E-10</v>
      </c>
    </row>
    <row r="44" spans="1:70" x14ac:dyDescent="0.4">
      <c r="B44" s="7"/>
    </row>
    <row r="45" spans="1:70" x14ac:dyDescent="0.4">
      <c r="B45" s="7"/>
      <c r="E45" s="2"/>
    </row>
    <row r="46" spans="1:70" x14ac:dyDescent="0.4">
      <c r="B46" s="7"/>
      <c r="D46" s="2"/>
      <c r="E46" s="2"/>
    </row>
    <row r="47" spans="1:70" x14ac:dyDescent="0.4">
      <c r="B47" s="7"/>
      <c r="C47" s="29"/>
      <c r="D47" s="2"/>
      <c r="E47" s="2"/>
    </row>
    <row r="48" spans="1:70" x14ac:dyDescent="0.4">
      <c r="B48" s="7"/>
      <c r="E48" s="2"/>
    </row>
    <row r="49" spans="2:5" x14ac:dyDescent="0.4">
      <c r="B49" s="7"/>
      <c r="E49" s="2"/>
    </row>
    <row r="50" spans="2:5" x14ac:dyDescent="0.4">
      <c r="B50" s="7"/>
    </row>
    <row r="51" spans="2:5" x14ac:dyDescent="0.4">
      <c r="B51" s="7"/>
    </row>
    <row r="52" spans="2:5" x14ac:dyDescent="0.4">
      <c r="B52" s="7"/>
    </row>
    <row r="53" spans="2:5" x14ac:dyDescent="0.4">
      <c r="B53" s="7"/>
    </row>
    <row r="54" spans="2:5" x14ac:dyDescent="0.4">
      <c r="B54" s="7"/>
    </row>
    <row r="55" spans="2:5" x14ac:dyDescent="0.4">
      <c r="B55" s="7"/>
    </row>
    <row r="56" spans="2:5" x14ac:dyDescent="0.4">
      <c r="B56" s="7"/>
    </row>
    <row r="57" spans="2:5" x14ac:dyDescent="0.4">
      <c r="B57" s="7"/>
    </row>
    <row r="58" spans="2:5" x14ac:dyDescent="0.4">
      <c r="B58" s="7"/>
    </row>
    <row r="59" spans="2:5" x14ac:dyDescent="0.4">
      <c r="B59" s="7"/>
    </row>
    <row r="60" spans="2:5" x14ac:dyDescent="0.4">
      <c r="B60" s="7"/>
    </row>
    <row r="61" spans="2:5" x14ac:dyDescent="0.4">
      <c r="B61" s="7"/>
    </row>
    <row r="62" spans="2:5" x14ac:dyDescent="0.4">
      <c r="B62" s="7"/>
    </row>
    <row r="63" spans="2:5" x14ac:dyDescent="0.4">
      <c r="B63" s="7"/>
    </row>
    <row r="64" spans="2:5" x14ac:dyDescent="0.4">
      <c r="B64" s="7"/>
    </row>
    <row r="65" spans="2:2" x14ac:dyDescent="0.4">
      <c r="B65" s="7"/>
    </row>
    <row r="66" spans="2:2" x14ac:dyDescent="0.4">
      <c r="B66" s="7"/>
    </row>
    <row r="67" spans="2:2" x14ac:dyDescent="0.4">
      <c r="B67" s="7"/>
    </row>
    <row r="68" spans="2:2" x14ac:dyDescent="0.4">
      <c r="B68" s="7"/>
    </row>
    <row r="69" spans="2:2" x14ac:dyDescent="0.4">
      <c r="B69" s="7"/>
    </row>
    <row r="70" spans="2:2" x14ac:dyDescent="0.4">
      <c r="B70" s="7"/>
    </row>
  </sheetData>
  <phoneticPr fontId="0" type="noConversion"/>
  <pageMargins left="0.75" right="0.75" top="1" bottom="1" header="0.5" footer="0.5"/>
  <pageSetup orientation="portrait" horizontalDpi="200" verticalDpi="2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Formulation</vt:lpstr>
      <vt:lpstr>calculator</vt:lpstr>
    </vt:vector>
  </TitlesOfParts>
  <Company>UIUC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Viparelli, Enrica</cp:lastModifiedBy>
  <dcterms:created xsi:type="dcterms:W3CDTF">2009-09-09T16:05:02Z</dcterms:created>
  <dcterms:modified xsi:type="dcterms:W3CDTF">2026-07-30T01:07:34Z</dcterms:modified>
</cp:coreProperties>
</file>