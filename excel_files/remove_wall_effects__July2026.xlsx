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viparell_cec_sc_edu/Documents/in_use/lab_documents/"/>
    </mc:Choice>
  </mc:AlternateContent>
  <xr:revisionPtr revIDLastSave="13" documentId="8_{1BE231D8-5FBD-4CD7-971F-9DD695032F43}" xr6:coauthVersionLast="47" xr6:coauthVersionMax="47" xr10:uidLastSave="{E4BEAC76-7963-4B34-87F9-EFC1D5D4BD72}"/>
  <bookViews>
    <workbookView xWindow="240" yWindow="660" windowWidth="17790" windowHeight="10620" activeTab="1" xr2:uid="{00000000-000D-0000-FFFF-FFFF00000000}"/>
  </bookViews>
  <sheets>
    <sheet name="Formulation" sheetId="1" r:id="rId1"/>
    <sheet name="calculato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E5" i="3"/>
  <c r="C16" i="3" s="1"/>
  <c r="E6" i="3"/>
  <c r="E7" i="3"/>
  <c r="C18" i="3" s="1"/>
  <c r="E9" i="3"/>
  <c r="C20" i="3"/>
  <c r="E20" i="3" s="1"/>
  <c r="C19" i="3" l="1"/>
  <c r="C21" i="3" l="1"/>
  <c r="C17" i="3"/>
  <c r="C22" i="3"/>
  <c r="C23" i="3" l="1"/>
  <c r="C24" i="3" s="1"/>
  <c r="S25" i="3" s="1"/>
  <c r="T25" i="3" s="1"/>
  <c r="U25" i="3" s="1"/>
  <c r="U26" i="3" s="1"/>
  <c r="V25" i="3" l="1"/>
  <c r="W25" i="3" s="1"/>
  <c r="W26" i="3" s="1"/>
  <c r="X25" i="3" l="1"/>
  <c r="Y25" i="3" s="1"/>
  <c r="V26" i="3"/>
  <c r="X26" i="3" l="1"/>
  <c r="Y26" i="3"/>
  <c r="Z25" i="3"/>
  <c r="AA25" i="3" l="1"/>
  <c r="Z26" i="3"/>
  <c r="AB25" i="3" l="1"/>
  <c r="AA26" i="3"/>
  <c r="AB26" i="3" l="1"/>
  <c r="AC25" i="3"/>
  <c r="AC26" i="3" l="1"/>
  <c r="AD25" i="3"/>
  <c r="AE25" i="3" l="1"/>
  <c r="AD26" i="3"/>
  <c r="AF25" i="3" l="1"/>
  <c r="AE26" i="3"/>
  <c r="AF26" i="3" l="1"/>
  <c r="AG25" i="3"/>
  <c r="AG26" i="3" l="1"/>
  <c r="AH25" i="3"/>
  <c r="AI25" i="3" l="1"/>
  <c r="AH26" i="3"/>
  <c r="AJ25" i="3" l="1"/>
  <c r="AI26" i="3"/>
  <c r="AJ26" i="3" l="1"/>
  <c r="AK25" i="3"/>
  <c r="AK26" i="3" l="1"/>
  <c r="AL25" i="3"/>
  <c r="AM25" i="3" l="1"/>
  <c r="AL26" i="3"/>
  <c r="AN25" i="3" l="1"/>
  <c r="AM26" i="3"/>
  <c r="AN26" i="3" l="1"/>
  <c r="AO25" i="3"/>
  <c r="AO26" i="3" l="1"/>
  <c r="AP25" i="3"/>
  <c r="AQ25" i="3" l="1"/>
  <c r="AP26" i="3"/>
  <c r="AR25" i="3" l="1"/>
  <c r="AQ26" i="3"/>
  <c r="AR26" i="3" l="1"/>
  <c r="AS25" i="3"/>
  <c r="AS26" i="3" l="1"/>
  <c r="AT25" i="3"/>
  <c r="AU25" i="3" l="1"/>
  <c r="AT26" i="3"/>
  <c r="AV25" i="3" l="1"/>
  <c r="AU26" i="3"/>
  <c r="AV26" i="3" l="1"/>
  <c r="AW25" i="3"/>
  <c r="AW26" i="3" l="1"/>
  <c r="AX25" i="3"/>
  <c r="AY25" i="3" l="1"/>
  <c r="AY26" i="3" s="1"/>
  <c r="AX26" i="3"/>
  <c r="AZ25" i="3" l="1"/>
  <c r="AZ26" i="3" l="1"/>
  <c r="BA25" i="3"/>
  <c r="BA26" i="3" l="1"/>
  <c r="BB25" i="3"/>
  <c r="BC25" i="3" l="1"/>
  <c r="BB26" i="3"/>
  <c r="BD25" i="3" l="1"/>
  <c r="BC26" i="3"/>
  <c r="BD26" i="3" l="1"/>
  <c r="BE25" i="3"/>
  <c r="BE26" i="3" l="1"/>
  <c r="BF25" i="3"/>
  <c r="BG25" i="3" l="1"/>
  <c r="BF26" i="3"/>
  <c r="BH25" i="3" l="1"/>
  <c r="BG26" i="3"/>
  <c r="BH26" i="3" l="1"/>
  <c r="BI25" i="3"/>
  <c r="BI26" i="3" l="1"/>
  <c r="BJ25" i="3"/>
  <c r="BK25" i="3" l="1"/>
  <c r="BJ26" i="3"/>
  <c r="BL25" i="3" l="1"/>
  <c r="BK26" i="3"/>
  <c r="BL26" i="3" l="1"/>
  <c r="BM25" i="3"/>
  <c r="BM26" i="3" l="1"/>
  <c r="BN25" i="3"/>
  <c r="BO25" i="3" l="1"/>
  <c r="BN26" i="3"/>
  <c r="BP25" i="3" l="1"/>
  <c r="BO26" i="3"/>
  <c r="BP26" i="3" l="1"/>
  <c r="BQ25" i="3"/>
  <c r="BQ26" i="3" l="1"/>
  <c r="C25" i="3"/>
  <c r="BR25" i="3"/>
  <c r="C26" i="3" l="1"/>
  <c r="BR26" i="3"/>
  <c r="C31" i="3"/>
  <c r="C30" i="3"/>
  <c r="E27" i="3" l="1"/>
  <c r="C27" i="3" s="1"/>
  <c r="C28" i="3" s="1"/>
  <c r="C32" i="3"/>
  <c r="C35" i="3"/>
  <c r="C36" i="3" s="1"/>
  <c r="C29" i="3" l="1"/>
  <c r="E29" i="3" s="1"/>
  <c r="S44" i="3" s="1"/>
  <c r="T44" i="3" s="1"/>
  <c r="E28" i="3"/>
  <c r="E33" i="3"/>
  <c r="C33" i="3" s="1"/>
  <c r="C34" i="3"/>
  <c r="U44" i="3" l="1"/>
  <c r="V44" i="3" l="1"/>
  <c r="W44" i="3" s="1"/>
  <c r="U45" i="3"/>
  <c r="V45" i="3" l="1"/>
  <c r="W45" i="3"/>
  <c r="X44" i="3"/>
  <c r="Y44" i="3" l="1"/>
  <c r="X45" i="3"/>
  <c r="Y45" i="3" l="1"/>
  <c r="Z44" i="3"/>
  <c r="Z45" i="3" l="1"/>
  <c r="AA44" i="3"/>
  <c r="AA45" i="3" l="1"/>
  <c r="AB44" i="3"/>
  <c r="AC44" i="3" l="1"/>
  <c r="AB45" i="3"/>
  <c r="AC45" i="3" l="1"/>
  <c r="AD44" i="3"/>
  <c r="AD45" i="3" l="1"/>
  <c r="AE44" i="3"/>
  <c r="AE45" i="3" l="1"/>
  <c r="AF44" i="3"/>
  <c r="AG44" i="3" l="1"/>
  <c r="AF45" i="3"/>
  <c r="AG45" i="3" l="1"/>
  <c r="AH44" i="3"/>
  <c r="AH45" i="3" l="1"/>
  <c r="AI44" i="3"/>
  <c r="AI45" i="3" l="1"/>
  <c r="AJ44" i="3"/>
  <c r="AK44" i="3" l="1"/>
  <c r="AJ45" i="3"/>
  <c r="AK45" i="3" l="1"/>
  <c r="AL44" i="3"/>
  <c r="AL45" i="3" l="1"/>
  <c r="AM44" i="3"/>
  <c r="AM45" i="3" l="1"/>
  <c r="AN44" i="3"/>
  <c r="AO44" i="3" l="1"/>
  <c r="AN45" i="3"/>
  <c r="AO45" i="3" l="1"/>
  <c r="AP44" i="3"/>
  <c r="AP45" i="3" l="1"/>
  <c r="AQ44" i="3"/>
  <c r="AQ45" i="3" l="1"/>
  <c r="AR44" i="3"/>
  <c r="AS44" i="3" l="1"/>
  <c r="AR45" i="3"/>
  <c r="AS45" i="3" l="1"/>
  <c r="AT44" i="3"/>
  <c r="AT45" i="3" l="1"/>
  <c r="AU44" i="3"/>
  <c r="AU45" i="3" l="1"/>
  <c r="AV44" i="3"/>
  <c r="AW44" i="3" l="1"/>
  <c r="AV45" i="3"/>
  <c r="AW45" i="3" l="1"/>
  <c r="AX44" i="3"/>
  <c r="AX45" i="3" l="1"/>
  <c r="AY44" i="3"/>
  <c r="AY45" i="3" l="1"/>
  <c r="AZ44" i="3"/>
  <c r="BA44" i="3" l="1"/>
  <c r="AZ45" i="3"/>
  <c r="BA45" i="3" l="1"/>
  <c r="BB44" i="3"/>
  <c r="BB45" i="3" l="1"/>
  <c r="BC44" i="3"/>
  <c r="BC45" i="3" l="1"/>
  <c r="BD44" i="3"/>
  <c r="BE44" i="3" l="1"/>
  <c r="BD45" i="3"/>
  <c r="BE45" i="3" l="1"/>
  <c r="BF44" i="3"/>
  <c r="BF45" i="3" l="1"/>
  <c r="BG44" i="3"/>
  <c r="BG45" i="3" l="1"/>
  <c r="BH44" i="3"/>
  <c r="BI44" i="3" l="1"/>
  <c r="BH45" i="3"/>
  <c r="BI45" i="3" l="1"/>
  <c r="BJ44" i="3"/>
  <c r="BJ45" i="3" l="1"/>
  <c r="BK44" i="3"/>
  <c r="BK45" i="3" l="1"/>
  <c r="BL44" i="3"/>
  <c r="BM44" i="3" l="1"/>
  <c r="BL45" i="3"/>
  <c r="BM45" i="3" l="1"/>
  <c r="BN44" i="3"/>
  <c r="BN45" i="3" l="1"/>
  <c r="BO44" i="3"/>
  <c r="BO45" i="3" l="1"/>
  <c r="BP44" i="3"/>
  <c r="BQ44" i="3" l="1"/>
  <c r="BP45" i="3"/>
  <c r="BQ45" i="3" l="1"/>
  <c r="BR44" i="3"/>
  <c r="BR45" i="3" l="1"/>
  <c r="E41" i="3"/>
  <c r="C41" i="3" l="1"/>
  <c r="C42" i="3"/>
  <c r="C43" i="3" l="1"/>
  <c r="C44" i="3" s="1"/>
</calcChain>
</file>

<file path=xl/sharedStrings.xml><?xml version="1.0" encoding="utf-8"?>
<sst xmlns="http://schemas.openxmlformats.org/spreadsheetml/2006/main" count="358" uniqueCount="260">
  <si>
    <t xml:space="preserve">5) In the worksheet calculator the bed Shields number due to skin friction only is also computed according to the </t>
  </si>
  <si>
    <t>formulation of Van Rijn</t>
  </si>
  <si>
    <t>(vi)</t>
  </si>
  <si>
    <t>where the nondimensional Chezy coefficient is computed with the Keulegan Law as a function of the hydraulic radius</t>
  </si>
  <si>
    <t>of the bed region.</t>
  </si>
  <si>
    <t>Hydraulic radius for the bed region due to skin friction only</t>
    <phoneticPr fontId="0" type="noConversion"/>
  </si>
  <si>
    <t>Bed shear stress on the bed region due to skin friction only</t>
    <phoneticPr fontId="0" type="noConversion"/>
  </si>
  <si>
    <t>Side-wall corrected Shields parameter</t>
  </si>
  <si>
    <t>Nondimensional friction coefficient for the wall region  (calculation done in cells S24:BR26)</t>
  </si>
  <si>
    <t>Reynolds number for the wall region (calculation done in cells S24:BR26)</t>
  </si>
  <si>
    <r>
      <t>C</t>
    </r>
    <r>
      <rPr>
        <b/>
        <vertAlign val="subscript"/>
        <sz val="12"/>
        <rFont val="Arial"/>
        <family val="2"/>
      </rPr>
      <t>Zb,d</t>
    </r>
  </si>
  <si>
    <t>teta'</t>
  </si>
  <si>
    <r>
      <t>r</t>
    </r>
    <r>
      <rPr>
        <b/>
        <vertAlign val="subscript"/>
        <sz val="12"/>
        <rFont val="Arial"/>
        <family val="2"/>
      </rPr>
      <t>b</t>
    </r>
  </si>
  <si>
    <t>Hydraulic radius for the bed region</t>
  </si>
  <si>
    <r>
      <t>m</t>
    </r>
    <r>
      <rPr>
        <b/>
        <vertAlign val="superscript"/>
        <sz val="12"/>
        <rFont val="Arial"/>
        <family val="2"/>
      </rPr>
      <t>1/2</t>
    </r>
    <r>
      <rPr>
        <b/>
        <sz val="12"/>
        <rFont val="Arial"/>
        <family val="2"/>
      </rPr>
      <t>/s</t>
    </r>
  </si>
  <si>
    <t>Side-wall corrected dimensional Chezy coefficient for the bed region</t>
  </si>
  <si>
    <r>
      <t>Side-wall corrected mobility parameter (identical to Shields parameter</t>
    </r>
    <r>
      <rPr>
        <b/>
        <sz val="12"/>
        <rFont val="Arial"/>
        <family val="2"/>
      </rPr>
      <t>)</t>
    </r>
  </si>
  <si>
    <t>COMPUTE THE FRICTION COEFFICIENT AND THE REYNOLDS NUMBER FOR THE WALL REGION</t>
  </si>
  <si>
    <r>
      <t xml:space="preserve">Calculation of bed shear stress due to skin friction alone, </t>
    </r>
    <r>
      <rPr>
        <b/>
        <sz val="14"/>
        <color indexed="10"/>
        <rFont val="Symbol"/>
        <family val="1"/>
      </rPr>
      <t>t</t>
    </r>
    <r>
      <rPr>
        <b/>
        <vertAlign val="subscript"/>
        <sz val="14"/>
        <color indexed="10"/>
        <rFont val="Arial"/>
        <family val="2"/>
      </rPr>
      <t>bs</t>
    </r>
    <r>
      <rPr>
        <b/>
        <sz val="14"/>
        <color indexed="10"/>
        <rFont val="Arial"/>
        <family val="2"/>
      </rPr>
      <t>*</t>
    </r>
  </si>
  <si>
    <r>
      <t>r</t>
    </r>
    <r>
      <rPr>
        <b/>
        <vertAlign val="subscript"/>
        <sz val="12"/>
        <rFont val="Arial"/>
        <family val="2"/>
      </rPr>
      <t>bs</t>
    </r>
  </si>
  <si>
    <r>
      <t>t</t>
    </r>
    <r>
      <rPr>
        <b/>
        <vertAlign val="subscript"/>
        <sz val="12"/>
        <rFont val="Arial"/>
        <family val="2"/>
      </rPr>
      <t>bs</t>
    </r>
  </si>
  <si>
    <r>
      <t>t</t>
    </r>
    <r>
      <rPr>
        <b/>
        <vertAlign val="subscript"/>
        <sz val="12"/>
        <rFont val="Arial"/>
        <family val="2"/>
      </rPr>
      <t>bs</t>
    </r>
    <r>
      <rPr>
        <b/>
        <vertAlign val="superscript"/>
        <sz val="12"/>
        <rFont val="Arial"/>
        <family val="2"/>
      </rPr>
      <t>*</t>
    </r>
  </si>
  <si>
    <r>
      <t xml:space="preserve">Bed Shields number due to skin friction only = </t>
    </r>
    <r>
      <rPr>
        <b/>
        <sz val="12"/>
        <rFont val="Symbol"/>
        <family val="1"/>
      </rPr>
      <t>q</t>
    </r>
    <r>
      <rPr>
        <b/>
        <sz val="12"/>
        <rFont val="Arial"/>
        <family val="2"/>
      </rPr>
      <t>' (right value)</t>
    </r>
  </si>
  <si>
    <t>Cz</t>
  </si>
  <si>
    <t>rbs</t>
  </si>
  <si>
    <r>
      <t>Coefficient such that roughness height k</t>
    </r>
    <r>
      <rPr>
        <b/>
        <vertAlign val="subscript"/>
        <sz val="12"/>
        <rFont val="Arial"/>
        <family val="2"/>
      </rPr>
      <t>s</t>
    </r>
    <r>
      <rPr>
        <b/>
        <sz val="12"/>
        <rFont val="Arial"/>
        <family val="2"/>
      </rPr>
      <t xml:space="preserve"> = n * D</t>
    </r>
    <r>
      <rPr>
        <b/>
        <vertAlign val="subscript"/>
        <sz val="12"/>
        <rFont val="Arial"/>
        <family val="2"/>
      </rPr>
      <t>90</t>
    </r>
  </si>
  <si>
    <r>
      <t>ITERATIVE COMPUTATION OF r</t>
    </r>
    <r>
      <rPr>
        <b/>
        <vertAlign val="subscript"/>
        <sz val="12"/>
        <color indexed="10"/>
        <rFont val="Arial"/>
        <family val="2"/>
      </rPr>
      <t>bs</t>
    </r>
  </si>
  <si>
    <t>Procedure implemented to compute the bed shear stress due to skin friction only</t>
  </si>
  <si>
    <r>
      <t>1) The roughness heigth for the skin friction is assumed to scale with the D</t>
    </r>
    <r>
      <rPr>
        <b/>
        <vertAlign val="subscript"/>
        <sz val="10"/>
        <rFont val="Arial"/>
        <family val="2"/>
      </rPr>
      <t>90</t>
    </r>
    <r>
      <rPr>
        <b/>
        <sz val="10"/>
        <rFont val="Arial"/>
        <family val="2"/>
      </rPr>
      <t xml:space="preserve"> of the sediment:</t>
    </r>
  </si>
  <si>
    <t>(i)</t>
  </si>
  <si>
    <t>2) The nondimensional Chezy friction coefficient due to skin friction is computed with the Keulegan Law:</t>
  </si>
  <si>
    <t>(ii)</t>
  </si>
  <si>
    <r>
      <t>where r</t>
    </r>
    <r>
      <rPr>
        <b/>
        <vertAlign val="subscript"/>
        <sz val="10"/>
        <rFont val="Arial"/>
        <family val="2"/>
      </rPr>
      <t>bs</t>
    </r>
    <r>
      <rPr>
        <b/>
        <sz val="10"/>
        <rFont val="Arial"/>
        <family val="2"/>
      </rPr>
      <t xml:space="preserve"> represents the hydraulic radius due to skin  friction only.</t>
    </r>
  </si>
  <si>
    <t>with two equations in two unknows that have to be solved iteratively (calculation done in cells S42: BR44 of the)</t>
  </si>
  <si>
    <t>worksheet calculator.</t>
  </si>
  <si>
    <t>If we use a Chezy formulation - equation (iii) below - and we compute the friction coefficient from the Keulegan Law, we have a problem</t>
  </si>
  <si>
    <t>(iii)</t>
  </si>
  <si>
    <t>3) Compute the shear stress due to skin friction only assuming normal flow</t>
  </si>
  <si>
    <t>(iv)</t>
  </si>
  <si>
    <t>(v)</t>
  </si>
  <si>
    <r>
      <t>4) Compute the Shields parameter due to skin friction only,</t>
    </r>
    <r>
      <rPr>
        <b/>
        <sz val="10"/>
        <rFont val="Symbol"/>
        <family val="1"/>
      </rPr>
      <t xml:space="preserve"> t</t>
    </r>
    <r>
      <rPr>
        <b/>
        <vertAlign val="subscript"/>
        <sz val="10"/>
        <rFont val="Arial"/>
        <family val="2"/>
      </rPr>
      <t>bs</t>
    </r>
    <r>
      <rPr>
        <b/>
        <vertAlign val="superscript"/>
        <sz val="10"/>
        <rFont val="Arial"/>
        <family val="2"/>
      </rPr>
      <t>*</t>
    </r>
  </si>
  <si>
    <t>S</t>
  </si>
  <si>
    <t>m/m</t>
  </si>
  <si>
    <t>Bed slope</t>
  </si>
  <si>
    <t>D</t>
  </si>
  <si>
    <t>mm</t>
  </si>
  <si>
    <r>
      <t>Characteristic diameter of the sediment (e.g. D</t>
    </r>
    <r>
      <rPr>
        <b/>
        <vertAlign val="subscript"/>
        <sz val="12"/>
        <rFont val="Arial"/>
        <family val="2"/>
      </rPr>
      <t>g</t>
    </r>
    <r>
      <rPr>
        <b/>
        <sz val="12"/>
        <rFont val="Arial"/>
        <family val="2"/>
      </rPr>
      <t>, D</t>
    </r>
    <r>
      <rPr>
        <b/>
        <vertAlign val="subscript"/>
        <sz val="12"/>
        <rFont val="Arial"/>
        <family val="2"/>
      </rPr>
      <t>50</t>
    </r>
    <r>
      <rPr>
        <b/>
        <sz val="12"/>
        <rFont val="Arial"/>
        <family val="2"/>
      </rPr>
      <t>, ...)</t>
    </r>
  </si>
  <si>
    <r>
      <t>D</t>
    </r>
    <r>
      <rPr>
        <b/>
        <vertAlign val="subscript"/>
        <sz val="12"/>
        <rFont val="Arial"/>
        <family val="2"/>
      </rPr>
      <t>90</t>
    </r>
  </si>
  <si>
    <r>
      <t>D</t>
    </r>
    <r>
      <rPr>
        <b/>
        <vertAlign val="subscript"/>
        <sz val="12"/>
        <rFont val="Arial"/>
        <family val="2"/>
      </rPr>
      <t>90</t>
    </r>
    <r>
      <rPr>
        <b/>
        <sz val="12"/>
        <rFont val="Arial"/>
        <family val="2"/>
      </rPr>
      <t xml:space="preserve"> of the sediment</t>
    </r>
  </si>
  <si>
    <t>r</t>
  </si>
  <si>
    <r>
      <t>kg/m</t>
    </r>
    <r>
      <rPr>
        <b/>
        <vertAlign val="superscript"/>
        <sz val="12"/>
        <rFont val="Arial"/>
        <family val="2"/>
      </rPr>
      <t>3</t>
    </r>
  </si>
  <si>
    <t>Density of the water</t>
  </si>
  <si>
    <r>
      <t>r</t>
    </r>
    <r>
      <rPr>
        <b/>
        <vertAlign val="subscript"/>
        <sz val="12"/>
        <rFont val="Arial"/>
        <family val="2"/>
      </rPr>
      <t>s</t>
    </r>
  </si>
  <si>
    <t>Density of the sediment</t>
  </si>
  <si>
    <t>g</t>
  </si>
  <si>
    <r>
      <t>m/s</t>
    </r>
    <r>
      <rPr>
        <b/>
        <vertAlign val="superscript"/>
        <sz val="12"/>
        <rFont val="Arial"/>
        <family val="2"/>
      </rPr>
      <t>2</t>
    </r>
  </si>
  <si>
    <t>Acceleration of gravity</t>
  </si>
  <si>
    <t>n</t>
  </si>
  <si>
    <r>
      <t>m</t>
    </r>
    <r>
      <rPr>
        <b/>
        <vertAlign val="superscript"/>
        <sz val="12"/>
        <rFont val="Arial"/>
        <family val="2"/>
      </rPr>
      <t>2</t>
    </r>
    <r>
      <rPr>
        <b/>
        <sz val="12"/>
        <rFont val="Arial"/>
        <family val="2"/>
      </rPr>
      <t>/s</t>
    </r>
  </si>
  <si>
    <t>Kinematic viscosity</t>
  </si>
  <si>
    <t>U</t>
  </si>
  <si>
    <t>m/s</t>
  </si>
  <si>
    <t>Flow velocity</t>
  </si>
  <si>
    <t>Fr</t>
  </si>
  <si>
    <t>Froude number</t>
  </si>
  <si>
    <t>Hydraulic radius for the entire cross section</t>
  </si>
  <si>
    <t>Nondimensional friction coefficient for the entire cross section</t>
  </si>
  <si>
    <t>Re</t>
  </si>
  <si>
    <t xml:space="preserve">Reynolds number for the entire cross section </t>
  </si>
  <si>
    <t>Ratio between the nondimensional friction coefficient and the Reynolds number</t>
  </si>
  <si>
    <t>Ratio between the Darcy-Weisbach friction coefficient and the Reynolds number</t>
  </si>
  <si>
    <r>
      <t>C</t>
    </r>
    <r>
      <rPr>
        <b/>
        <vertAlign val="subscript"/>
        <sz val="12"/>
        <rFont val="Arial"/>
        <family val="2"/>
      </rPr>
      <t>f</t>
    </r>
  </si>
  <si>
    <r>
      <t>C</t>
    </r>
    <r>
      <rPr>
        <b/>
        <vertAlign val="subscript"/>
        <sz val="12"/>
        <rFont val="Arial"/>
        <family val="2"/>
      </rPr>
      <t>f</t>
    </r>
    <r>
      <rPr>
        <b/>
        <sz val="12"/>
        <rFont val="Arial"/>
        <family val="2"/>
      </rPr>
      <t>/Re</t>
    </r>
  </si>
  <si>
    <r>
      <t>C</t>
    </r>
    <r>
      <rPr>
        <b/>
        <vertAlign val="subscript"/>
        <sz val="12"/>
        <rFont val="Arial"/>
        <family val="2"/>
      </rPr>
      <t>fw</t>
    </r>
  </si>
  <si>
    <r>
      <t>Re</t>
    </r>
    <r>
      <rPr>
        <b/>
        <vertAlign val="subscript"/>
        <sz val="12"/>
        <rFont val="Arial"/>
        <family val="2"/>
      </rPr>
      <t>w</t>
    </r>
  </si>
  <si>
    <t>Rew1</t>
  </si>
  <si>
    <t>fw0</t>
  </si>
  <si>
    <t>Rew0</t>
  </si>
  <si>
    <t>Rew2</t>
  </si>
  <si>
    <t>fw3</t>
  </si>
  <si>
    <t>Rew3</t>
  </si>
  <si>
    <t>fw4</t>
  </si>
  <si>
    <t>Rew4</t>
  </si>
  <si>
    <t>fw5</t>
  </si>
  <si>
    <t>Rew5</t>
  </si>
  <si>
    <t>fw6</t>
  </si>
  <si>
    <t>Rew6</t>
  </si>
  <si>
    <t>fw7</t>
  </si>
  <si>
    <t>Rew7</t>
  </si>
  <si>
    <t>fw8</t>
  </si>
  <si>
    <t>Rew8</t>
  </si>
  <si>
    <t>fw9</t>
  </si>
  <si>
    <t>Rew9</t>
  </si>
  <si>
    <t>fw10</t>
  </si>
  <si>
    <t>Rew10</t>
  </si>
  <si>
    <t>fw11</t>
  </si>
  <si>
    <t>Rew11</t>
  </si>
  <si>
    <t>fw12</t>
  </si>
  <si>
    <t>Rew12</t>
  </si>
  <si>
    <t>fw13</t>
  </si>
  <si>
    <t>Rew13</t>
  </si>
  <si>
    <t>fw14</t>
  </si>
  <si>
    <t>Rew14</t>
  </si>
  <si>
    <t>fw15</t>
  </si>
  <si>
    <t>Rew15</t>
  </si>
  <si>
    <t>fw16</t>
  </si>
  <si>
    <t>Rew16</t>
  </si>
  <si>
    <t>fw17</t>
  </si>
  <si>
    <t>Rew17</t>
  </si>
  <si>
    <t>fw18</t>
  </si>
  <si>
    <t>Rew18</t>
  </si>
  <si>
    <t>fw19</t>
  </si>
  <si>
    <t>Rew19</t>
  </si>
  <si>
    <t>fw20</t>
  </si>
  <si>
    <t>Rew20</t>
  </si>
  <si>
    <t>fw21</t>
  </si>
  <si>
    <t>Rew21</t>
  </si>
  <si>
    <t>fw22</t>
  </si>
  <si>
    <t>Rew22</t>
  </si>
  <si>
    <t>fw23</t>
  </si>
  <si>
    <t>Rew23</t>
  </si>
  <si>
    <t>fw24</t>
  </si>
  <si>
    <t>Rew24</t>
  </si>
  <si>
    <t>fw25</t>
  </si>
  <si>
    <t>Rew25</t>
  </si>
  <si>
    <t>error</t>
  </si>
  <si>
    <r>
      <t>A</t>
    </r>
    <r>
      <rPr>
        <b/>
        <vertAlign val="subscript"/>
        <sz val="12"/>
        <rFont val="Arial"/>
        <family val="2"/>
      </rPr>
      <t>w</t>
    </r>
  </si>
  <si>
    <r>
      <t>m</t>
    </r>
    <r>
      <rPr>
        <b/>
        <vertAlign val="superscript"/>
        <sz val="12"/>
        <rFont val="Arial"/>
        <family val="2"/>
      </rPr>
      <t>2</t>
    </r>
  </si>
  <si>
    <r>
      <t>cm</t>
    </r>
    <r>
      <rPr>
        <b/>
        <vertAlign val="superscript"/>
        <sz val="12"/>
        <rFont val="Arial"/>
        <family val="2"/>
      </rPr>
      <t>2</t>
    </r>
  </si>
  <si>
    <r>
      <t>r</t>
    </r>
    <r>
      <rPr>
        <b/>
        <sz val="10"/>
        <rFont val="Arial"/>
        <family val="2"/>
      </rPr>
      <t xml:space="preserve"> and </t>
    </r>
    <r>
      <rPr>
        <b/>
        <sz val="10"/>
        <rFont val="Symbol"/>
        <family val="1"/>
      </rPr>
      <t>r</t>
    </r>
    <r>
      <rPr>
        <b/>
        <vertAlign val="subscript"/>
        <sz val="10"/>
        <rFont val="Arial"/>
        <family val="2"/>
      </rPr>
      <t>s</t>
    </r>
    <r>
      <rPr>
        <b/>
        <sz val="10"/>
        <rFont val="Arial"/>
        <family val="2"/>
      </rPr>
      <t>, density of the water and of the sediment in kg/m</t>
    </r>
    <r>
      <rPr>
        <b/>
        <vertAlign val="superscript"/>
        <sz val="10"/>
        <rFont val="Arial"/>
        <family val="2"/>
      </rPr>
      <t>3</t>
    </r>
  </si>
  <si>
    <r>
      <t>A</t>
    </r>
    <r>
      <rPr>
        <b/>
        <vertAlign val="subscript"/>
        <sz val="12"/>
        <rFont val="Arial"/>
        <family val="2"/>
      </rPr>
      <t>b</t>
    </r>
  </si>
  <si>
    <t>Area of the wall region</t>
  </si>
  <si>
    <t>Area of the bed region</t>
  </si>
  <si>
    <t>Nondimensional friction coeffcient for the bed region</t>
  </si>
  <si>
    <r>
      <t>C</t>
    </r>
    <r>
      <rPr>
        <b/>
        <vertAlign val="subscript"/>
        <sz val="12"/>
        <rFont val="Arial"/>
        <family val="2"/>
      </rPr>
      <t>fb</t>
    </r>
  </si>
  <si>
    <r>
      <t>t</t>
    </r>
    <r>
      <rPr>
        <b/>
        <vertAlign val="subscript"/>
        <sz val="12"/>
        <rFont val="Arial"/>
        <family val="2"/>
      </rPr>
      <t>w</t>
    </r>
  </si>
  <si>
    <r>
      <t>t</t>
    </r>
    <r>
      <rPr>
        <b/>
        <vertAlign val="subscript"/>
        <sz val="12"/>
        <rFont val="Arial"/>
        <family val="2"/>
      </rPr>
      <t>b</t>
    </r>
  </si>
  <si>
    <t>Pa</t>
  </si>
  <si>
    <t>Shear stress in the wall region</t>
  </si>
  <si>
    <t>Shear stress in the bed region</t>
  </si>
  <si>
    <t>u*</t>
  </si>
  <si>
    <t>cm/s</t>
  </si>
  <si>
    <t>Side-wall corrected shear velocity</t>
  </si>
  <si>
    <r>
      <t>r</t>
    </r>
    <r>
      <rPr>
        <b/>
        <sz val="12"/>
        <rFont val="Arial"/>
        <family val="2"/>
      </rPr>
      <t>gHS</t>
    </r>
  </si>
  <si>
    <t>Downstream component of the gravity force per unit width and per unit lenght of the channel</t>
  </si>
  <si>
    <r>
      <t>t</t>
    </r>
    <r>
      <rPr>
        <b/>
        <vertAlign val="subscript"/>
        <sz val="12"/>
        <rFont val="Arial"/>
        <family val="2"/>
      </rPr>
      <t>b</t>
    </r>
    <r>
      <rPr>
        <b/>
        <sz val="12"/>
        <rFont val="Arial"/>
        <family val="2"/>
      </rPr>
      <t>*</t>
    </r>
  </si>
  <si>
    <r>
      <t>t</t>
    </r>
    <r>
      <rPr>
        <b/>
        <vertAlign val="subscript"/>
        <sz val="12"/>
        <rFont val="Arial"/>
        <family val="2"/>
      </rPr>
      <t>b,nc</t>
    </r>
    <r>
      <rPr>
        <b/>
        <sz val="12"/>
        <rFont val="Arial"/>
        <family val="2"/>
      </rPr>
      <t>*</t>
    </r>
  </si>
  <si>
    <t>Non corrected Shields parameter</t>
  </si>
  <si>
    <t>3) Use equation (5) to compute the ratio between the friction coefficient and the Reynolds number for the wall region</t>
  </si>
  <si>
    <t>(6)</t>
  </si>
  <si>
    <t>(c)</t>
  </si>
  <si>
    <r>
      <t>The first estimate of f</t>
    </r>
    <r>
      <rPr>
        <b/>
        <vertAlign val="subscript"/>
        <sz val="10"/>
        <rFont val="Arial"/>
        <family val="2"/>
      </rPr>
      <t>w</t>
    </r>
    <r>
      <rPr>
        <b/>
        <sz val="10"/>
        <rFont val="Arial"/>
        <family val="2"/>
      </rPr>
      <t>, f</t>
    </r>
    <r>
      <rPr>
        <b/>
        <vertAlign val="subscript"/>
        <sz val="10"/>
        <rFont val="Arial"/>
        <family val="2"/>
      </rPr>
      <t>w,0</t>
    </r>
    <r>
      <rPr>
        <b/>
        <sz val="10"/>
        <rFont val="Arial"/>
        <family val="2"/>
      </rPr>
      <t>, is done with the equation of Blasius, as modified by Chiew and Parker in 1994</t>
    </r>
  </si>
  <si>
    <t>4) Compute the friction coefficient and the Reynolds number for the wall region with equation (6). Equation (6) has to be solved iteratively</t>
  </si>
  <si>
    <t xml:space="preserve">because the friction coefficient is on both sides of the equation. </t>
  </si>
  <si>
    <r>
      <t>where (f/Re) = 8(C</t>
    </r>
    <r>
      <rPr>
        <b/>
        <vertAlign val="subscript"/>
        <sz val="10"/>
        <rFont val="Arial"/>
        <family val="2"/>
      </rPr>
      <t>f</t>
    </r>
    <r>
      <rPr>
        <b/>
        <sz val="10"/>
        <rFont val="Arial"/>
        <family val="2"/>
      </rPr>
      <t>/Re) for the relation between the friction coefficents described above.</t>
    </r>
  </si>
  <si>
    <r>
      <t>The other estimates, f</t>
    </r>
    <r>
      <rPr>
        <b/>
        <vertAlign val="subscript"/>
        <sz val="10"/>
        <rFont val="Arial"/>
        <family val="2"/>
      </rPr>
      <t>w,i</t>
    </r>
    <r>
      <rPr>
        <b/>
        <sz val="10"/>
        <rFont val="Arial"/>
        <family val="2"/>
      </rPr>
      <t xml:space="preserve"> and Re</t>
    </r>
    <r>
      <rPr>
        <b/>
        <vertAlign val="subscript"/>
        <sz val="10"/>
        <rFont val="Arial"/>
        <family val="2"/>
      </rPr>
      <t>w,i</t>
    </r>
    <r>
      <rPr>
        <b/>
        <sz val="10"/>
        <rFont val="Arial"/>
        <family val="2"/>
      </rPr>
      <t>, are computed as a function of the values obtained one iteration before, f</t>
    </r>
    <r>
      <rPr>
        <b/>
        <vertAlign val="subscript"/>
        <sz val="10"/>
        <rFont val="Arial"/>
        <family val="2"/>
      </rPr>
      <t>w,i-1</t>
    </r>
    <r>
      <rPr>
        <b/>
        <sz val="10"/>
        <rFont val="Arial"/>
        <family val="2"/>
      </rPr>
      <t xml:space="preserve"> and Re</t>
    </r>
    <r>
      <rPr>
        <b/>
        <vertAlign val="subscript"/>
        <sz val="10"/>
        <rFont val="Arial"/>
        <family val="2"/>
      </rPr>
      <t>w,i-1</t>
    </r>
  </si>
  <si>
    <t>(d)</t>
  </si>
  <si>
    <t>5) Compute the area of the wall region from the definition of the Reynolds number</t>
  </si>
  <si>
    <t>(e)</t>
  </si>
  <si>
    <t>6) Compute the area of the bed region from equation (2)</t>
  </si>
  <si>
    <r>
      <t xml:space="preserve">the unknowns in equations 2, 3 and 5 are the friction coefficients for the bed and for the wall region, </t>
    </r>
    <r>
      <rPr>
        <b/>
        <sz val="10"/>
        <rFont val="Arial"/>
        <family val="2"/>
      </rPr>
      <t>C</t>
    </r>
    <r>
      <rPr>
        <b/>
        <vertAlign val="subscript"/>
        <sz val="10"/>
        <rFont val="Arial"/>
        <family val="2"/>
      </rPr>
      <t>fb</t>
    </r>
    <r>
      <rPr>
        <b/>
        <sz val="10"/>
        <rFont val="Arial"/>
        <family val="2"/>
      </rPr>
      <t xml:space="preserve"> and C</t>
    </r>
    <r>
      <rPr>
        <b/>
        <vertAlign val="subscript"/>
        <sz val="10"/>
        <rFont val="Arial"/>
        <family val="2"/>
      </rPr>
      <t>fw</t>
    </r>
    <r>
      <rPr>
        <b/>
        <sz val="10"/>
        <rFont val="Arial"/>
        <family val="2"/>
      </rPr>
      <t xml:space="preserve">, </t>
    </r>
  </si>
  <si>
    <t>7) Compute the friction coefficient for the bed region from equation (3)</t>
  </si>
  <si>
    <t>8) Compute the shear stress and the Shields number for the bed and for the wall region.</t>
  </si>
  <si>
    <t>9) Compute the side-wall corrected shear velocity, u*</t>
  </si>
  <si>
    <t>(f)</t>
  </si>
  <si>
    <t>(g)</t>
  </si>
  <si>
    <r>
      <t>10) Compute the dimensional Chezy coefficient for the bed region, C</t>
    </r>
    <r>
      <rPr>
        <b/>
        <vertAlign val="subscript"/>
        <sz val="10"/>
        <rFont val="Arial"/>
        <family val="2"/>
      </rPr>
      <t>zb,d</t>
    </r>
  </si>
  <si>
    <r>
      <t xml:space="preserve">11) Compute the mobility parameter, </t>
    </r>
    <r>
      <rPr>
        <sz val="10"/>
        <rFont val="Symbol"/>
        <family val="1"/>
      </rPr>
      <t>q</t>
    </r>
    <r>
      <rPr>
        <b/>
        <sz val="10"/>
        <rFont val="Arial"/>
        <family val="2"/>
      </rPr>
      <t>'</t>
    </r>
  </si>
  <si>
    <t>(h)</t>
  </si>
  <si>
    <r>
      <t>C</t>
    </r>
    <r>
      <rPr>
        <b/>
        <vertAlign val="subscript"/>
        <sz val="10"/>
        <rFont val="Arial"/>
        <family val="2"/>
      </rPr>
      <t>zb,d</t>
    </r>
    <r>
      <rPr>
        <b/>
        <sz val="10"/>
        <rFont val="Arial"/>
        <family val="2"/>
      </rPr>
      <t>, dimensional Chezy coefficient for the bed region</t>
    </r>
  </si>
  <si>
    <t xml:space="preserve">Relations between the nondimensional friction coefficients: </t>
  </si>
  <si>
    <t>f/Re</t>
  </si>
  <si>
    <t>fw1</t>
  </si>
  <si>
    <t>fw2</t>
  </si>
  <si>
    <t>The coefficient in the equation of Blasius is differentr from the coefficient in Chiew and Parker 1994 because of the</t>
  </si>
  <si>
    <t>different definition of the Reynolds number.</t>
  </si>
  <si>
    <t xml:space="preserve">INPUT PARAMETERS ARE IN YELLOW CELLS. </t>
  </si>
  <si>
    <t>OUTPUT PARAMETERS ARE IN BLUE CELLS</t>
  </si>
  <si>
    <t>USEFUL NUMBERS ARE IN GREEN CELLS</t>
  </si>
  <si>
    <t>Q</t>
  </si>
  <si>
    <t>l/s</t>
  </si>
  <si>
    <r>
      <t>m</t>
    </r>
    <r>
      <rPr>
        <b/>
        <vertAlign val="superscript"/>
        <sz val="12"/>
        <rFont val="Arial"/>
        <family val="2"/>
      </rPr>
      <t>3</t>
    </r>
    <r>
      <rPr>
        <b/>
        <sz val="12"/>
        <rFont val="Arial"/>
        <family val="2"/>
      </rPr>
      <t>/s</t>
    </r>
  </si>
  <si>
    <t>Water discharge</t>
  </si>
  <si>
    <t>B</t>
  </si>
  <si>
    <t>cm</t>
  </si>
  <si>
    <t>m</t>
  </si>
  <si>
    <t>Width of the flume</t>
  </si>
  <si>
    <t>H</t>
  </si>
  <si>
    <t>Water depth</t>
  </si>
  <si>
    <r>
      <t>r</t>
    </r>
    <r>
      <rPr>
        <b/>
        <vertAlign val="subscript"/>
        <sz val="10"/>
        <rFont val="Arial"/>
        <family val="2"/>
      </rPr>
      <t>b</t>
    </r>
    <r>
      <rPr>
        <b/>
        <sz val="10"/>
        <rFont val="Arial"/>
        <family val="2"/>
      </rPr>
      <t>, hydraulic radius for the bed region in cm</t>
    </r>
  </si>
  <si>
    <r>
      <t>r</t>
    </r>
    <r>
      <rPr>
        <b/>
        <vertAlign val="subscript"/>
        <sz val="10"/>
        <rFont val="Arial"/>
        <family val="2"/>
      </rPr>
      <t>w</t>
    </r>
    <r>
      <rPr>
        <b/>
        <sz val="10"/>
        <rFont val="Arial"/>
        <family val="2"/>
      </rPr>
      <t>, hydraulic radius for the wall region in cm</t>
    </r>
  </si>
  <si>
    <t>The Darcy – Weisbach resistance relation can be applied to each region and to the entire cross section.</t>
  </si>
  <si>
    <t>Cf, nondimensional friction coefficient for the entire cross section</t>
  </si>
  <si>
    <t>Re, Reynolds number for the entire cross section, nondimensional parameter</t>
  </si>
  <si>
    <t>P, wetted perimeter of the enitre cross section in cm</t>
  </si>
  <si>
    <t xml:space="preserve">Mean flow velocity: </t>
  </si>
  <si>
    <t xml:space="preserve">Froude Number: </t>
  </si>
  <si>
    <t>Wetted perimeters:</t>
  </si>
  <si>
    <t xml:space="preserve">Hydraulic radii: </t>
  </si>
  <si>
    <t>Shear stresses:</t>
  </si>
  <si>
    <t>Shields parameters:</t>
  </si>
  <si>
    <t>Reynolds numbers:</t>
  </si>
  <si>
    <t>Formulation of the problem, Chiew and Parker, 1994</t>
  </si>
  <si>
    <t xml:space="preserve">Darcy-Weisbach resistance relation: </t>
  </si>
  <si>
    <t>The wetted perimeter of the entire cross section is the sum of the wetted perimeter of the bed and of the wall region</t>
  </si>
  <si>
    <t>(1)</t>
  </si>
  <si>
    <t>The equation of conservation of water mass</t>
  </si>
  <si>
    <t>(2)</t>
  </si>
  <si>
    <t>reduces to</t>
  </si>
  <si>
    <t>(3)</t>
  </si>
  <si>
    <t xml:space="preserve">and the equation of conservation of streamwise momentum </t>
  </si>
  <si>
    <t>because the mean flow velocity, U, is the same for the entire cross section, for the bed and for the wall region.</t>
  </si>
  <si>
    <t>The energy gradient, S, is assumed to be the same in the entire cross section, in the bed and in the wall region.</t>
  </si>
  <si>
    <t>This condition can be expressed with the Darcy-Weisbach resistance relation as:</t>
  </si>
  <si>
    <t>(4)</t>
  </si>
  <si>
    <t xml:space="preserve">recalling the definition of the Reynolds number, </t>
  </si>
  <si>
    <t>equation (4) can be rewritten as</t>
  </si>
  <si>
    <t>(5)</t>
  </si>
  <si>
    <t>Procedure implemented to solve the equations</t>
  </si>
  <si>
    <r>
      <t>the area of the bed region, A</t>
    </r>
    <r>
      <rPr>
        <b/>
        <vertAlign val="subscript"/>
        <sz val="10"/>
        <rFont val="Arial"/>
        <family val="2"/>
      </rPr>
      <t>b</t>
    </r>
    <r>
      <rPr>
        <b/>
        <sz val="10"/>
        <rFont val="Arial"/>
        <family val="2"/>
      </rPr>
      <t>, and the area of the wall region, A</t>
    </r>
    <r>
      <rPr>
        <b/>
        <vertAlign val="subscript"/>
        <sz val="10"/>
        <rFont val="Arial"/>
        <family val="2"/>
      </rPr>
      <t>w</t>
    </r>
    <r>
      <rPr>
        <b/>
        <sz val="10"/>
        <rFont val="Arial"/>
        <family val="2"/>
      </rPr>
      <t>.</t>
    </r>
  </si>
  <si>
    <t>The friction coefficient for the wall region can be cmputed with a relation for smooth pipes (Nikuradse in this excel spreadsheet).</t>
  </si>
  <si>
    <t>1) Compute the friction coefficient for the entire cross section with the Darcy-Waisbach resistance relation:</t>
  </si>
  <si>
    <t>(a)</t>
  </si>
  <si>
    <t>2) Compute the ratio between the friction coefficient and the Reynolds number for the entire cross section</t>
  </si>
  <si>
    <t>(b)</t>
  </si>
  <si>
    <t>Known parameters:</t>
  </si>
  <si>
    <t>D, characteristic grain size of the sediment (i.e. median or mean diameter) in mm</t>
  </si>
  <si>
    <t>Q, water discharge in l/s</t>
  </si>
  <si>
    <t>S, slope in m/m</t>
  </si>
  <si>
    <t>B, flume width in cm</t>
  </si>
  <si>
    <t>H, water depth in cm</t>
  </si>
  <si>
    <t>Unknown parameters:</t>
  </si>
  <si>
    <t>U, mean flow velocity in m/s</t>
  </si>
  <si>
    <t>Fr, Froude number, non dimensional parameter</t>
  </si>
  <si>
    <r>
      <t>D</t>
    </r>
    <r>
      <rPr>
        <b/>
        <vertAlign val="subscript"/>
        <sz val="10"/>
        <rFont val="Arial"/>
        <family val="2"/>
      </rPr>
      <t>90</t>
    </r>
    <r>
      <rPr>
        <b/>
        <sz val="10"/>
        <rFont val="Arial"/>
        <family val="2"/>
      </rPr>
      <t>, diameter such that the 90% of the sediment is finer in mm</t>
    </r>
  </si>
  <si>
    <r>
      <t>n</t>
    </r>
    <r>
      <rPr>
        <b/>
        <sz val="10"/>
        <rFont val="Arial"/>
        <family val="2"/>
      </rPr>
      <t>, kinematic viscosity of the water in 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/s</t>
    </r>
  </si>
  <si>
    <r>
      <t>g, acceleration of gravity in m/s</t>
    </r>
    <r>
      <rPr>
        <b/>
        <vertAlign val="superscript"/>
        <sz val="10"/>
        <rFont val="Arial"/>
        <family val="2"/>
      </rPr>
      <t>2</t>
    </r>
  </si>
  <si>
    <r>
      <t>A, area of the cross section in cm</t>
    </r>
    <r>
      <rPr>
        <b/>
        <vertAlign val="superscript"/>
        <sz val="10"/>
        <rFont val="Arial"/>
        <family val="2"/>
      </rPr>
      <t>2</t>
    </r>
  </si>
  <si>
    <r>
      <t>A</t>
    </r>
    <r>
      <rPr>
        <b/>
        <vertAlign val="subscript"/>
        <sz val="10"/>
        <rFont val="Arial"/>
        <family val="2"/>
      </rPr>
      <t>b</t>
    </r>
    <r>
      <rPr>
        <b/>
        <sz val="10"/>
        <rFont val="Arial"/>
        <family val="2"/>
      </rPr>
      <t>, area of the bed region in cm</t>
    </r>
    <r>
      <rPr>
        <b/>
        <vertAlign val="superscript"/>
        <sz val="10"/>
        <rFont val="Arial"/>
        <family val="2"/>
      </rPr>
      <t>2</t>
    </r>
  </si>
  <si>
    <r>
      <t>P</t>
    </r>
    <r>
      <rPr>
        <b/>
        <vertAlign val="subscript"/>
        <sz val="10"/>
        <rFont val="Arial"/>
        <family val="2"/>
      </rPr>
      <t>b</t>
    </r>
    <r>
      <rPr>
        <b/>
        <sz val="10"/>
        <rFont val="Arial"/>
        <family val="2"/>
      </rPr>
      <t>, wetted perimeter of the bed region in cm</t>
    </r>
  </si>
  <si>
    <r>
      <t>P</t>
    </r>
    <r>
      <rPr>
        <b/>
        <vertAlign val="subscript"/>
        <sz val="10"/>
        <rFont val="Arial"/>
        <family val="2"/>
      </rPr>
      <t>w</t>
    </r>
    <r>
      <rPr>
        <b/>
        <sz val="10"/>
        <rFont val="Arial"/>
        <family val="2"/>
      </rPr>
      <t>, wetted perimeter of the wall region in cm</t>
    </r>
  </si>
  <si>
    <r>
      <t>A</t>
    </r>
    <r>
      <rPr>
        <b/>
        <vertAlign val="subscript"/>
        <sz val="10"/>
        <rFont val="Arial"/>
        <family val="2"/>
      </rPr>
      <t>w</t>
    </r>
    <r>
      <rPr>
        <b/>
        <sz val="10"/>
        <rFont val="Arial"/>
        <family val="2"/>
      </rPr>
      <t>, area of the wall region in cm</t>
    </r>
    <r>
      <rPr>
        <b/>
        <vertAlign val="superscript"/>
        <sz val="10"/>
        <rFont val="Arial"/>
        <family val="2"/>
      </rPr>
      <t>2</t>
    </r>
  </si>
  <si>
    <r>
      <t>t</t>
    </r>
    <r>
      <rPr>
        <b/>
        <vertAlign val="subscript"/>
        <sz val="10"/>
        <rFont val="Arial"/>
        <family val="2"/>
      </rPr>
      <t>b</t>
    </r>
    <r>
      <rPr>
        <b/>
        <sz val="10"/>
        <rFont val="Arial"/>
        <family val="2"/>
      </rPr>
      <t>, shear stress in the bed region in Pa</t>
    </r>
  </si>
  <si>
    <r>
      <t>t</t>
    </r>
    <r>
      <rPr>
        <b/>
        <vertAlign val="subscript"/>
        <sz val="10"/>
        <rFont val="Arial"/>
        <family val="2"/>
      </rPr>
      <t>w</t>
    </r>
    <r>
      <rPr>
        <b/>
        <sz val="10"/>
        <rFont val="Arial"/>
        <family val="2"/>
      </rPr>
      <t>, shear stress in the wall region in Pa</t>
    </r>
  </si>
  <si>
    <r>
      <t>C</t>
    </r>
    <r>
      <rPr>
        <b/>
        <vertAlign val="subscript"/>
        <sz val="10"/>
        <rFont val="Arial"/>
        <family val="2"/>
      </rPr>
      <t>fb</t>
    </r>
    <r>
      <rPr>
        <b/>
        <sz val="10"/>
        <rFont val="Arial"/>
        <family val="2"/>
      </rPr>
      <t>, nondimensional friction coeffcient for the bed region</t>
    </r>
  </si>
  <si>
    <r>
      <t>C</t>
    </r>
    <r>
      <rPr>
        <b/>
        <vertAlign val="subscript"/>
        <sz val="10"/>
        <rFont val="Arial"/>
        <family val="2"/>
      </rPr>
      <t>fw</t>
    </r>
    <r>
      <rPr>
        <b/>
        <sz val="10"/>
        <rFont val="Arial"/>
        <family val="2"/>
      </rPr>
      <t xml:space="preserve">, nondimensional friction coefficient for the wall region </t>
    </r>
  </si>
  <si>
    <r>
      <t>Re</t>
    </r>
    <r>
      <rPr>
        <b/>
        <vertAlign val="subscript"/>
        <sz val="10"/>
        <rFont val="Arial"/>
        <family val="2"/>
      </rPr>
      <t>b</t>
    </r>
    <r>
      <rPr>
        <b/>
        <sz val="10"/>
        <rFont val="Arial"/>
        <family val="2"/>
      </rPr>
      <t>, Reynolds number for the bed region nondimensional parameter</t>
    </r>
  </si>
  <si>
    <r>
      <t>Re</t>
    </r>
    <r>
      <rPr>
        <b/>
        <vertAlign val="subscript"/>
        <sz val="10"/>
        <rFont val="Arial"/>
        <family val="2"/>
      </rPr>
      <t>w</t>
    </r>
    <r>
      <rPr>
        <b/>
        <sz val="10"/>
        <rFont val="Arial"/>
        <family val="2"/>
      </rPr>
      <t>, Reynolds number for the wall region non dimensional parameter</t>
    </r>
  </si>
  <si>
    <r>
      <t>t</t>
    </r>
    <r>
      <rPr>
        <b/>
        <vertAlign val="subscript"/>
        <sz val="10"/>
        <rFont val="Arial"/>
        <family val="2"/>
      </rPr>
      <t>b</t>
    </r>
    <r>
      <rPr>
        <b/>
        <vertAlign val="superscript"/>
        <sz val="10"/>
        <rFont val="Arial"/>
        <family val="2"/>
      </rPr>
      <t>*</t>
    </r>
    <r>
      <rPr>
        <b/>
        <sz val="10"/>
        <rFont val="Arial"/>
        <family val="2"/>
      </rPr>
      <t>, Shields number for the bed region, nondimensional</t>
    </r>
  </si>
  <si>
    <r>
      <t>t</t>
    </r>
    <r>
      <rPr>
        <b/>
        <vertAlign val="subscript"/>
        <sz val="10"/>
        <rFont val="Arial"/>
        <family val="2"/>
      </rPr>
      <t>w</t>
    </r>
    <r>
      <rPr>
        <b/>
        <vertAlign val="superscript"/>
        <sz val="10"/>
        <rFont val="Arial"/>
        <family val="2"/>
      </rPr>
      <t>*</t>
    </r>
    <r>
      <rPr>
        <b/>
        <sz val="10"/>
        <rFont val="Arial"/>
        <family val="2"/>
      </rPr>
      <t>, Shields number for the wall region, nondimensional</t>
    </r>
  </si>
  <si>
    <t>Main assumptions</t>
  </si>
  <si>
    <t>The assumption is that the cross section can be divided in two non-interacting regions: the bed region and the wall region.</t>
  </si>
  <si>
    <t>In these regions the streamwise component of gravity force is balanced by shear stresses on the wall and on the bed.</t>
  </si>
  <si>
    <t>Mean flow velocities, U, and energy gradients, S, are assumed to be the same in the wall and in the bed region.</t>
  </si>
  <si>
    <t>f, Darcy-Weisbach friction coefficient for the entire cross section</t>
  </si>
  <si>
    <r>
      <t>f</t>
    </r>
    <r>
      <rPr>
        <b/>
        <vertAlign val="subscript"/>
        <sz val="10"/>
        <rFont val="Arial"/>
        <family val="2"/>
      </rPr>
      <t>w</t>
    </r>
    <r>
      <rPr>
        <b/>
        <sz val="10"/>
        <rFont val="Arial"/>
        <family val="2"/>
      </rPr>
      <t>, Darcy-Weisbach friction coefficient for the wall region</t>
    </r>
  </si>
  <si>
    <t>Definition of some parameters</t>
  </si>
  <si>
    <t>r, hydraulic radius for the cross section in cm</t>
  </si>
  <si>
    <t xml:space="preserve">Fraction of the bed shear stress associated with skin friction 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</si>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</sst>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_);[Red]\(0.000\)"/>
    <numFmt numFmtId="165" formatCode="0.000"/>
    <numFmt numFmtId="166" formatCode="0.0000"/>
    <numFmt numFmtId="167" formatCode="0.0E+00"/>
    <numFmt numFmtId="168" formatCode="0.E+00"/>
    <numFmt numFmtId="169" formatCode="0.0"/>
    <numFmt numFmtId="170" formatCode="0.00_);[Red]\(0.00\)"/>
  </numFmts>
  <fonts count="18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</font>
    <font>
      <b/>
      <vertAlign val="superscript"/>
      <sz val="10"/>
      <name val="Arial"/>
      <family val="2"/>
    </font>
    <font>
      <b/>
      <sz val="12"/>
      <color indexed="10"/>
      <name val="Arial"/>
      <family val="2"/>
    </font>
    <font>
      <sz val="10"/>
      <name val="Symbol"/>
      <family val="1"/>
    </font>
    <font>
      <b/>
      <vertAlign val="superscript"/>
      <sz val="12"/>
      <name val="Arial"/>
      <family val="2"/>
    </font>
    <font>
      <b/>
      <vertAlign val="subscript"/>
      <sz val="12"/>
      <name val="Arial"/>
      <family val="2"/>
    </font>
    <font>
      <b/>
      <sz val="12"/>
      <name val="Arial"/>
      <family val="2"/>
    </font>
    <font>
      <b/>
      <sz val="12"/>
      <name val="Symbol"/>
      <family val="1"/>
    </font>
    <font>
      <sz val="12"/>
      <name val="Symbol"/>
      <family val="1"/>
    </font>
    <font>
      <b/>
      <vertAlign val="subscript"/>
      <sz val="12"/>
      <color indexed="10"/>
      <name val="Arial"/>
      <family val="2"/>
    </font>
    <font>
      <b/>
      <sz val="14"/>
      <color indexed="10"/>
      <name val="Arial"/>
      <family val="2"/>
    </font>
    <font>
      <b/>
      <sz val="14"/>
      <color indexed="10"/>
      <name val="Symbol"/>
      <family val="1"/>
    </font>
    <font>
      <b/>
      <vertAlign val="subscript"/>
      <sz val="14"/>
      <color indexed="10"/>
      <name val="Arial"/>
      <family val="2"/>
    </font>
    <font>
      <b/>
      <sz val="12"/>
      <name val="Symbol"/>
      <charset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6" fillId="2" borderId="0" xfId="0" applyFont="1" applyFill="1"/>
    <xf numFmtId="0" fontId="1" fillId="2" borderId="0" xfId="0" applyFont="1" applyFill="1"/>
    <xf numFmtId="0" fontId="2" fillId="2" borderId="0" xfId="0" applyFont="1" applyFill="1"/>
    <xf numFmtId="0" fontId="4" fillId="2" borderId="0" xfId="0" applyFont="1" applyFill="1"/>
    <xf numFmtId="0" fontId="0" fillId="2" borderId="0" xfId="0" applyFill="1"/>
    <xf numFmtId="49" fontId="2" fillId="2" borderId="0" xfId="0" applyNumberFormat="1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left"/>
    </xf>
    <xf numFmtId="0" fontId="10" fillId="0" borderId="0" xfId="0" applyFont="1"/>
    <xf numFmtId="166" fontId="1" fillId="5" borderId="1" xfId="0" applyNumberFormat="1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166" fontId="1" fillId="4" borderId="1" xfId="0" applyNumberFormat="1" applyFont="1" applyFill="1" applyBorder="1" applyAlignment="1">
      <alignment horizontal="center"/>
    </xf>
    <xf numFmtId="167" fontId="1" fillId="5" borderId="1" xfId="0" applyNumberFormat="1" applyFont="1" applyFill="1" applyBorder="1" applyAlignment="1">
      <alignment horizontal="center"/>
    </xf>
    <xf numFmtId="169" fontId="1" fillId="5" borderId="1" xfId="0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11" fontId="10" fillId="2" borderId="0" xfId="0" applyNumberFormat="1" applyFont="1" applyFill="1"/>
    <xf numFmtId="2" fontId="1" fillId="2" borderId="0" xfId="0" applyNumberFormat="1" applyFont="1" applyFill="1" applyAlignment="1">
      <alignment horizontal="center"/>
    </xf>
    <xf numFmtId="0" fontId="10" fillId="2" borderId="0" xfId="0" applyFont="1" applyFill="1"/>
    <xf numFmtId="168" fontId="10" fillId="2" borderId="0" xfId="0" applyNumberFormat="1" applyFont="1" applyFill="1"/>
    <xf numFmtId="0" fontId="17" fillId="2" borderId="0" xfId="0" applyFont="1" applyFill="1" applyAlignment="1">
      <alignment horizontal="center"/>
    </xf>
    <xf numFmtId="2" fontId="10" fillId="2" borderId="0" xfId="0" applyNumberFormat="1" applyFont="1" applyFill="1"/>
    <xf numFmtId="169" fontId="10" fillId="2" borderId="0" xfId="0" applyNumberFormat="1" applyFont="1" applyFill="1"/>
    <xf numFmtId="170" fontId="1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emf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wmf"/><Relationship Id="rId18" Type="http://schemas.openxmlformats.org/officeDocument/2006/relationships/image" Target="../media/image18.wmf"/><Relationship Id="rId26" Type="http://schemas.openxmlformats.org/officeDocument/2006/relationships/image" Target="../media/image26.wmf"/><Relationship Id="rId39" Type="http://schemas.openxmlformats.org/officeDocument/2006/relationships/image" Target="../media/image39.wmf"/><Relationship Id="rId21" Type="http://schemas.openxmlformats.org/officeDocument/2006/relationships/image" Target="../media/image21.wmf"/><Relationship Id="rId34" Type="http://schemas.openxmlformats.org/officeDocument/2006/relationships/image" Target="../media/image34.wmf"/><Relationship Id="rId7" Type="http://schemas.openxmlformats.org/officeDocument/2006/relationships/image" Target="../media/image7.wmf"/><Relationship Id="rId2" Type="http://schemas.openxmlformats.org/officeDocument/2006/relationships/image" Target="../media/image2.wmf"/><Relationship Id="rId16" Type="http://schemas.openxmlformats.org/officeDocument/2006/relationships/image" Target="../media/image16.wmf"/><Relationship Id="rId20" Type="http://schemas.openxmlformats.org/officeDocument/2006/relationships/image" Target="../media/image20.wmf"/><Relationship Id="rId29" Type="http://schemas.openxmlformats.org/officeDocument/2006/relationships/image" Target="../media/image29.wmf"/><Relationship Id="rId41" Type="http://schemas.openxmlformats.org/officeDocument/2006/relationships/image" Target="../media/image41.w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11" Type="http://schemas.openxmlformats.org/officeDocument/2006/relationships/image" Target="../media/image11.wmf"/><Relationship Id="rId24" Type="http://schemas.openxmlformats.org/officeDocument/2006/relationships/image" Target="../media/image24.wmf"/><Relationship Id="rId32" Type="http://schemas.openxmlformats.org/officeDocument/2006/relationships/image" Target="../media/image32.wmf"/><Relationship Id="rId37" Type="http://schemas.openxmlformats.org/officeDocument/2006/relationships/image" Target="../media/image37.wmf"/><Relationship Id="rId40" Type="http://schemas.openxmlformats.org/officeDocument/2006/relationships/image" Target="../media/image40.wmf"/><Relationship Id="rId5" Type="http://schemas.openxmlformats.org/officeDocument/2006/relationships/image" Target="../media/image5.wmf"/><Relationship Id="rId15" Type="http://schemas.openxmlformats.org/officeDocument/2006/relationships/image" Target="../media/image15.wmf"/><Relationship Id="rId23" Type="http://schemas.openxmlformats.org/officeDocument/2006/relationships/image" Target="../media/image23.wmf"/><Relationship Id="rId28" Type="http://schemas.openxmlformats.org/officeDocument/2006/relationships/image" Target="../media/image28.wmf"/><Relationship Id="rId36" Type="http://schemas.openxmlformats.org/officeDocument/2006/relationships/image" Target="../media/image36.wmf"/><Relationship Id="rId10" Type="http://schemas.openxmlformats.org/officeDocument/2006/relationships/image" Target="../media/image10.wmf"/><Relationship Id="rId19" Type="http://schemas.openxmlformats.org/officeDocument/2006/relationships/image" Target="../media/image19.wmf"/><Relationship Id="rId31" Type="http://schemas.openxmlformats.org/officeDocument/2006/relationships/image" Target="../media/image31.wmf"/><Relationship Id="rId4" Type="http://schemas.openxmlformats.org/officeDocument/2006/relationships/image" Target="../media/image4.wmf"/><Relationship Id="rId9" Type="http://schemas.openxmlformats.org/officeDocument/2006/relationships/image" Target="../media/image9.wmf"/><Relationship Id="rId14" Type="http://schemas.openxmlformats.org/officeDocument/2006/relationships/image" Target="../media/image14.wmf"/><Relationship Id="rId22" Type="http://schemas.openxmlformats.org/officeDocument/2006/relationships/image" Target="../media/image22.wmf"/><Relationship Id="rId27" Type="http://schemas.openxmlformats.org/officeDocument/2006/relationships/image" Target="../media/image27.wmf"/><Relationship Id="rId30" Type="http://schemas.openxmlformats.org/officeDocument/2006/relationships/image" Target="../media/image30.wmf"/><Relationship Id="rId35" Type="http://schemas.openxmlformats.org/officeDocument/2006/relationships/image" Target="../media/image35.wmf"/><Relationship Id="rId8" Type="http://schemas.openxmlformats.org/officeDocument/2006/relationships/image" Target="../media/image8.wmf"/><Relationship Id="rId3" Type="http://schemas.openxmlformats.org/officeDocument/2006/relationships/image" Target="../media/image3.wmf"/><Relationship Id="rId12" Type="http://schemas.openxmlformats.org/officeDocument/2006/relationships/image" Target="../media/image12.wmf"/><Relationship Id="rId17" Type="http://schemas.openxmlformats.org/officeDocument/2006/relationships/image" Target="../media/image17.wmf"/><Relationship Id="rId25" Type="http://schemas.openxmlformats.org/officeDocument/2006/relationships/image" Target="../media/image25.wmf"/><Relationship Id="rId33" Type="http://schemas.openxmlformats.org/officeDocument/2006/relationships/image" Target="../media/image33.wmf"/><Relationship Id="rId38" Type="http://schemas.openxmlformats.org/officeDocument/2006/relationships/image" Target="../media/image38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93</xdr:row>
      <xdr:rowOff>114300</xdr:rowOff>
    </xdr:from>
    <xdr:to>
      <xdr:col>4</xdr:col>
      <xdr:colOff>508000</xdr:colOff>
      <xdr:row>95</xdr:row>
      <xdr:rowOff>101600</xdr:rowOff>
    </xdr:to>
    <xdr:pic>
      <xdr:nvPicPr>
        <xdr:cNvPr id="1091" name="Picture 34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6205200"/>
          <a:ext cx="711200" cy="3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52388</xdr:colOff>
          <xdr:row>30</xdr:row>
          <xdr:rowOff>114300</xdr:rowOff>
        </xdr:from>
        <xdr:to>
          <xdr:col>4</xdr:col>
          <xdr:colOff>190500</xdr:colOff>
          <xdr:row>32</xdr:row>
          <xdr:rowOff>100013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519113</xdr:colOff>
          <xdr:row>33</xdr:row>
          <xdr:rowOff>90488</xdr:rowOff>
        </xdr:from>
        <xdr:to>
          <xdr:col>4</xdr:col>
          <xdr:colOff>495300</xdr:colOff>
          <xdr:row>35</xdr:row>
          <xdr:rowOff>138113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37</xdr:row>
          <xdr:rowOff>14288</xdr:rowOff>
        </xdr:from>
        <xdr:to>
          <xdr:col>3</xdr:col>
          <xdr:colOff>661988</xdr:colOff>
          <xdr:row>37</xdr:row>
          <xdr:rowOff>152400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76200</xdr:colOff>
          <xdr:row>37</xdr:row>
          <xdr:rowOff>0</xdr:rowOff>
        </xdr:from>
        <xdr:to>
          <xdr:col>4</xdr:col>
          <xdr:colOff>481013</xdr:colOff>
          <xdr:row>38</xdr:row>
          <xdr:rowOff>14288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647700</xdr:colOff>
          <xdr:row>36</xdr:row>
          <xdr:rowOff>152400</xdr:rowOff>
        </xdr:from>
        <xdr:to>
          <xdr:col>5</xdr:col>
          <xdr:colOff>442913</xdr:colOff>
          <xdr:row>38</xdr:row>
          <xdr:rowOff>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457200</xdr:colOff>
          <xdr:row>38</xdr:row>
          <xdr:rowOff>100013</xdr:rowOff>
        </xdr:from>
        <xdr:to>
          <xdr:col>3</xdr:col>
          <xdr:colOff>685800</xdr:colOff>
          <xdr:row>40</xdr:row>
          <xdr:rowOff>90488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114300</xdr:colOff>
          <xdr:row>38</xdr:row>
          <xdr:rowOff>90488</xdr:rowOff>
        </xdr:from>
        <xdr:to>
          <xdr:col>5</xdr:col>
          <xdr:colOff>214313</xdr:colOff>
          <xdr:row>40</xdr:row>
          <xdr:rowOff>114300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38</xdr:row>
          <xdr:rowOff>90488</xdr:rowOff>
        </xdr:from>
        <xdr:to>
          <xdr:col>6</xdr:col>
          <xdr:colOff>585788</xdr:colOff>
          <xdr:row>40</xdr:row>
          <xdr:rowOff>114300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23813</xdr:colOff>
          <xdr:row>41</xdr:row>
          <xdr:rowOff>90488</xdr:rowOff>
        </xdr:from>
        <xdr:to>
          <xdr:col>7</xdr:col>
          <xdr:colOff>457200</xdr:colOff>
          <xdr:row>43</xdr:row>
          <xdr:rowOff>90488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43</xdr:row>
          <xdr:rowOff>152400</xdr:rowOff>
        </xdr:from>
        <xdr:to>
          <xdr:col>5</xdr:col>
          <xdr:colOff>190500</xdr:colOff>
          <xdr:row>45</xdr:row>
          <xdr:rowOff>14288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433388</xdr:colOff>
          <xdr:row>43</xdr:row>
          <xdr:rowOff>152400</xdr:rowOff>
        </xdr:from>
        <xdr:to>
          <xdr:col>6</xdr:col>
          <xdr:colOff>633413</xdr:colOff>
          <xdr:row>45</xdr:row>
          <xdr:rowOff>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595313</xdr:colOff>
          <xdr:row>45</xdr:row>
          <xdr:rowOff>100013</xdr:rowOff>
        </xdr:from>
        <xdr:to>
          <xdr:col>6</xdr:col>
          <xdr:colOff>280988</xdr:colOff>
          <xdr:row>47</xdr:row>
          <xdr:rowOff>114300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419100</xdr:colOff>
          <xdr:row>45</xdr:row>
          <xdr:rowOff>114300</xdr:rowOff>
        </xdr:from>
        <xdr:to>
          <xdr:col>8</xdr:col>
          <xdr:colOff>128588</xdr:colOff>
          <xdr:row>47</xdr:row>
          <xdr:rowOff>128588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38100</xdr:colOff>
          <xdr:row>48</xdr:row>
          <xdr:rowOff>114300</xdr:rowOff>
        </xdr:from>
        <xdr:to>
          <xdr:col>3</xdr:col>
          <xdr:colOff>647700</xdr:colOff>
          <xdr:row>50</xdr:row>
          <xdr:rowOff>100013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90488</xdr:colOff>
          <xdr:row>48</xdr:row>
          <xdr:rowOff>100013</xdr:rowOff>
        </xdr:from>
        <xdr:to>
          <xdr:col>5</xdr:col>
          <xdr:colOff>114300</xdr:colOff>
          <xdr:row>50</xdr:row>
          <xdr:rowOff>90488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48</xdr:row>
          <xdr:rowOff>114300</xdr:rowOff>
        </xdr:from>
        <xdr:to>
          <xdr:col>6</xdr:col>
          <xdr:colOff>328613</xdr:colOff>
          <xdr:row>50</xdr:row>
          <xdr:rowOff>100013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571500</xdr:colOff>
          <xdr:row>51</xdr:row>
          <xdr:rowOff>90488</xdr:rowOff>
        </xdr:from>
        <xdr:to>
          <xdr:col>5</xdr:col>
          <xdr:colOff>557213</xdr:colOff>
          <xdr:row>53</xdr:row>
          <xdr:rowOff>114300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442913</xdr:colOff>
          <xdr:row>58</xdr:row>
          <xdr:rowOff>152400</xdr:rowOff>
        </xdr:from>
        <xdr:to>
          <xdr:col>4</xdr:col>
          <xdr:colOff>433388</xdr:colOff>
          <xdr:row>60</xdr:row>
          <xdr:rowOff>14288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404813</xdr:colOff>
          <xdr:row>60</xdr:row>
          <xdr:rowOff>152400</xdr:rowOff>
        </xdr:from>
        <xdr:to>
          <xdr:col>7</xdr:col>
          <xdr:colOff>519113</xdr:colOff>
          <xdr:row>62</xdr:row>
          <xdr:rowOff>14288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395288</xdr:colOff>
          <xdr:row>63</xdr:row>
          <xdr:rowOff>14288</xdr:rowOff>
        </xdr:from>
        <xdr:to>
          <xdr:col>4</xdr:col>
          <xdr:colOff>457200</xdr:colOff>
          <xdr:row>64</xdr:row>
          <xdr:rowOff>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61913</xdr:colOff>
          <xdr:row>64</xdr:row>
          <xdr:rowOff>152400</xdr:rowOff>
        </xdr:from>
        <xdr:to>
          <xdr:col>9</xdr:col>
          <xdr:colOff>547688</xdr:colOff>
          <xdr:row>66</xdr:row>
          <xdr:rowOff>14288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204788</xdr:colOff>
          <xdr:row>67</xdr:row>
          <xdr:rowOff>0</xdr:rowOff>
        </xdr:from>
        <xdr:to>
          <xdr:col>4</xdr:col>
          <xdr:colOff>685800</xdr:colOff>
          <xdr:row>68</xdr:row>
          <xdr:rowOff>14288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152400</xdr:colOff>
          <xdr:row>73</xdr:row>
          <xdr:rowOff>61913</xdr:rowOff>
        </xdr:from>
        <xdr:to>
          <xdr:col>5</xdr:col>
          <xdr:colOff>114300</xdr:colOff>
          <xdr:row>75</xdr:row>
          <xdr:rowOff>114300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647700</xdr:colOff>
          <xdr:row>75</xdr:row>
          <xdr:rowOff>100013</xdr:rowOff>
        </xdr:from>
        <xdr:to>
          <xdr:col>6</xdr:col>
          <xdr:colOff>557213</xdr:colOff>
          <xdr:row>77</xdr:row>
          <xdr:rowOff>90488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471488</xdr:colOff>
          <xdr:row>89</xdr:row>
          <xdr:rowOff>100013</xdr:rowOff>
        </xdr:from>
        <xdr:to>
          <xdr:col>4</xdr:col>
          <xdr:colOff>519113</xdr:colOff>
          <xdr:row>91</xdr:row>
          <xdr:rowOff>90488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214313</xdr:colOff>
          <xdr:row>77</xdr:row>
          <xdr:rowOff>90488</xdr:rowOff>
        </xdr:from>
        <xdr:to>
          <xdr:col>4</xdr:col>
          <xdr:colOff>595313</xdr:colOff>
          <xdr:row>79</xdr:row>
          <xdr:rowOff>114300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509588</xdr:colOff>
          <xdr:row>83</xdr:row>
          <xdr:rowOff>61913</xdr:rowOff>
        </xdr:from>
        <xdr:to>
          <xdr:col>5</xdr:col>
          <xdr:colOff>266700</xdr:colOff>
          <xdr:row>85</xdr:row>
          <xdr:rowOff>114300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357188</xdr:colOff>
          <xdr:row>113</xdr:row>
          <xdr:rowOff>114300</xdr:rowOff>
        </xdr:from>
        <xdr:to>
          <xdr:col>4</xdr:col>
          <xdr:colOff>266700</xdr:colOff>
          <xdr:row>115</xdr:row>
          <xdr:rowOff>128588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471488</xdr:colOff>
          <xdr:row>113</xdr:row>
          <xdr:rowOff>100013</xdr:rowOff>
        </xdr:from>
        <xdr:to>
          <xdr:col>6</xdr:col>
          <xdr:colOff>128588</xdr:colOff>
          <xdr:row>115</xdr:row>
          <xdr:rowOff>90488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152400</xdr:colOff>
          <xdr:row>123</xdr:row>
          <xdr:rowOff>61913</xdr:rowOff>
        </xdr:from>
        <xdr:to>
          <xdr:col>5</xdr:col>
          <xdr:colOff>38100</xdr:colOff>
          <xdr:row>125</xdr:row>
          <xdr:rowOff>128588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14288</xdr:colOff>
          <xdr:row>127</xdr:row>
          <xdr:rowOff>52388</xdr:rowOff>
        </xdr:from>
        <xdr:to>
          <xdr:col>5</xdr:col>
          <xdr:colOff>90488</xdr:colOff>
          <xdr:row>129</xdr:row>
          <xdr:rowOff>128588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433388</xdr:colOff>
          <xdr:row>132</xdr:row>
          <xdr:rowOff>14288</xdr:rowOff>
        </xdr:from>
        <xdr:to>
          <xdr:col>5</xdr:col>
          <xdr:colOff>319088</xdr:colOff>
          <xdr:row>135</xdr:row>
          <xdr:rowOff>14288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61913</xdr:colOff>
          <xdr:row>108</xdr:row>
          <xdr:rowOff>90488</xdr:rowOff>
        </xdr:from>
        <xdr:to>
          <xdr:col>5</xdr:col>
          <xdr:colOff>90488</xdr:colOff>
          <xdr:row>110</xdr:row>
          <xdr:rowOff>138113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381000</xdr:colOff>
          <xdr:row>101</xdr:row>
          <xdr:rowOff>52388</xdr:rowOff>
        </xdr:from>
        <xdr:to>
          <xdr:col>4</xdr:col>
          <xdr:colOff>138113</xdr:colOff>
          <xdr:row>103</xdr:row>
          <xdr:rowOff>128588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242888</xdr:colOff>
          <xdr:row>108</xdr:row>
          <xdr:rowOff>52388</xdr:rowOff>
        </xdr:from>
        <xdr:to>
          <xdr:col>6</xdr:col>
          <xdr:colOff>623888</xdr:colOff>
          <xdr:row>110</xdr:row>
          <xdr:rowOff>114300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509588</xdr:colOff>
          <xdr:row>101</xdr:row>
          <xdr:rowOff>61913</xdr:rowOff>
        </xdr:from>
        <xdr:to>
          <xdr:col>6</xdr:col>
          <xdr:colOff>252413</xdr:colOff>
          <xdr:row>103</xdr:row>
          <xdr:rowOff>128588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23813</xdr:colOff>
          <xdr:row>140</xdr:row>
          <xdr:rowOff>14288</xdr:rowOff>
        </xdr:from>
        <xdr:to>
          <xdr:col>5</xdr:col>
          <xdr:colOff>76200</xdr:colOff>
          <xdr:row>141</xdr:row>
          <xdr:rowOff>23813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395288</xdr:colOff>
          <xdr:row>143</xdr:row>
          <xdr:rowOff>52388</xdr:rowOff>
        </xdr:from>
        <xdr:to>
          <xdr:col>5</xdr:col>
          <xdr:colOff>242888</xdr:colOff>
          <xdr:row>145</xdr:row>
          <xdr:rowOff>128588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328613</xdr:colOff>
          <xdr:row>150</xdr:row>
          <xdr:rowOff>61913</xdr:rowOff>
        </xdr:from>
        <xdr:to>
          <xdr:col>4</xdr:col>
          <xdr:colOff>633413</xdr:colOff>
          <xdr:row>152</xdr:row>
          <xdr:rowOff>128588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304800</xdr:colOff>
          <xdr:row>155</xdr:row>
          <xdr:rowOff>0</xdr:rowOff>
        </xdr:from>
        <xdr:to>
          <xdr:col>4</xdr:col>
          <xdr:colOff>585788</xdr:colOff>
          <xdr:row>156</xdr:row>
          <xdr:rowOff>14288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176213</xdr:colOff>
          <xdr:row>158</xdr:row>
          <xdr:rowOff>90488</xdr:rowOff>
        </xdr:from>
        <xdr:to>
          <xdr:col>4</xdr:col>
          <xdr:colOff>623888</xdr:colOff>
          <xdr:row>160</xdr:row>
          <xdr:rowOff>114300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38100</xdr:colOff>
          <xdr:row>163</xdr:row>
          <xdr:rowOff>90488</xdr:rowOff>
        </xdr:from>
        <xdr:to>
          <xdr:col>5</xdr:col>
          <xdr:colOff>38100</xdr:colOff>
          <xdr:row>165</xdr:row>
          <xdr:rowOff>114300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2.wmf"/><Relationship Id="rId21" Type="http://schemas.openxmlformats.org/officeDocument/2006/relationships/oleObject" Target="../embeddings/oleObject10.bin"/><Relationship Id="rId42" Type="http://schemas.openxmlformats.org/officeDocument/2006/relationships/image" Target="../media/image20.wmf"/><Relationship Id="rId47" Type="http://schemas.openxmlformats.org/officeDocument/2006/relationships/oleObject" Target="../embeddings/oleObject23.bin"/><Relationship Id="rId63" Type="http://schemas.openxmlformats.org/officeDocument/2006/relationships/image" Target="../media/image30.wmf"/><Relationship Id="rId68" Type="http://schemas.openxmlformats.org/officeDocument/2006/relationships/oleObject" Target="../embeddings/oleObject34.bin"/><Relationship Id="rId84" Type="http://schemas.openxmlformats.org/officeDocument/2006/relationships/oleObject" Target="../embeddings/oleObject42.bin"/><Relationship Id="rId16" Type="http://schemas.openxmlformats.org/officeDocument/2006/relationships/image" Target="../media/image7.wmf"/><Relationship Id="rId11" Type="http://schemas.openxmlformats.org/officeDocument/2006/relationships/oleObject" Target="../embeddings/oleObject5.bin"/><Relationship Id="rId32" Type="http://schemas.openxmlformats.org/officeDocument/2006/relationships/image" Target="../media/image15.wmf"/><Relationship Id="rId37" Type="http://schemas.openxmlformats.org/officeDocument/2006/relationships/oleObject" Target="../embeddings/oleObject18.bin"/><Relationship Id="rId53" Type="http://schemas.openxmlformats.org/officeDocument/2006/relationships/image" Target="../media/image25.wmf"/><Relationship Id="rId58" Type="http://schemas.openxmlformats.org/officeDocument/2006/relationships/oleObject" Target="../embeddings/oleObject29.bin"/><Relationship Id="rId74" Type="http://schemas.openxmlformats.org/officeDocument/2006/relationships/oleObject" Target="../embeddings/oleObject37.bin"/><Relationship Id="rId79" Type="http://schemas.openxmlformats.org/officeDocument/2006/relationships/image" Target="../media/image38.wmf"/><Relationship Id="rId5" Type="http://schemas.openxmlformats.org/officeDocument/2006/relationships/oleObject" Target="../embeddings/oleObject2.bin"/><Relationship Id="rId19" Type="http://schemas.openxmlformats.org/officeDocument/2006/relationships/oleObject" Target="../embeddings/oleObject9.bin"/><Relationship Id="rId14" Type="http://schemas.openxmlformats.org/officeDocument/2006/relationships/image" Target="../media/image6.wmf"/><Relationship Id="rId22" Type="http://schemas.openxmlformats.org/officeDocument/2006/relationships/image" Target="../media/image10.wmf"/><Relationship Id="rId27" Type="http://schemas.openxmlformats.org/officeDocument/2006/relationships/oleObject" Target="../embeddings/oleObject13.bin"/><Relationship Id="rId30" Type="http://schemas.openxmlformats.org/officeDocument/2006/relationships/image" Target="../media/image14.wmf"/><Relationship Id="rId35" Type="http://schemas.openxmlformats.org/officeDocument/2006/relationships/oleObject" Target="../embeddings/oleObject17.bin"/><Relationship Id="rId43" Type="http://schemas.openxmlformats.org/officeDocument/2006/relationships/oleObject" Target="../embeddings/oleObject21.bin"/><Relationship Id="rId48" Type="http://schemas.openxmlformats.org/officeDocument/2006/relationships/image" Target="../media/image23.wmf"/><Relationship Id="rId56" Type="http://schemas.openxmlformats.org/officeDocument/2006/relationships/oleObject" Target="../embeddings/oleObject28.bin"/><Relationship Id="rId64" Type="http://schemas.openxmlformats.org/officeDocument/2006/relationships/oleObject" Target="../embeddings/oleObject32.bin"/><Relationship Id="rId69" Type="http://schemas.openxmlformats.org/officeDocument/2006/relationships/image" Target="../media/image33.wmf"/><Relationship Id="rId77" Type="http://schemas.openxmlformats.org/officeDocument/2006/relationships/image" Target="../media/image37.wmf"/><Relationship Id="rId8" Type="http://schemas.openxmlformats.org/officeDocument/2006/relationships/image" Target="../media/image3.wmf"/><Relationship Id="rId51" Type="http://schemas.openxmlformats.org/officeDocument/2006/relationships/image" Target="../media/image24.wmf"/><Relationship Id="rId72" Type="http://schemas.openxmlformats.org/officeDocument/2006/relationships/oleObject" Target="../embeddings/oleObject36.bin"/><Relationship Id="rId80" Type="http://schemas.openxmlformats.org/officeDocument/2006/relationships/oleObject" Target="../embeddings/oleObject40.bin"/><Relationship Id="rId85" Type="http://schemas.openxmlformats.org/officeDocument/2006/relationships/image" Target="../media/image41.wmf"/><Relationship Id="rId3" Type="http://schemas.openxmlformats.org/officeDocument/2006/relationships/oleObject" Target="../embeddings/oleObject1.bin"/><Relationship Id="rId12" Type="http://schemas.openxmlformats.org/officeDocument/2006/relationships/image" Target="../media/image5.wmf"/><Relationship Id="rId17" Type="http://schemas.openxmlformats.org/officeDocument/2006/relationships/oleObject" Target="../embeddings/oleObject8.bin"/><Relationship Id="rId25" Type="http://schemas.openxmlformats.org/officeDocument/2006/relationships/oleObject" Target="../embeddings/oleObject12.bin"/><Relationship Id="rId33" Type="http://schemas.openxmlformats.org/officeDocument/2006/relationships/oleObject" Target="../embeddings/oleObject16.bin"/><Relationship Id="rId38" Type="http://schemas.openxmlformats.org/officeDocument/2006/relationships/image" Target="../media/image18.wmf"/><Relationship Id="rId46" Type="http://schemas.openxmlformats.org/officeDocument/2006/relationships/image" Target="../media/image22.wmf"/><Relationship Id="rId59" Type="http://schemas.openxmlformats.org/officeDocument/2006/relationships/image" Target="../media/image28.wmf"/><Relationship Id="rId67" Type="http://schemas.openxmlformats.org/officeDocument/2006/relationships/image" Target="../media/image32.wmf"/><Relationship Id="rId20" Type="http://schemas.openxmlformats.org/officeDocument/2006/relationships/image" Target="../media/image9.wmf"/><Relationship Id="rId41" Type="http://schemas.openxmlformats.org/officeDocument/2006/relationships/oleObject" Target="../embeddings/oleObject20.bin"/><Relationship Id="rId54" Type="http://schemas.openxmlformats.org/officeDocument/2006/relationships/oleObject" Target="../embeddings/oleObject27.bin"/><Relationship Id="rId62" Type="http://schemas.openxmlformats.org/officeDocument/2006/relationships/oleObject" Target="../embeddings/oleObject31.bin"/><Relationship Id="rId70" Type="http://schemas.openxmlformats.org/officeDocument/2006/relationships/oleObject" Target="../embeddings/oleObject35.bin"/><Relationship Id="rId75" Type="http://schemas.openxmlformats.org/officeDocument/2006/relationships/image" Target="../media/image36.wmf"/><Relationship Id="rId83" Type="http://schemas.openxmlformats.org/officeDocument/2006/relationships/image" Target="../media/image40.wmf"/><Relationship Id="rId1" Type="http://schemas.openxmlformats.org/officeDocument/2006/relationships/drawing" Target="../drawings/drawing1.xml"/><Relationship Id="rId6" Type="http://schemas.openxmlformats.org/officeDocument/2006/relationships/image" Target="../media/image2.wmf"/><Relationship Id="rId15" Type="http://schemas.openxmlformats.org/officeDocument/2006/relationships/oleObject" Target="../embeddings/oleObject7.bin"/><Relationship Id="rId23" Type="http://schemas.openxmlformats.org/officeDocument/2006/relationships/oleObject" Target="../embeddings/oleObject11.bin"/><Relationship Id="rId28" Type="http://schemas.openxmlformats.org/officeDocument/2006/relationships/image" Target="../media/image13.wmf"/><Relationship Id="rId36" Type="http://schemas.openxmlformats.org/officeDocument/2006/relationships/image" Target="../media/image17.wmf"/><Relationship Id="rId49" Type="http://schemas.openxmlformats.org/officeDocument/2006/relationships/oleObject" Target="../embeddings/oleObject24.bin"/><Relationship Id="rId57" Type="http://schemas.openxmlformats.org/officeDocument/2006/relationships/image" Target="../media/image27.wmf"/><Relationship Id="rId10" Type="http://schemas.openxmlformats.org/officeDocument/2006/relationships/image" Target="../media/image4.wmf"/><Relationship Id="rId31" Type="http://schemas.openxmlformats.org/officeDocument/2006/relationships/oleObject" Target="../embeddings/oleObject15.bin"/><Relationship Id="rId44" Type="http://schemas.openxmlformats.org/officeDocument/2006/relationships/image" Target="../media/image21.wmf"/><Relationship Id="rId52" Type="http://schemas.openxmlformats.org/officeDocument/2006/relationships/oleObject" Target="../embeddings/oleObject26.bin"/><Relationship Id="rId60" Type="http://schemas.openxmlformats.org/officeDocument/2006/relationships/oleObject" Target="../embeddings/oleObject30.bin"/><Relationship Id="rId65" Type="http://schemas.openxmlformats.org/officeDocument/2006/relationships/image" Target="../media/image31.wmf"/><Relationship Id="rId73" Type="http://schemas.openxmlformats.org/officeDocument/2006/relationships/image" Target="../media/image35.wmf"/><Relationship Id="rId78" Type="http://schemas.openxmlformats.org/officeDocument/2006/relationships/oleObject" Target="../embeddings/oleObject39.bin"/><Relationship Id="rId81" Type="http://schemas.openxmlformats.org/officeDocument/2006/relationships/image" Target="../media/image39.wmf"/><Relationship Id="rId4" Type="http://schemas.openxmlformats.org/officeDocument/2006/relationships/image" Target="../media/image1.wmf"/><Relationship Id="rId9" Type="http://schemas.openxmlformats.org/officeDocument/2006/relationships/oleObject" Target="../embeddings/oleObject4.bin"/><Relationship Id="rId13" Type="http://schemas.openxmlformats.org/officeDocument/2006/relationships/oleObject" Target="../embeddings/oleObject6.bin"/><Relationship Id="rId18" Type="http://schemas.openxmlformats.org/officeDocument/2006/relationships/image" Target="../media/image8.wmf"/><Relationship Id="rId39" Type="http://schemas.openxmlformats.org/officeDocument/2006/relationships/oleObject" Target="../embeddings/oleObject19.bin"/><Relationship Id="rId34" Type="http://schemas.openxmlformats.org/officeDocument/2006/relationships/image" Target="../media/image16.wmf"/><Relationship Id="rId50" Type="http://schemas.openxmlformats.org/officeDocument/2006/relationships/oleObject" Target="../embeddings/oleObject25.bin"/><Relationship Id="rId55" Type="http://schemas.openxmlformats.org/officeDocument/2006/relationships/image" Target="../media/image26.wmf"/><Relationship Id="rId76" Type="http://schemas.openxmlformats.org/officeDocument/2006/relationships/oleObject" Target="../embeddings/oleObject38.bin"/><Relationship Id="rId7" Type="http://schemas.openxmlformats.org/officeDocument/2006/relationships/oleObject" Target="../embeddings/oleObject3.bin"/><Relationship Id="rId71" Type="http://schemas.openxmlformats.org/officeDocument/2006/relationships/image" Target="../media/image34.wmf"/><Relationship Id="rId2" Type="http://schemas.openxmlformats.org/officeDocument/2006/relationships/vmlDrawing" Target="../drawings/vmlDrawing1.vml"/><Relationship Id="rId29" Type="http://schemas.openxmlformats.org/officeDocument/2006/relationships/oleObject" Target="../embeddings/oleObject14.bin"/><Relationship Id="rId24" Type="http://schemas.openxmlformats.org/officeDocument/2006/relationships/image" Target="../media/image11.wmf"/><Relationship Id="rId40" Type="http://schemas.openxmlformats.org/officeDocument/2006/relationships/image" Target="../media/image19.wmf"/><Relationship Id="rId45" Type="http://schemas.openxmlformats.org/officeDocument/2006/relationships/oleObject" Target="../embeddings/oleObject22.bin"/><Relationship Id="rId66" Type="http://schemas.openxmlformats.org/officeDocument/2006/relationships/oleObject" Target="../embeddings/oleObject33.bin"/><Relationship Id="rId61" Type="http://schemas.openxmlformats.org/officeDocument/2006/relationships/image" Target="../media/image29.wmf"/><Relationship Id="rId82" Type="http://schemas.openxmlformats.org/officeDocument/2006/relationships/oleObject" Target="../embeddings/oleObject4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K168"/>
  <sheetViews>
    <sheetView topLeftCell="B106" zoomScale="150" zoomScaleNormal="150" workbookViewId="0">
      <selection activeCell="D105" sqref="D105"/>
    </sheetView>
  </sheetViews>
  <sheetFormatPr defaultColWidth="9.1328125" defaultRowHeight="13.15" x14ac:dyDescent="0.4"/>
  <cols>
    <col min="1" max="16384" width="9.1328125" style="3"/>
  </cols>
  <sheetData>
    <row r="2" spans="2:11" s="2" customFormat="1" ht="15" x14ac:dyDescent="0.4">
      <c r="B2" s="1" t="s">
        <v>225</v>
      </c>
      <c r="K2" s="1" t="s">
        <v>231</v>
      </c>
    </row>
    <row r="3" spans="2:11" ht="15.75" x14ac:dyDescent="0.5">
      <c r="B3" s="3" t="s">
        <v>230</v>
      </c>
      <c r="K3" s="3" t="s">
        <v>238</v>
      </c>
    </row>
    <row r="4" spans="2:11" ht="15.75" x14ac:dyDescent="0.5">
      <c r="B4" s="3" t="s">
        <v>229</v>
      </c>
      <c r="K4" s="3" t="s">
        <v>241</v>
      </c>
    </row>
    <row r="5" spans="2:11" ht="14.65" x14ac:dyDescent="0.5">
      <c r="B5" s="3" t="s">
        <v>228</v>
      </c>
      <c r="K5" s="3" t="s">
        <v>189</v>
      </c>
    </row>
    <row r="6" spans="2:11" ht="14.65" x14ac:dyDescent="0.5">
      <c r="B6" s="3" t="s">
        <v>227</v>
      </c>
      <c r="K6" s="3" t="s">
        <v>190</v>
      </c>
    </row>
    <row r="7" spans="2:11" ht="14.65" x14ac:dyDescent="0.5">
      <c r="B7" s="3" t="s">
        <v>226</v>
      </c>
      <c r="K7" s="3" t="s">
        <v>244</v>
      </c>
    </row>
    <row r="8" spans="2:11" ht="14.65" x14ac:dyDescent="0.5">
      <c r="B8" s="3" t="s">
        <v>234</v>
      </c>
      <c r="K8" s="3" t="s">
        <v>245</v>
      </c>
    </row>
    <row r="9" spans="2:11" ht="15.75" x14ac:dyDescent="0.5">
      <c r="B9" s="4" t="s">
        <v>129</v>
      </c>
      <c r="K9" s="3" t="s">
        <v>255</v>
      </c>
    </row>
    <row r="10" spans="2:11" ht="15.75" x14ac:dyDescent="0.5">
      <c r="B10" s="4" t="s">
        <v>235</v>
      </c>
      <c r="K10" s="3" t="s">
        <v>169</v>
      </c>
    </row>
    <row r="11" spans="2:11" ht="15.75" x14ac:dyDescent="0.5">
      <c r="B11" s="3" t="s">
        <v>236</v>
      </c>
      <c r="K11" s="3" t="s">
        <v>246</v>
      </c>
    </row>
    <row r="12" spans="2:11" ht="14.65" x14ac:dyDescent="0.5">
      <c r="B12" s="3" t="s">
        <v>194</v>
      </c>
      <c r="K12" s="3" t="s">
        <v>247</v>
      </c>
    </row>
    <row r="13" spans="2:11" ht="14.65" x14ac:dyDescent="0.5">
      <c r="B13" s="3" t="s">
        <v>239</v>
      </c>
      <c r="K13" s="4" t="s">
        <v>242</v>
      </c>
    </row>
    <row r="14" spans="2:11" ht="14.65" x14ac:dyDescent="0.5">
      <c r="B14" s="3" t="s">
        <v>240</v>
      </c>
      <c r="K14" s="4" t="s">
        <v>243</v>
      </c>
    </row>
    <row r="15" spans="2:11" ht="15.75" x14ac:dyDescent="0.5">
      <c r="B15" s="3" t="s">
        <v>237</v>
      </c>
      <c r="K15" s="4" t="s">
        <v>248</v>
      </c>
    </row>
    <row r="16" spans="2:11" ht="15.75" x14ac:dyDescent="0.5">
      <c r="B16" s="3" t="s">
        <v>232</v>
      </c>
      <c r="K16" s="4" t="s">
        <v>249</v>
      </c>
    </row>
    <row r="17" spans="2:11" x14ac:dyDescent="0.4">
      <c r="B17" s="3" t="s">
        <v>233</v>
      </c>
    </row>
    <row r="18" spans="2:11" x14ac:dyDescent="0.4">
      <c r="B18" s="3" t="s">
        <v>257</v>
      </c>
    </row>
    <row r="19" spans="2:11" x14ac:dyDescent="0.4">
      <c r="B19" s="3" t="s">
        <v>192</v>
      </c>
    </row>
    <row r="20" spans="2:11" x14ac:dyDescent="0.4">
      <c r="B20" s="3" t="s">
        <v>254</v>
      </c>
    </row>
    <row r="21" spans="2:11" x14ac:dyDescent="0.4">
      <c r="B21" s="3" t="s">
        <v>193</v>
      </c>
    </row>
    <row r="22" spans="2:11" ht="15" customHeight="1" x14ac:dyDescent="0.4"/>
    <row r="23" spans="2:11" ht="15" customHeight="1" x14ac:dyDescent="0.4">
      <c r="K23" s="4"/>
    </row>
    <row r="24" spans="2:11" ht="15" x14ac:dyDescent="0.4">
      <c r="B24" s="1" t="s">
        <v>250</v>
      </c>
    </row>
    <row r="25" spans="2:11" x14ac:dyDescent="0.4">
      <c r="B25" s="3" t="s">
        <v>251</v>
      </c>
    </row>
    <row r="26" spans="2:11" x14ac:dyDescent="0.4">
      <c r="B26" s="3" t="s">
        <v>252</v>
      </c>
    </row>
    <row r="27" spans="2:11" x14ac:dyDescent="0.4">
      <c r="B27" s="3" t="s">
        <v>253</v>
      </c>
    </row>
    <row r="28" spans="2:11" x14ac:dyDescent="0.4">
      <c r="B28" s="3" t="s">
        <v>191</v>
      </c>
    </row>
    <row r="30" spans="2:11" ht="15" x14ac:dyDescent="0.4">
      <c r="B30" s="1" t="s">
        <v>256</v>
      </c>
    </row>
    <row r="32" spans="2:11" x14ac:dyDescent="0.4">
      <c r="B32" s="3" t="s">
        <v>195</v>
      </c>
      <c r="D32" s="5"/>
    </row>
    <row r="35" spans="2:8" x14ac:dyDescent="0.4">
      <c r="B35" s="3" t="s">
        <v>196</v>
      </c>
      <c r="D35" s="5"/>
    </row>
    <row r="38" spans="2:8" x14ac:dyDescent="0.4">
      <c r="B38" s="3" t="s">
        <v>197</v>
      </c>
      <c r="D38" s="5"/>
      <c r="E38" s="5"/>
      <c r="F38" s="5"/>
    </row>
    <row r="40" spans="2:8" x14ac:dyDescent="0.4">
      <c r="B40" s="3" t="s">
        <v>198</v>
      </c>
      <c r="D40" s="5"/>
      <c r="E40" s="5"/>
      <c r="G40" s="5"/>
    </row>
    <row r="43" spans="2:8" x14ac:dyDescent="0.4">
      <c r="B43" s="3" t="s">
        <v>170</v>
      </c>
      <c r="G43" s="5"/>
    </row>
    <row r="44" spans="2:8" x14ac:dyDescent="0.4">
      <c r="H44" s="5"/>
    </row>
    <row r="45" spans="2:8" x14ac:dyDescent="0.4">
      <c r="B45" s="3" t="s">
        <v>199</v>
      </c>
      <c r="D45" s="5"/>
      <c r="E45" s="5"/>
      <c r="G45" s="5"/>
    </row>
    <row r="47" spans="2:8" x14ac:dyDescent="0.4">
      <c r="B47" s="3" t="s">
        <v>200</v>
      </c>
      <c r="D47" s="5"/>
      <c r="F47" s="5"/>
      <c r="H47" s="5"/>
    </row>
    <row r="50" spans="2:11" x14ac:dyDescent="0.4">
      <c r="B50" s="3" t="s">
        <v>201</v>
      </c>
      <c r="D50" s="5"/>
      <c r="E50" s="5"/>
      <c r="F50" s="5"/>
    </row>
    <row r="52" spans="2:11" x14ac:dyDescent="0.4">
      <c r="F52" s="5"/>
    </row>
    <row r="53" spans="2:11" x14ac:dyDescent="0.4">
      <c r="B53" s="3" t="s">
        <v>203</v>
      </c>
    </row>
    <row r="54" spans="2:11" x14ac:dyDescent="0.4">
      <c r="K54"/>
    </row>
    <row r="56" spans="2:11" ht="15" x14ac:dyDescent="0.4">
      <c r="B56" s="1" t="s">
        <v>202</v>
      </c>
    </row>
    <row r="58" spans="2:11" x14ac:dyDescent="0.4">
      <c r="B58" s="3" t="s">
        <v>204</v>
      </c>
    </row>
    <row r="59" spans="2:11" x14ac:dyDescent="0.4">
      <c r="B59" s="5"/>
    </row>
    <row r="60" spans="2:11" x14ac:dyDescent="0.4">
      <c r="H60" s="6" t="s">
        <v>205</v>
      </c>
    </row>
    <row r="62" spans="2:11" x14ac:dyDescent="0.4">
      <c r="B62" s="3" t="s">
        <v>206</v>
      </c>
      <c r="I62" s="3" t="s">
        <v>208</v>
      </c>
    </row>
    <row r="63" spans="2:11" x14ac:dyDescent="0.4">
      <c r="B63" s="5"/>
    </row>
    <row r="64" spans="2:11" x14ac:dyDescent="0.4">
      <c r="D64" s="5"/>
      <c r="H64" s="6" t="s">
        <v>207</v>
      </c>
    </row>
    <row r="66" spans="2:11" x14ac:dyDescent="0.4">
      <c r="B66" s="3" t="s">
        <v>210</v>
      </c>
      <c r="H66" s="5"/>
      <c r="I66" s="5"/>
      <c r="K66" s="3" t="s">
        <v>208</v>
      </c>
    </row>
    <row r="68" spans="2:11" x14ac:dyDescent="0.4">
      <c r="D68" s="5"/>
      <c r="H68" s="6" t="s">
        <v>209</v>
      </c>
    </row>
    <row r="70" spans="2:11" x14ac:dyDescent="0.4">
      <c r="B70" s="3" t="s">
        <v>211</v>
      </c>
    </row>
    <row r="72" spans="2:11" x14ac:dyDescent="0.4">
      <c r="B72" s="3" t="s">
        <v>212</v>
      </c>
    </row>
    <row r="73" spans="2:11" x14ac:dyDescent="0.4">
      <c r="B73" s="3" t="s">
        <v>213</v>
      </c>
    </row>
    <row r="75" spans="2:11" x14ac:dyDescent="0.4">
      <c r="F75" s="5"/>
      <c r="H75" s="6" t="s">
        <v>214</v>
      </c>
    </row>
    <row r="77" spans="2:11" x14ac:dyDescent="0.4">
      <c r="B77" s="3" t="s">
        <v>215</v>
      </c>
      <c r="H77" s="3" t="s">
        <v>216</v>
      </c>
    </row>
    <row r="79" spans="2:11" x14ac:dyDescent="0.4">
      <c r="D79" s="5"/>
      <c r="H79" s="6" t="s">
        <v>217</v>
      </c>
    </row>
    <row r="80" spans="2:11" x14ac:dyDescent="0.4">
      <c r="F80" s="5"/>
    </row>
    <row r="81" spans="2:8" ht="14.65" x14ac:dyDescent="0.5">
      <c r="B81" s="3" t="s">
        <v>160</v>
      </c>
      <c r="E81" s="5"/>
    </row>
    <row r="82" spans="2:8" ht="14.65" x14ac:dyDescent="0.5">
      <c r="B82" s="3" t="s">
        <v>219</v>
      </c>
    </row>
    <row r="83" spans="2:8" x14ac:dyDescent="0.4">
      <c r="B83" s="3" t="s">
        <v>220</v>
      </c>
    </row>
    <row r="85" spans="2:8" x14ac:dyDescent="0.4">
      <c r="F85" s="5"/>
      <c r="H85" s="6" t="s">
        <v>149</v>
      </c>
    </row>
    <row r="87" spans="2:8" ht="15" x14ac:dyDescent="0.4">
      <c r="B87" s="1" t="s">
        <v>218</v>
      </c>
    </row>
    <row r="89" spans="2:8" x14ac:dyDescent="0.4">
      <c r="B89" s="3" t="s">
        <v>221</v>
      </c>
    </row>
    <row r="91" spans="2:8" x14ac:dyDescent="0.4">
      <c r="E91" s="5"/>
      <c r="H91" s="6" t="s">
        <v>222</v>
      </c>
    </row>
    <row r="93" spans="2:8" x14ac:dyDescent="0.4">
      <c r="B93" s="3" t="s">
        <v>223</v>
      </c>
    </row>
    <row r="95" spans="2:8" x14ac:dyDescent="0.4">
      <c r="G95" s="5"/>
      <c r="H95" s="6" t="s">
        <v>224</v>
      </c>
    </row>
    <row r="97" spans="2:8" x14ac:dyDescent="0.4">
      <c r="B97" s="3" t="s">
        <v>148</v>
      </c>
    </row>
    <row r="99" spans="2:8" x14ac:dyDescent="0.4">
      <c r="B99" s="3" t="s">
        <v>152</v>
      </c>
    </row>
    <row r="100" spans="2:8" x14ac:dyDescent="0.4">
      <c r="C100" s="3" t="s">
        <v>153</v>
      </c>
    </row>
    <row r="101" spans="2:8" ht="14.65" x14ac:dyDescent="0.5">
      <c r="C101" s="3" t="s">
        <v>151</v>
      </c>
    </row>
    <row r="102" spans="2:8" x14ac:dyDescent="0.4">
      <c r="D102" s="5"/>
    </row>
    <row r="103" spans="2:8" x14ac:dyDescent="0.4">
      <c r="C103"/>
      <c r="F103"/>
      <c r="H103" s="6" t="s">
        <v>150</v>
      </c>
    </row>
    <row r="105" spans="2:8" ht="14.65" x14ac:dyDescent="0.5">
      <c r="C105" s="3" t="s">
        <v>154</v>
      </c>
    </row>
    <row r="106" spans="2:8" x14ac:dyDescent="0.4">
      <c r="C106" s="3" t="s">
        <v>174</v>
      </c>
    </row>
    <row r="107" spans="2:8" x14ac:dyDescent="0.4">
      <c r="C107" s="3" t="s">
        <v>175</v>
      </c>
    </row>
    <row r="108" spans="2:8" ht="14.65" x14ac:dyDescent="0.5">
      <c r="C108" s="3" t="s">
        <v>155</v>
      </c>
    </row>
    <row r="109" spans="2:8" x14ac:dyDescent="0.4">
      <c r="D109" s="5"/>
    </row>
    <row r="110" spans="2:8" x14ac:dyDescent="0.4">
      <c r="D110" s="5"/>
      <c r="G110" s="5"/>
      <c r="H110" s="6" t="s">
        <v>156</v>
      </c>
    </row>
    <row r="113" spans="2:8" x14ac:dyDescent="0.4">
      <c r="B113" s="3" t="s">
        <v>157</v>
      </c>
    </row>
    <row r="115" spans="2:8" x14ac:dyDescent="0.4">
      <c r="C115" s="5"/>
      <c r="F115" s="5"/>
      <c r="H115" s="6" t="s">
        <v>158</v>
      </c>
    </row>
    <row r="117" spans="2:8" x14ac:dyDescent="0.4">
      <c r="B117" s="3" t="s">
        <v>159</v>
      </c>
    </row>
    <row r="119" spans="2:8" x14ac:dyDescent="0.4">
      <c r="B119" s="3" t="s">
        <v>161</v>
      </c>
    </row>
    <row r="121" spans="2:8" x14ac:dyDescent="0.4">
      <c r="B121" s="3" t="s">
        <v>162</v>
      </c>
    </row>
    <row r="123" spans="2:8" x14ac:dyDescent="0.4">
      <c r="B123" s="3" t="s">
        <v>163</v>
      </c>
    </row>
    <row r="124" spans="2:8" x14ac:dyDescent="0.4">
      <c r="B124" s="5"/>
    </row>
    <row r="125" spans="2:8" x14ac:dyDescent="0.4">
      <c r="H125" s="6" t="s">
        <v>164</v>
      </c>
    </row>
    <row r="127" spans="2:8" ht="14.65" x14ac:dyDescent="0.5">
      <c r="B127" s="3" t="s">
        <v>166</v>
      </c>
    </row>
    <row r="128" spans="2:8" x14ac:dyDescent="0.4">
      <c r="E128" s="5"/>
    </row>
    <row r="129" spans="2:8" x14ac:dyDescent="0.4">
      <c r="H129" s="6" t="s">
        <v>165</v>
      </c>
    </row>
    <row r="132" spans="2:8" x14ac:dyDescent="0.4">
      <c r="B132" s="3" t="s">
        <v>167</v>
      </c>
    </row>
    <row r="133" spans="2:8" x14ac:dyDescent="0.4">
      <c r="B133" s="5"/>
    </row>
    <row r="134" spans="2:8" x14ac:dyDescent="0.4">
      <c r="H134" s="6" t="s">
        <v>168</v>
      </c>
    </row>
    <row r="137" spans="2:8" ht="15" x14ac:dyDescent="0.4">
      <c r="B137" s="1" t="s">
        <v>27</v>
      </c>
    </row>
    <row r="139" spans="2:8" ht="14.65" x14ac:dyDescent="0.5">
      <c r="B139" s="3" t="s">
        <v>28</v>
      </c>
    </row>
    <row r="141" spans="2:8" x14ac:dyDescent="0.4">
      <c r="D141"/>
      <c r="H141" s="6" t="s">
        <v>29</v>
      </c>
    </row>
    <row r="143" spans="2:8" x14ac:dyDescent="0.4">
      <c r="B143" s="3" t="s">
        <v>30</v>
      </c>
    </row>
    <row r="145" spans="2:8" x14ac:dyDescent="0.4">
      <c r="F145"/>
      <c r="H145" s="6" t="s">
        <v>31</v>
      </c>
    </row>
    <row r="147" spans="2:8" ht="14.65" x14ac:dyDescent="0.5">
      <c r="C147" s="3" t="s">
        <v>32</v>
      </c>
    </row>
    <row r="148" spans="2:8" x14ac:dyDescent="0.4">
      <c r="C148" s="3" t="s">
        <v>35</v>
      </c>
    </row>
    <row r="149" spans="2:8" x14ac:dyDescent="0.4">
      <c r="C149" s="3" t="s">
        <v>33</v>
      </c>
    </row>
    <row r="150" spans="2:8" x14ac:dyDescent="0.4">
      <c r="C150" s="3" t="s">
        <v>34</v>
      </c>
    </row>
    <row r="151" spans="2:8" x14ac:dyDescent="0.4">
      <c r="F151"/>
    </row>
    <row r="152" spans="2:8" x14ac:dyDescent="0.4">
      <c r="H152" s="6" t="s">
        <v>36</v>
      </c>
    </row>
    <row r="154" spans="2:8" x14ac:dyDescent="0.4">
      <c r="B154" s="3" t="s">
        <v>37</v>
      </c>
    </row>
    <row r="155" spans="2:8" x14ac:dyDescent="0.4">
      <c r="F155"/>
    </row>
    <row r="156" spans="2:8" x14ac:dyDescent="0.4">
      <c r="H156" s="6" t="s">
        <v>38</v>
      </c>
    </row>
    <row r="158" spans="2:8" ht="15.75" x14ac:dyDescent="0.5">
      <c r="B158" s="3" t="s">
        <v>40</v>
      </c>
    </row>
    <row r="160" spans="2:8" x14ac:dyDescent="0.4">
      <c r="G160"/>
      <c r="H160" s="6" t="s">
        <v>39</v>
      </c>
    </row>
    <row r="162" spans="2:8" x14ac:dyDescent="0.4">
      <c r="B162" s="3" t="s">
        <v>0</v>
      </c>
    </row>
    <row r="163" spans="2:8" x14ac:dyDescent="0.4">
      <c r="C163" s="3" t="s">
        <v>1</v>
      </c>
    </row>
    <row r="164" spans="2:8" x14ac:dyDescent="0.4">
      <c r="F164"/>
    </row>
    <row r="165" spans="2:8" x14ac:dyDescent="0.4">
      <c r="H165" s="6" t="s">
        <v>2</v>
      </c>
    </row>
    <row r="167" spans="2:8" x14ac:dyDescent="0.4">
      <c r="C167" s="3" t="s">
        <v>3</v>
      </c>
    </row>
    <row r="168" spans="2:8" x14ac:dyDescent="0.4">
      <c r="C168" s="3" t="s">
        <v>4</v>
      </c>
    </row>
  </sheetData>
  <phoneticPr fontId="0" type="noConversion"/>
  <pageMargins left="0.75" right="0.75" top="1" bottom="1" header="0.5" footer="0.5"/>
  <pageSetup orientation="portrait" horizontalDpi="200" verticalDpi="200"/>
  <headerFooter alignWithMargins="0"/>
  <drawing r:id="rId1"/>
  <legacyDrawing r:id="rId2"/>
  <oleObjects>
    <mc:AlternateContent xmlns:mc="http://schemas.openxmlformats.org/markup-compatibility/2006">
      <mc:Choice Requires="x14">
        <oleObject progId="Equation.3" shapeId="1026" r:id="rId3">
          <objectPr defaultSize="0" autoPict="0" r:id="rId4">
            <anchor moveWithCells="1" sizeWithCells="1">
              <from>
                <xdr:col>3</xdr:col>
                <xdr:colOff>52388</xdr:colOff>
                <xdr:row>30</xdr:row>
                <xdr:rowOff>114300</xdr:rowOff>
              </from>
              <to>
                <xdr:col>4</xdr:col>
                <xdr:colOff>190500</xdr:colOff>
                <xdr:row>32</xdr:row>
                <xdr:rowOff>100013</xdr:rowOff>
              </to>
            </anchor>
          </objectPr>
        </oleObject>
      </mc:Choice>
      <mc:Fallback>
        <oleObject progId="Equation.3" shapeId="1026" r:id="rId3"/>
      </mc:Fallback>
    </mc:AlternateContent>
    <mc:AlternateContent xmlns:mc="http://schemas.openxmlformats.org/markup-compatibility/2006">
      <mc:Choice Requires="x14">
        <oleObject progId="Equation.3" shapeId="1027" r:id="rId5">
          <objectPr defaultSize="0" autoPict="0" r:id="rId6">
            <anchor moveWithCells="1" sizeWithCells="1">
              <from>
                <xdr:col>2</xdr:col>
                <xdr:colOff>519113</xdr:colOff>
                <xdr:row>33</xdr:row>
                <xdr:rowOff>90488</xdr:rowOff>
              </from>
              <to>
                <xdr:col>4</xdr:col>
                <xdr:colOff>495300</xdr:colOff>
                <xdr:row>35</xdr:row>
                <xdr:rowOff>138113</xdr:rowOff>
              </to>
            </anchor>
          </objectPr>
        </oleObject>
      </mc:Choice>
      <mc:Fallback>
        <oleObject progId="Equation.3" shapeId="1027" r:id="rId5"/>
      </mc:Fallback>
    </mc:AlternateContent>
    <mc:AlternateContent xmlns:mc="http://schemas.openxmlformats.org/markup-compatibility/2006">
      <mc:Choice Requires="x14">
        <oleObject progId="Equation.3" shapeId="1028" r:id="rId7">
          <objectPr defaultSize="0" autoPict="0" r:id="rId8">
            <anchor moveWithCells="1" sizeWithCells="1">
              <from>
                <xdr:col>3</xdr:col>
                <xdr:colOff>0</xdr:colOff>
                <xdr:row>37</xdr:row>
                <xdr:rowOff>14288</xdr:rowOff>
              </from>
              <to>
                <xdr:col>3</xdr:col>
                <xdr:colOff>661988</xdr:colOff>
                <xdr:row>37</xdr:row>
                <xdr:rowOff>152400</xdr:rowOff>
              </to>
            </anchor>
          </objectPr>
        </oleObject>
      </mc:Choice>
      <mc:Fallback>
        <oleObject progId="Equation.3" shapeId="1028" r:id="rId7"/>
      </mc:Fallback>
    </mc:AlternateContent>
    <mc:AlternateContent xmlns:mc="http://schemas.openxmlformats.org/markup-compatibility/2006">
      <mc:Choice Requires="x14">
        <oleObject progId="Equation.3" shapeId="1029" r:id="rId9">
          <objectPr defaultSize="0" autoPict="0" r:id="rId10">
            <anchor moveWithCells="1" sizeWithCells="1">
              <from>
                <xdr:col>4</xdr:col>
                <xdr:colOff>76200</xdr:colOff>
                <xdr:row>37</xdr:row>
                <xdr:rowOff>0</xdr:rowOff>
              </from>
              <to>
                <xdr:col>4</xdr:col>
                <xdr:colOff>481013</xdr:colOff>
                <xdr:row>38</xdr:row>
                <xdr:rowOff>14288</xdr:rowOff>
              </to>
            </anchor>
          </objectPr>
        </oleObject>
      </mc:Choice>
      <mc:Fallback>
        <oleObject progId="Equation.3" shapeId="1029" r:id="rId9"/>
      </mc:Fallback>
    </mc:AlternateContent>
    <mc:AlternateContent xmlns:mc="http://schemas.openxmlformats.org/markup-compatibility/2006">
      <mc:Choice Requires="x14">
        <oleObject progId="Equation.3" shapeId="1030" r:id="rId11">
          <objectPr defaultSize="0" autoPict="0" r:id="rId12">
            <anchor moveWithCells="1" sizeWithCells="1">
              <from>
                <xdr:col>4</xdr:col>
                <xdr:colOff>647700</xdr:colOff>
                <xdr:row>36</xdr:row>
                <xdr:rowOff>152400</xdr:rowOff>
              </from>
              <to>
                <xdr:col>5</xdr:col>
                <xdr:colOff>442913</xdr:colOff>
                <xdr:row>38</xdr:row>
                <xdr:rowOff>0</xdr:rowOff>
              </to>
            </anchor>
          </objectPr>
        </oleObject>
      </mc:Choice>
      <mc:Fallback>
        <oleObject progId="Equation.3" shapeId="1030" r:id="rId11"/>
      </mc:Fallback>
    </mc:AlternateContent>
    <mc:AlternateContent xmlns:mc="http://schemas.openxmlformats.org/markup-compatibility/2006">
      <mc:Choice Requires="x14">
        <oleObject progId="Equation.3" shapeId="1031" r:id="rId13">
          <objectPr defaultSize="0" autoPict="0" r:id="rId14">
            <anchor moveWithCells="1" sizeWithCells="1">
              <from>
                <xdr:col>2</xdr:col>
                <xdr:colOff>457200</xdr:colOff>
                <xdr:row>38</xdr:row>
                <xdr:rowOff>100013</xdr:rowOff>
              </from>
              <to>
                <xdr:col>3</xdr:col>
                <xdr:colOff>685800</xdr:colOff>
                <xdr:row>40</xdr:row>
                <xdr:rowOff>90488</xdr:rowOff>
              </to>
            </anchor>
          </objectPr>
        </oleObject>
      </mc:Choice>
      <mc:Fallback>
        <oleObject progId="Equation.3" shapeId="1031" r:id="rId13"/>
      </mc:Fallback>
    </mc:AlternateContent>
    <mc:AlternateContent xmlns:mc="http://schemas.openxmlformats.org/markup-compatibility/2006">
      <mc:Choice Requires="x14">
        <oleObject progId="Equation.3" shapeId="1032" r:id="rId15">
          <objectPr defaultSize="0" autoPict="0" r:id="rId16">
            <anchor moveWithCells="1" sizeWithCells="1">
              <from>
                <xdr:col>4</xdr:col>
                <xdr:colOff>114300</xdr:colOff>
                <xdr:row>38</xdr:row>
                <xdr:rowOff>90488</xdr:rowOff>
              </from>
              <to>
                <xdr:col>5</xdr:col>
                <xdr:colOff>214313</xdr:colOff>
                <xdr:row>40</xdr:row>
                <xdr:rowOff>114300</xdr:rowOff>
              </to>
            </anchor>
          </objectPr>
        </oleObject>
      </mc:Choice>
      <mc:Fallback>
        <oleObject progId="Equation.3" shapeId="1032" r:id="rId15"/>
      </mc:Fallback>
    </mc:AlternateContent>
    <mc:AlternateContent xmlns:mc="http://schemas.openxmlformats.org/markup-compatibility/2006">
      <mc:Choice Requires="x14">
        <oleObject progId="Equation.3" shapeId="1033" r:id="rId17">
          <objectPr defaultSize="0" autoPict="0" r:id="rId18">
            <anchor moveWithCells="1" sizeWithCells="1">
              <from>
                <xdr:col>5</xdr:col>
                <xdr:colOff>419100</xdr:colOff>
                <xdr:row>38</xdr:row>
                <xdr:rowOff>90488</xdr:rowOff>
              </from>
              <to>
                <xdr:col>6</xdr:col>
                <xdr:colOff>585788</xdr:colOff>
                <xdr:row>40</xdr:row>
                <xdr:rowOff>114300</xdr:rowOff>
              </to>
            </anchor>
          </objectPr>
        </oleObject>
      </mc:Choice>
      <mc:Fallback>
        <oleObject progId="Equation.3" shapeId="1033" r:id="rId17"/>
      </mc:Fallback>
    </mc:AlternateContent>
    <mc:AlternateContent xmlns:mc="http://schemas.openxmlformats.org/markup-compatibility/2006">
      <mc:Choice Requires="x14">
        <oleObject progId="Equation.3" shapeId="1035" r:id="rId19">
          <objectPr defaultSize="0" autoPict="0" r:id="rId20">
            <anchor moveWithCells="1" sizeWithCells="1">
              <from>
                <xdr:col>7</xdr:col>
                <xdr:colOff>23813</xdr:colOff>
                <xdr:row>41</xdr:row>
                <xdr:rowOff>90488</xdr:rowOff>
              </from>
              <to>
                <xdr:col>7</xdr:col>
                <xdr:colOff>457200</xdr:colOff>
                <xdr:row>43</xdr:row>
                <xdr:rowOff>90488</xdr:rowOff>
              </to>
            </anchor>
          </objectPr>
        </oleObject>
      </mc:Choice>
      <mc:Fallback>
        <oleObject progId="Equation.3" shapeId="1035" r:id="rId19"/>
      </mc:Fallback>
    </mc:AlternateContent>
    <mc:AlternateContent xmlns:mc="http://schemas.openxmlformats.org/markup-compatibility/2006">
      <mc:Choice Requires="x14">
        <oleObject progId="Equation.3" shapeId="1037" r:id="rId21">
          <objectPr defaultSize="0" autoPict="0" r:id="rId22">
            <anchor moveWithCells="1" sizeWithCells="1">
              <from>
                <xdr:col>4</xdr:col>
                <xdr:colOff>0</xdr:colOff>
                <xdr:row>43</xdr:row>
                <xdr:rowOff>152400</xdr:rowOff>
              </from>
              <to>
                <xdr:col>5</xdr:col>
                <xdr:colOff>190500</xdr:colOff>
                <xdr:row>45</xdr:row>
                <xdr:rowOff>14288</xdr:rowOff>
              </to>
            </anchor>
          </objectPr>
        </oleObject>
      </mc:Choice>
      <mc:Fallback>
        <oleObject progId="Equation.3" shapeId="1037" r:id="rId21"/>
      </mc:Fallback>
    </mc:AlternateContent>
    <mc:AlternateContent xmlns:mc="http://schemas.openxmlformats.org/markup-compatibility/2006">
      <mc:Choice Requires="x14">
        <oleObject progId="Equation.3" shapeId="1038" r:id="rId23">
          <objectPr defaultSize="0" autoPict="0" r:id="rId24">
            <anchor moveWithCells="1" sizeWithCells="1">
              <from>
                <xdr:col>5</xdr:col>
                <xdr:colOff>433388</xdr:colOff>
                <xdr:row>43</xdr:row>
                <xdr:rowOff>152400</xdr:rowOff>
              </from>
              <to>
                <xdr:col>6</xdr:col>
                <xdr:colOff>633413</xdr:colOff>
                <xdr:row>45</xdr:row>
                <xdr:rowOff>0</xdr:rowOff>
              </to>
            </anchor>
          </objectPr>
        </oleObject>
      </mc:Choice>
      <mc:Fallback>
        <oleObject progId="Equation.3" shapeId="1038" r:id="rId23"/>
      </mc:Fallback>
    </mc:AlternateContent>
    <mc:AlternateContent xmlns:mc="http://schemas.openxmlformats.org/markup-compatibility/2006">
      <mc:Choice Requires="x14">
        <oleObject progId="Equation.3" shapeId="1040" r:id="rId25">
          <objectPr defaultSize="0" autoPict="0" r:id="rId26">
            <anchor moveWithCells="1" sizeWithCells="1">
              <from>
                <xdr:col>4</xdr:col>
                <xdr:colOff>595313</xdr:colOff>
                <xdr:row>45</xdr:row>
                <xdr:rowOff>100013</xdr:rowOff>
              </from>
              <to>
                <xdr:col>6</xdr:col>
                <xdr:colOff>280988</xdr:colOff>
                <xdr:row>47</xdr:row>
                <xdr:rowOff>114300</xdr:rowOff>
              </to>
            </anchor>
          </objectPr>
        </oleObject>
      </mc:Choice>
      <mc:Fallback>
        <oleObject progId="Equation.3" shapeId="1040" r:id="rId25"/>
      </mc:Fallback>
    </mc:AlternateContent>
    <mc:AlternateContent xmlns:mc="http://schemas.openxmlformats.org/markup-compatibility/2006">
      <mc:Choice Requires="x14">
        <oleObject progId="Equation.3" shapeId="1041" r:id="rId27">
          <objectPr defaultSize="0" autoPict="0" r:id="rId28">
            <anchor moveWithCells="1" sizeWithCells="1">
              <from>
                <xdr:col>6</xdr:col>
                <xdr:colOff>419100</xdr:colOff>
                <xdr:row>45</xdr:row>
                <xdr:rowOff>114300</xdr:rowOff>
              </from>
              <to>
                <xdr:col>8</xdr:col>
                <xdr:colOff>128588</xdr:colOff>
                <xdr:row>47</xdr:row>
                <xdr:rowOff>128588</xdr:rowOff>
              </to>
            </anchor>
          </objectPr>
        </oleObject>
      </mc:Choice>
      <mc:Fallback>
        <oleObject progId="Equation.3" shapeId="1041" r:id="rId27"/>
      </mc:Fallback>
    </mc:AlternateContent>
    <mc:AlternateContent xmlns:mc="http://schemas.openxmlformats.org/markup-compatibility/2006">
      <mc:Choice Requires="x14">
        <oleObject progId="Equation.3" shapeId="1042" r:id="rId29">
          <objectPr defaultSize="0" autoPict="0" r:id="rId30">
            <anchor moveWithCells="1" sizeWithCells="1">
              <from>
                <xdr:col>3</xdr:col>
                <xdr:colOff>38100</xdr:colOff>
                <xdr:row>48</xdr:row>
                <xdr:rowOff>114300</xdr:rowOff>
              </from>
              <to>
                <xdr:col>3</xdr:col>
                <xdr:colOff>647700</xdr:colOff>
                <xdr:row>50</xdr:row>
                <xdr:rowOff>100013</xdr:rowOff>
              </to>
            </anchor>
          </objectPr>
        </oleObject>
      </mc:Choice>
      <mc:Fallback>
        <oleObject progId="Equation.3" shapeId="1042" r:id="rId29"/>
      </mc:Fallback>
    </mc:AlternateContent>
    <mc:AlternateContent xmlns:mc="http://schemas.openxmlformats.org/markup-compatibility/2006">
      <mc:Choice Requires="x14">
        <oleObject progId="Equation.3" shapeId="1043" r:id="rId31">
          <objectPr defaultSize="0" autoPict="0" r:id="rId32">
            <anchor moveWithCells="1" sizeWithCells="1">
              <from>
                <xdr:col>4</xdr:col>
                <xdr:colOff>90488</xdr:colOff>
                <xdr:row>48</xdr:row>
                <xdr:rowOff>100013</xdr:rowOff>
              </from>
              <to>
                <xdr:col>5</xdr:col>
                <xdr:colOff>114300</xdr:colOff>
                <xdr:row>50</xdr:row>
                <xdr:rowOff>90488</xdr:rowOff>
              </to>
            </anchor>
          </objectPr>
        </oleObject>
      </mc:Choice>
      <mc:Fallback>
        <oleObject progId="Equation.3" shapeId="1043" r:id="rId31"/>
      </mc:Fallback>
    </mc:AlternateContent>
    <mc:AlternateContent xmlns:mc="http://schemas.openxmlformats.org/markup-compatibility/2006">
      <mc:Choice Requires="x14">
        <oleObject progId="Equation.3" shapeId="1044" r:id="rId33">
          <objectPr defaultSize="0" autoPict="0" r:id="rId34">
            <anchor moveWithCells="1" sizeWithCells="1">
              <from>
                <xdr:col>5</xdr:col>
                <xdr:colOff>266700</xdr:colOff>
                <xdr:row>48</xdr:row>
                <xdr:rowOff>114300</xdr:rowOff>
              </from>
              <to>
                <xdr:col>6</xdr:col>
                <xdr:colOff>328613</xdr:colOff>
                <xdr:row>50</xdr:row>
                <xdr:rowOff>100013</xdr:rowOff>
              </to>
            </anchor>
          </objectPr>
        </oleObject>
      </mc:Choice>
      <mc:Fallback>
        <oleObject progId="Equation.3" shapeId="1044" r:id="rId33"/>
      </mc:Fallback>
    </mc:AlternateContent>
    <mc:AlternateContent xmlns:mc="http://schemas.openxmlformats.org/markup-compatibility/2006">
      <mc:Choice Requires="x14">
        <oleObject progId="Equation.3" shapeId="1046" r:id="rId35">
          <objectPr defaultSize="0" autoPict="0" r:id="rId36">
            <anchor moveWithCells="1" sizeWithCells="1">
              <from>
                <xdr:col>4</xdr:col>
                <xdr:colOff>571500</xdr:colOff>
                <xdr:row>51</xdr:row>
                <xdr:rowOff>90488</xdr:rowOff>
              </from>
              <to>
                <xdr:col>5</xdr:col>
                <xdr:colOff>557213</xdr:colOff>
                <xdr:row>53</xdr:row>
                <xdr:rowOff>114300</xdr:rowOff>
              </to>
            </anchor>
          </objectPr>
        </oleObject>
      </mc:Choice>
      <mc:Fallback>
        <oleObject progId="Equation.3" shapeId="1046" r:id="rId35"/>
      </mc:Fallback>
    </mc:AlternateContent>
    <mc:AlternateContent xmlns:mc="http://schemas.openxmlformats.org/markup-compatibility/2006">
      <mc:Choice Requires="x14">
        <oleObject progId="Equation.3" shapeId="1047" r:id="rId37">
          <objectPr defaultSize="0" autoPict="0" r:id="rId38">
            <anchor moveWithCells="1" sizeWithCells="1">
              <from>
                <xdr:col>3</xdr:col>
                <xdr:colOff>442913</xdr:colOff>
                <xdr:row>58</xdr:row>
                <xdr:rowOff>152400</xdr:rowOff>
              </from>
              <to>
                <xdr:col>4</xdr:col>
                <xdr:colOff>433388</xdr:colOff>
                <xdr:row>60</xdr:row>
                <xdr:rowOff>14288</xdr:rowOff>
              </to>
            </anchor>
          </objectPr>
        </oleObject>
      </mc:Choice>
      <mc:Fallback>
        <oleObject progId="Equation.3" shapeId="1047" r:id="rId37"/>
      </mc:Fallback>
    </mc:AlternateContent>
    <mc:AlternateContent xmlns:mc="http://schemas.openxmlformats.org/markup-compatibility/2006">
      <mc:Choice Requires="x14">
        <oleObject progId="Equation.3" shapeId="1048" r:id="rId39">
          <objectPr defaultSize="0" autoPict="0" r:id="rId40">
            <anchor moveWithCells="1" sizeWithCells="1">
              <from>
                <xdr:col>5</xdr:col>
                <xdr:colOff>404813</xdr:colOff>
                <xdr:row>60</xdr:row>
                <xdr:rowOff>152400</xdr:rowOff>
              </from>
              <to>
                <xdr:col>7</xdr:col>
                <xdr:colOff>519113</xdr:colOff>
                <xdr:row>62</xdr:row>
                <xdr:rowOff>14288</xdr:rowOff>
              </to>
            </anchor>
          </objectPr>
        </oleObject>
      </mc:Choice>
      <mc:Fallback>
        <oleObject progId="Equation.3" shapeId="1048" r:id="rId39"/>
      </mc:Fallback>
    </mc:AlternateContent>
    <mc:AlternateContent xmlns:mc="http://schemas.openxmlformats.org/markup-compatibility/2006">
      <mc:Choice Requires="x14">
        <oleObject progId="Equation.3" shapeId="1049" r:id="rId41">
          <objectPr defaultSize="0" autoPict="0" r:id="rId42">
            <anchor moveWithCells="1" sizeWithCells="1">
              <from>
                <xdr:col>3</xdr:col>
                <xdr:colOff>395288</xdr:colOff>
                <xdr:row>63</xdr:row>
                <xdr:rowOff>14288</xdr:rowOff>
              </from>
              <to>
                <xdr:col>4</xdr:col>
                <xdr:colOff>457200</xdr:colOff>
                <xdr:row>64</xdr:row>
                <xdr:rowOff>0</xdr:rowOff>
              </to>
            </anchor>
          </objectPr>
        </oleObject>
      </mc:Choice>
      <mc:Fallback>
        <oleObject progId="Equation.3" shapeId="1049" r:id="rId41"/>
      </mc:Fallback>
    </mc:AlternateContent>
    <mc:AlternateContent xmlns:mc="http://schemas.openxmlformats.org/markup-compatibility/2006">
      <mc:Choice Requires="x14">
        <oleObject progId="Equation.3" shapeId="1051" r:id="rId43">
          <objectPr defaultSize="0" autoPict="0" r:id="rId44">
            <anchor moveWithCells="1" sizeWithCells="1">
              <from>
                <xdr:col>7</xdr:col>
                <xdr:colOff>61913</xdr:colOff>
                <xdr:row>64</xdr:row>
                <xdr:rowOff>152400</xdr:rowOff>
              </from>
              <to>
                <xdr:col>9</xdr:col>
                <xdr:colOff>547688</xdr:colOff>
                <xdr:row>66</xdr:row>
                <xdr:rowOff>14288</xdr:rowOff>
              </to>
            </anchor>
          </objectPr>
        </oleObject>
      </mc:Choice>
      <mc:Fallback>
        <oleObject progId="Equation.3" shapeId="1051" r:id="rId43"/>
      </mc:Fallback>
    </mc:AlternateContent>
    <mc:AlternateContent xmlns:mc="http://schemas.openxmlformats.org/markup-compatibility/2006">
      <mc:Choice Requires="x14">
        <oleObject progId="Equation.3" shapeId="1052" r:id="rId45">
          <objectPr defaultSize="0" autoPict="0" r:id="rId46">
            <anchor moveWithCells="1" sizeWithCells="1">
              <from>
                <xdr:col>3</xdr:col>
                <xdr:colOff>204788</xdr:colOff>
                <xdr:row>67</xdr:row>
                <xdr:rowOff>0</xdr:rowOff>
              </from>
              <to>
                <xdr:col>4</xdr:col>
                <xdr:colOff>685800</xdr:colOff>
                <xdr:row>68</xdr:row>
                <xdr:rowOff>14288</xdr:rowOff>
              </to>
            </anchor>
          </objectPr>
        </oleObject>
      </mc:Choice>
      <mc:Fallback>
        <oleObject progId="Equation.3" shapeId="1052" r:id="rId45"/>
      </mc:Fallback>
    </mc:AlternateContent>
    <mc:AlternateContent xmlns:mc="http://schemas.openxmlformats.org/markup-compatibility/2006">
      <mc:Choice Requires="x14">
        <oleObject progId="Equation.3" shapeId="1053" r:id="rId47">
          <objectPr defaultSize="0" autoPict="0" r:id="rId48">
            <anchor moveWithCells="1" sizeWithCells="1">
              <from>
                <xdr:col>3</xdr:col>
                <xdr:colOff>152400</xdr:colOff>
                <xdr:row>73</xdr:row>
                <xdr:rowOff>61913</xdr:rowOff>
              </from>
              <to>
                <xdr:col>5</xdr:col>
                <xdr:colOff>114300</xdr:colOff>
                <xdr:row>75</xdr:row>
                <xdr:rowOff>114300</xdr:rowOff>
              </to>
            </anchor>
          </objectPr>
        </oleObject>
      </mc:Choice>
      <mc:Fallback>
        <oleObject progId="Equation.3" shapeId="1053" r:id="rId47"/>
      </mc:Fallback>
    </mc:AlternateContent>
    <mc:AlternateContent xmlns:mc="http://schemas.openxmlformats.org/markup-compatibility/2006">
      <mc:Choice Requires="x14">
        <oleObject progId="Equation.3" shapeId="1054" r:id="rId49">
          <objectPr defaultSize="0" autoPict="0" r:id="rId30">
            <anchor moveWithCells="1" sizeWithCells="1">
              <from>
                <xdr:col>5</xdr:col>
                <xdr:colOff>647700</xdr:colOff>
                <xdr:row>75</xdr:row>
                <xdr:rowOff>100013</xdr:rowOff>
              </from>
              <to>
                <xdr:col>6</xdr:col>
                <xdr:colOff>557213</xdr:colOff>
                <xdr:row>77</xdr:row>
                <xdr:rowOff>90488</xdr:rowOff>
              </to>
            </anchor>
          </objectPr>
        </oleObject>
      </mc:Choice>
      <mc:Fallback>
        <oleObject progId="Equation.3" shapeId="1054" r:id="rId49"/>
      </mc:Fallback>
    </mc:AlternateContent>
    <mc:AlternateContent xmlns:mc="http://schemas.openxmlformats.org/markup-compatibility/2006">
      <mc:Choice Requires="x14">
        <oleObject progId="Equation.3" shapeId="1056" r:id="rId50">
          <objectPr defaultSize="0" autoPict="0" r:id="rId51">
            <anchor moveWithCells="1" sizeWithCells="1">
              <from>
                <xdr:col>3</xdr:col>
                <xdr:colOff>471488</xdr:colOff>
                <xdr:row>89</xdr:row>
                <xdr:rowOff>100013</xdr:rowOff>
              </from>
              <to>
                <xdr:col>4</xdr:col>
                <xdr:colOff>519113</xdr:colOff>
                <xdr:row>91</xdr:row>
                <xdr:rowOff>90488</xdr:rowOff>
              </to>
            </anchor>
          </objectPr>
        </oleObject>
      </mc:Choice>
      <mc:Fallback>
        <oleObject progId="Equation.3" shapeId="1056" r:id="rId50"/>
      </mc:Fallback>
    </mc:AlternateContent>
    <mc:AlternateContent xmlns:mc="http://schemas.openxmlformats.org/markup-compatibility/2006">
      <mc:Choice Requires="x14">
        <oleObject progId="Equation.3" shapeId="1057" r:id="rId52">
          <objectPr defaultSize="0" autoPict="0" r:id="rId53">
            <anchor moveWithCells="1" sizeWithCells="1">
              <from>
                <xdr:col>3</xdr:col>
                <xdr:colOff>214313</xdr:colOff>
                <xdr:row>77</xdr:row>
                <xdr:rowOff>90488</xdr:rowOff>
              </from>
              <to>
                <xdr:col>4</xdr:col>
                <xdr:colOff>595313</xdr:colOff>
                <xdr:row>79</xdr:row>
                <xdr:rowOff>114300</xdr:rowOff>
              </to>
            </anchor>
          </objectPr>
        </oleObject>
      </mc:Choice>
      <mc:Fallback>
        <oleObject progId="Equation.3" shapeId="1057" r:id="rId52"/>
      </mc:Fallback>
    </mc:AlternateContent>
    <mc:AlternateContent xmlns:mc="http://schemas.openxmlformats.org/markup-compatibility/2006">
      <mc:Choice Requires="x14">
        <oleObject progId="Equation.3" shapeId="1060" r:id="rId54">
          <objectPr defaultSize="0" autoPict="0" r:id="rId55">
            <anchor moveWithCells="1" sizeWithCells="1">
              <from>
                <xdr:col>2</xdr:col>
                <xdr:colOff>509588</xdr:colOff>
                <xdr:row>83</xdr:row>
                <xdr:rowOff>61913</xdr:rowOff>
              </from>
              <to>
                <xdr:col>5</xdr:col>
                <xdr:colOff>266700</xdr:colOff>
                <xdr:row>85</xdr:row>
                <xdr:rowOff>114300</xdr:rowOff>
              </to>
            </anchor>
          </objectPr>
        </oleObject>
      </mc:Choice>
      <mc:Fallback>
        <oleObject progId="Equation.3" shapeId="1060" r:id="rId54"/>
      </mc:Fallback>
    </mc:AlternateContent>
    <mc:AlternateContent xmlns:mc="http://schemas.openxmlformats.org/markup-compatibility/2006">
      <mc:Choice Requires="x14">
        <oleObject progId="Equation.3" shapeId="1066" r:id="rId56">
          <objectPr defaultSize="0" autoPict="0" r:id="rId57">
            <anchor moveWithCells="1" sizeWithCells="1">
              <from>
                <xdr:col>2</xdr:col>
                <xdr:colOff>357188</xdr:colOff>
                <xdr:row>113</xdr:row>
                <xdr:rowOff>114300</xdr:rowOff>
              </from>
              <to>
                <xdr:col>4</xdr:col>
                <xdr:colOff>266700</xdr:colOff>
                <xdr:row>115</xdr:row>
                <xdr:rowOff>128588</xdr:rowOff>
              </to>
            </anchor>
          </objectPr>
        </oleObject>
      </mc:Choice>
      <mc:Fallback>
        <oleObject progId="Equation.3" shapeId="1066" r:id="rId56"/>
      </mc:Fallback>
    </mc:AlternateContent>
    <mc:AlternateContent xmlns:mc="http://schemas.openxmlformats.org/markup-compatibility/2006">
      <mc:Choice Requires="x14">
        <oleObject progId="Equation.3" shapeId="1067" r:id="rId58">
          <objectPr defaultSize="0" autoPict="0" r:id="rId59">
            <anchor moveWithCells="1" sizeWithCells="1">
              <from>
                <xdr:col>4</xdr:col>
                <xdr:colOff>471488</xdr:colOff>
                <xdr:row>113</xdr:row>
                <xdr:rowOff>100013</xdr:rowOff>
              </from>
              <to>
                <xdr:col>6</xdr:col>
                <xdr:colOff>128588</xdr:colOff>
                <xdr:row>115</xdr:row>
                <xdr:rowOff>90488</xdr:rowOff>
              </to>
            </anchor>
          </objectPr>
        </oleObject>
      </mc:Choice>
      <mc:Fallback>
        <oleObject progId="Equation.3" shapeId="1067" r:id="rId58"/>
      </mc:Fallback>
    </mc:AlternateContent>
    <mc:AlternateContent xmlns:mc="http://schemas.openxmlformats.org/markup-compatibility/2006">
      <mc:Choice Requires="x14">
        <oleObject progId="Equation.3" shapeId="1068" r:id="rId60">
          <objectPr defaultSize="0" autoPict="0" r:id="rId61">
            <anchor moveWithCells="1" sizeWithCells="1">
              <from>
                <xdr:col>4</xdr:col>
                <xdr:colOff>152400</xdr:colOff>
                <xdr:row>123</xdr:row>
                <xdr:rowOff>61913</xdr:rowOff>
              </from>
              <to>
                <xdr:col>5</xdr:col>
                <xdr:colOff>38100</xdr:colOff>
                <xdr:row>125</xdr:row>
                <xdr:rowOff>128588</xdr:rowOff>
              </to>
            </anchor>
          </objectPr>
        </oleObject>
      </mc:Choice>
      <mc:Fallback>
        <oleObject progId="Equation.3" shapeId="1068" r:id="rId60"/>
      </mc:Fallback>
    </mc:AlternateContent>
    <mc:AlternateContent xmlns:mc="http://schemas.openxmlformats.org/markup-compatibility/2006">
      <mc:Choice Requires="x14">
        <oleObject progId="Equation.3" shapeId="1069" r:id="rId62">
          <objectPr defaultSize="0" autoPict="0" r:id="rId63">
            <anchor moveWithCells="1" sizeWithCells="1">
              <from>
                <xdr:col>4</xdr:col>
                <xdr:colOff>14288</xdr:colOff>
                <xdr:row>127</xdr:row>
                <xdr:rowOff>52388</xdr:rowOff>
              </from>
              <to>
                <xdr:col>5</xdr:col>
                <xdr:colOff>90488</xdr:colOff>
                <xdr:row>129</xdr:row>
                <xdr:rowOff>128588</xdr:rowOff>
              </to>
            </anchor>
          </objectPr>
        </oleObject>
      </mc:Choice>
      <mc:Fallback>
        <oleObject progId="Equation.3" shapeId="1069" r:id="rId62"/>
      </mc:Fallback>
    </mc:AlternateContent>
    <mc:AlternateContent xmlns:mc="http://schemas.openxmlformats.org/markup-compatibility/2006">
      <mc:Choice Requires="x14">
        <oleObject progId="Equation.3" shapeId="1070" r:id="rId64">
          <objectPr defaultSize="0" autoPict="0" r:id="rId65">
            <anchor moveWithCells="1" sizeWithCells="1">
              <from>
                <xdr:col>2</xdr:col>
                <xdr:colOff>433388</xdr:colOff>
                <xdr:row>132</xdr:row>
                <xdr:rowOff>14288</xdr:rowOff>
              </from>
              <to>
                <xdr:col>5</xdr:col>
                <xdr:colOff>319088</xdr:colOff>
                <xdr:row>135</xdr:row>
                <xdr:rowOff>14288</xdr:rowOff>
              </to>
            </anchor>
          </objectPr>
        </oleObject>
      </mc:Choice>
      <mc:Fallback>
        <oleObject progId="Equation.3" shapeId="1070" r:id="rId64"/>
      </mc:Fallback>
    </mc:AlternateContent>
    <mc:AlternateContent xmlns:mc="http://schemas.openxmlformats.org/markup-compatibility/2006">
      <mc:Choice Requires="x14">
        <oleObject progId="Equation.3" shapeId="1071" r:id="rId66">
          <objectPr defaultSize="0" autoPict="0" r:id="rId67">
            <anchor moveWithCells="1" sizeWithCells="1">
              <from>
                <xdr:col>2</xdr:col>
                <xdr:colOff>61913</xdr:colOff>
                <xdr:row>108</xdr:row>
                <xdr:rowOff>90488</xdr:rowOff>
              </from>
              <to>
                <xdr:col>5</xdr:col>
                <xdr:colOff>90488</xdr:colOff>
                <xdr:row>110</xdr:row>
                <xdr:rowOff>138113</xdr:rowOff>
              </to>
            </anchor>
          </objectPr>
        </oleObject>
      </mc:Choice>
      <mc:Fallback>
        <oleObject progId="Equation.3" shapeId="1071" r:id="rId66"/>
      </mc:Fallback>
    </mc:AlternateContent>
    <mc:AlternateContent xmlns:mc="http://schemas.openxmlformats.org/markup-compatibility/2006">
      <mc:Choice Requires="x14">
        <oleObject progId="Equation.3" shapeId="1072" r:id="rId68">
          <objectPr defaultSize="0" autoPict="0" r:id="rId69">
            <anchor moveWithCells="1" sizeWithCells="1">
              <from>
                <xdr:col>2</xdr:col>
                <xdr:colOff>381000</xdr:colOff>
                <xdr:row>101</xdr:row>
                <xdr:rowOff>52388</xdr:rowOff>
              </from>
              <to>
                <xdr:col>4</xdr:col>
                <xdr:colOff>138113</xdr:colOff>
                <xdr:row>103</xdr:row>
                <xdr:rowOff>128588</xdr:rowOff>
              </to>
            </anchor>
          </objectPr>
        </oleObject>
      </mc:Choice>
      <mc:Fallback>
        <oleObject progId="Equation.3" shapeId="1072" r:id="rId68"/>
      </mc:Fallback>
    </mc:AlternateContent>
    <mc:AlternateContent xmlns:mc="http://schemas.openxmlformats.org/markup-compatibility/2006">
      <mc:Choice Requires="x14">
        <oleObject progId="Equation.3" shapeId="1073" r:id="rId70">
          <objectPr defaultSize="0" autoPict="0" r:id="rId71">
            <anchor moveWithCells="1" sizeWithCells="1">
              <from>
                <xdr:col>5</xdr:col>
                <xdr:colOff>242888</xdr:colOff>
                <xdr:row>108</xdr:row>
                <xdr:rowOff>52388</xdr:rowOff>
              </from>
              <to>
                <xdr:col>6</xdr:col>
                <xdr:colOff>623888</xdr:colOff>
                <xdr:row>110</xdr:row>
                <xdr:rowOff>114300</xdr:rowOff>
              </to>
            </anchor>
          </objectPr>
        </oleObject>
      </mc:Choice>
      <mc:Fallback>
        <oleObject progId="Equation.3" shapeId="1073" r:id="rId70"/>
      </mc:Fallback>
    </mc:AlternateContent>
    <mc:AlternateContent xmlns:mc="http://schemas.openxmlformats.org/markup-compatibility/2006">
      <mc:Choice Requires="x14">
        <oleObject progId="Equation.3" shapeId="1074" r:id="rId72">
          <objectPr defaultSize="0" autoPict="0" r:id="rId73">
            <anchor moveWithCells="1" sizeWithCells="1">
              <from>
                <xdr:col>4</xdr:col>
                <xdr:colOff>509588</xdr:colOff>
                <xdr:row>101</xdr:row>
                <xdr:rowOff>61913</xdr:rowOff>
              </from>
              <to>
                <xdr:col>6</xdr:col>
                <xdr:colOff>252413</xdr:colOff>
                <xdr:row>103</xdr:row>
                <xdr:rowOff>128588</xdr:rowOff>
              </to>
            </anchor>
          </objectPr>
        </oleObject>
      </mc:Choice>
      <mc:Fallback>
        <oleObject progId="Equation.3" shapeId="1074" r:id="rId72"/>
      </mc:Fallback>
    </mc:AlternateContent>
    <mc:AlternateContent xmlns:mc="http://schemas.openxmlformats.org/markup-compatibility/2006">
      <mc:Choice Requires="x14">
        <oleObject progId="Equation.3" shapeId="1075" r:id="rId74">
          <objectPr defaultSize="0" autoPict="0" r:id="rId75">
            <anchor moveWithCells="1" sizeWithCells="1">
              <from>
                <xdr:col>4</xdr:col>
                <xdr:colOff>23813</xdr:colOff>
                <xdr:row>140</xdr:row>
                <xdr:rowOff>14288</xdr:rowOff>
              </from>
              <to>
                <xdr:col>5</xdr:col>
                <xdr:colOff>76200</xdr:colOff>
                <xdr:row>141</xdr:row>
                <xdr:rowOff>23813</xdr:rowOff>
              </to>
            </anchor>
          </objectPr>
        </oleObject>
      </mc:Choice>
      <mc:Fallback>
        <oleObject progId="Equation.3" shapeId="1075" r:id="rId74"/>
      </mc:Fallback>
    </mc:AlternateContent>
    <mc:AlternateContent xmlns:mc="http://schemas.openxmlformats.org/markup-compatibility/2006">
      <mc:Choice Requires="x14">
        <oleObject progId="Equation.3" shapeId="1076" r:id="rId76">
          <objectPr defaultSize="0" autoPict="0" r:id="rId77">
            <anchor moveWithCells="1" sizeWithCells="1">
              <from>
                <xdr:col>3</xdr:col>
                <xdr:colOff>395288</xdr:colOff>
                <xdr:row>143</xdr:row>
                <xdr:rowOff>52388</xdr:rowOff>
              </from>
              <to>
                <xdr:col>5</xdr:col>
                <xdr:colOff>242888</xdr:colOff>
                <xdr:row>145</xdr:row>
                <xdr:rowOff>128588</xdr:rowOff>
              </to>
            </anchor>
          </objectPr>
        </oleObject>
      </mc:Choice>
      <mc:Fallback>
        <oleObject progId="Equation.3" shapeId="1076" r:id="rId76"/>
      </mc:Fallback>
    </mc:AlternateContent>
    <mc:AlternateContent xmlns:mc="http://schemas.openxmlformats.org/markup-compatibility/2006">
      <mc:Choice Requires="x14">
        <oleObject progId="Equation.3" shapeId="1077" r:id="rId78">
          <objectPr defaultSize="0" autoPict="0" r:id="rId79">
            <anchor moveWithCells="1" sizeWithCells="1">
              <from>
                <xdr:col>3</xdr:col>
                <xdr:colOff>328613</xdr:colOff>
                <xdr:row>150</xdr:row>
                <xdr:rowOff>61913</xdr:rowOff>
              </from>
              <to>
                <xdr:col>4</xdr:col>
                <xdr:colOff>633413</xdr:colOff>
                <xdr:row>152</xdr:row>
                <xdr:rowOff>128588</xdr:rowOff>
              </to>
            </anchor>
          </objectPr>
        </oleObject>
      </mc:Choice>
      <mc:Fallback>
        <oleObject progId="Equation.3" shapeId="1077" r:id="rId78"/>
      </mc:Fallback>
    </mc:AlternateContent>
    <mc:AlternateContent xmlns:mc="http://schemas.openxmlformats.org/markup-compatibility/2006">
      <mc:Choice Requires="x14">
        <oleObject progId="Equation.3" shapeId="1078" r:id="rId80">
          <objectPr defaultSize="0" autoPict="0" r:id="rId81">
            <anchor moveWithCells="1" sizeWithCells="1">
              <from>
                <xdr:col>3</xdr:col>
                <xdr:colOff>304800</xdr:colOff>
                <xdr:row>155</xdr:row>
                <xdr:rowOff>0</xdr:rowOff>
              </from>
              <to>
                <xdr:col>4</xdr:col>
                <xdr:colOff>585788</xdr:colOff>
                <xdr:row>156</xdr:row>
                <xdr:rowOff>14288</xdr:rowOff>
              </to>
            </anchor>
          </objectPr>
        </oleObject>
      </mc:Choice>
      <mc:Fallback>
        <oleObject progId="Equation.3" shapeId="1078" r:id="rId80"/>
      </mc:Fallback>
    </mc:AlternateContent>
    <mc:AlternateContent xmlns:mc="http://schemas.openxmlformats.org/markup-compatibility/2006">
      <mc:Choice Requires="x14">
        <oleObject progId="Equation.3" shapeId="1079" r:id="rId82">
          <objectPr defaultSize="0" autoPict="0" r:id="rId83">
            <anchor moveWithCells="1" sizeWithCells="1">
              <from>
                <xdr:col>3</xdr:col>
                <xdr:colOff>176213</xdr:colOff>
                <xdr:row>158</xdr:row>
                <xdr:rowOff>90488</xdr:rowOff>
              </from>
              <to>
                <xdr:col>4</xdr:col>
                <xdr:colOff>623888</xdr:colOff>
                <xdr:row>160</xdr:row>
                <xdr:rowOff>114300</xdr:rowOff>
              </to>
            </anchor>
          </objectPr>
        </oleObject>
      </mc:Choice>
      <mc:Fallback>
        <oleObject progId="Equation.3" shapeId="1079" r:id="rId82"/>
      </mc:Fallback>
    </mc:AlternateContent>
    <mc:AlternateContent xmlns:mc="http://schemas.openxmlformats.org/markup-compatibility/2006">
      <mc:Choice Requires="x14">
        <oleObject progId="Equation.3" shapeId="1080" r:id="rId84">
          <objectPr defaultSize="0" autoPict="0" r:id="rId85">
            <anchor moveWithCells="1" sizeWithCells="1">
              <from>
                <xdr:col>3</xdr:col>
                <xdr:colOff>38100</xdr:colOff>
                <xdr:row>163</xdr:row>
                <xdr:rowOff>90488</xdr:rowOff>
              </from>
              <to>
                <xdr:col>5</xdr:col>
                <xdr:colOff>38100</xdr:colOff>
                <xdr:row>165</xdr:row>
                <xdr:rowOff>114300</xdr:rowOff>
              </to>
            </anchor>
          </objectPr>
        </oleObject>
      </mc:Choice>
      <mc:Fallback>
        <oleObject progId="Equation.3" shapeId="1080" r:id="rId8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R72"/>
  <sheetViews>
    <sheetView tabSelected="1" topLeftCell="B36" zoomScale="125" workbookViewId="0">
      <selection activeCell="F46" sqref="F46"/>
    </sheetView>
  </sheetViews>
  <sheetFormatPr defaultColWidth="9.1328125" defaultRowHeight="15" x14ac:dyDescent="0.4"/>
  <cols>
    <col min="1" max="1" width="11" style="23" bestFit="1" customWidth="1"/>
    <col min="2" max="2" width="9.1328125" style="14"/>
    <col min="3" max="3" width="11" style="25" customWidth="1"/>
    <col min="4" max="4" width="9.1328125" style="25"/>
    <col min="5" max="5" width="11.1328125" style="25" bestFit="1" customWidth="1"/>
    <col min="6" max="19" width="9.1328125" style="25"/>
    <col min="20" max="20" width="9" style="25" customWidth="1"/>
    <col min="21" max="21" width="9.1328125" style="25"/>
    <col min="22" max="22" width="9.796875" style="25" bestFit="1" customWidth="1"/>
    <col min="23" max="16384" width="9.1328125" style="25"/>
  </cols>
  <sheetData>
    <row r="1" spans="1:12" x14ac:dyDescent="0.4">
      <c r="B1" s="13" t="s">
        <v>176</v>
      </c>
      <c r="C1" s="7"/>
      <c r="D1" s="7"/>
      <c r="E1" s="7"/>
      <c r="F1" s="7"/>
      <c r="G1" s="8"/>
      <c r="H1" s="7"/>
      <c r="I1" s="7"/>
      <c r="J1" s="7"/>
      <c r="K1" s="7"/>
      <c r="L1" s="7"/>
    </row>
    <row r="2" spans="1:12" x14ac:dyDescent="0.4">
      <c r="B2" s="13" t="s">
        <v>177</v>
      </c>
      <c r="C2" s="7"/>
      <c r="D2" s="7"/>
      <c r="E2" s="7"/>
      <c r="F2" s="7"/>
      <c r="G2" s="8"/>
      <c r="H2" s="7"/>
      <c r="I2" s="7"/>
      <c r="J2" s="7"/>
      <c r="K2" s="7"/>
      <c r="L2" s="7"/>
    </row>
    <row r="3" spans="1:12" x14ac:dyDescent="0.4">
      <c r="B3" s="13" t="s">
        <v>178</v>
      </c>
      <c r="C3" s="7"/>
      <c r="D3" s="7"/>
      <c r="E3" s="7"/>
      <c r="F3" s="7"/>
      <c r="G3" s="8"/>
      <c r="H3" s="7"/>
      <c r="I3" s="7"/>
      <c r="J3" s="7"/>
      <c r="K3" s="7"/>
      <c r="L3" s="7"/>
    </row>
    <row r="4" spans="1:12" x14ac:dyDescent="0.4">
      <c r="B4" s="7"/>
      <c r="C4" s="7"/>
      <c r="D4" s="7"/>
      <c r="E4" s="7"/>
      <c r="F4" s="7"/>
      <c r="G4" s="8"/>
      <c r="H4" s="7"/>
      <c r="I4" s="7"/>
      <c r="J4" s="7"/>
      <c r="K4" s="7"/>
      <c r="L4" s="7"/>
    </row>
    <row r="5" spans="1:12" ht="16.899999999999999" x14ac:dyDescent="0.4">
      <c r="B5" s="7" t="s">
        <v>179</v>
      </c>
      <c r="C5" s="9">
        <v>47</v>
      </c>
      <c r="D5" s="7" t="s">
        <v>180</v>
      </c>
      <c r="E5" s="10">
        <f>C5/1000</f>
        <v>4.7E-2</v>
      </c>
      <c r="F5" s="7" t="s">
        <v>181</v>
      </c>
      <c r="G5" s="8" t="s">
        <v>182</v>
      </c>
      <c r="H5" s="7"/>
      <c r="I5" s="7"/>
      <c r="J5" s="7"/>
      <c r="K5" s="7"/>
      <c r="L5" s="7"/>
    </row>
    <row r="6" spans="1:12" x14ac:dyDescent="0.4">
      <c r="B6" s="7" t="s">
        <v>183</v>
      </c>
      <c r="C6" s="9">
        <v>60</v>
      </c>
      <c r="D6" s="7" t="s">
        <v>184</v>
      </c>
      <c r="E6" s="10">
        <f>C6/100</f>
        <v>0.6</v>
      </c>
      <c r="F6" s="7" t="s">
        <v>185</v>
      </c>
      <c r="G6" s="8" t="s">
        <v>186</v>
      </c>
      <c r="H6" s="7"/>
      <c r="I6" s="7"/>
      <c r="J6" s="7"/>
      <c r="K6" s="7"/>
      <c r="L6" s="7"/>
    </row>
    <row r="7" spans="1:12" x14ac:dyDescent="0.4">
      <c r="A7" s="24"/>
      <c r="B7" s="7" t="s">
        <v>187</v>
      </c>
      <c r="C7" s="9">
        <v>9</v>
      </c>
      <c r="D7" s="7" t="s">
        <v>184</v>
      </c>
      <c r="E7" s="10">
        <f>C7/100</f>
        <v>0.09</v>
      </c>
      <c r="F7" s="7" t="s">
        <v>185</v>
      </c>
      <c r="G7" s="8" t="s">
        <v>188</v>
      </c>
      <c r="H7" s="7"/>
      <c r="I7" s="7"/>
      <c r="J7" s="7"/>
      <c r="K7" s="7"/>
      <c r="L7" s="7"/>
    </row>
    <row r="8" spans="1:12" x14ac:dyDescent="0.4">
      <c r="B8" s="7" t="s">
        <v>41</v>
      </c>
      <c r="C8" s="9">
        <v>2E-3</v>
      </c>
      <c r="D8" s="7" t="s">
        <v>42</v>
      </c>
      <c r="E8" s="7"/>
      <c r="F8" s="7"/>
      <c r="G8" s="8" t="s">
        <v>43</v>
      </c>
      <c r="H8" s="7"/>
      <c r="I8" s="7"/>
      <c r="J8" s="7"/>
      <c r="K8" s="7"/>
      <c r="L8" s="7"/>
    </row>
    <row r="9" spans="1:12" ht="18" x14ac:dyDescent="0.6">
      <c r="B9" s="7" t="s">
        <v>44</v>
      </c>
      <c r="C9" s="9">
        <v>0.78</v>
      </c>
      <c r="D9" s="7" t="s">
        <v>45</v>
      </c>
      <c r="E9" s="10">
        <f>C9/1000</f>
        <v>7.7999999999999999E-4</v>
      </c>
      <c r="F9" s="7" t="s">
        <v>185</v>
      </c>
      <c r="G9" s="8" t="s">
        <v>46</v>
      </c>
      <c r="H9" s="7"/>
      <c r="I9" s="7"/>
      <c r="J9" s="7"/>
      <c r="K9" s="7"/>
      <c r="L9" s="7"/>
    </row>
    <row r="10" spans="1:12" ht="18" x14ac:dyDescent="0.6">
      <c r="B10" s="7" t="s">
        <v>47</v>
      </c>
      <c r="C10" s="9">
        <v>0.78</v>
      </c>
      <c r="D10" s="7" t="s">
        <v>45</v>
      </c>
      <c r="E10" s="10">
        <f>C10/1000</f>
        <v>7.7999999999999999E-4</v>
      </c>
      <c r="F10" s="7" t="s">
        <v>185</v>
      </c>
      <c r="G10" s="8" t="s">
        <v>48</v>
      </c>
      <c r="H10" s="7"/>
      <c r="I10" s="7"/>
      <c r="J10" s="7"/>
      <c r="K10" s="7"/>
      <c r="L10" s="7"/>
    </row>
    <row r="11" spans="1:12" ht="16.899999999999999" x14ac:dyDescent="0.4">
      <c r="B11" s="16" t="s">
        <v>49</v>
      </c>
      <c r="C11" s="9">
        <v>1000</v>
      </c>
      <c r="D11" s="7" t="s">
        <v>50</v>
      </c>
      <c r="E11" s="7"/>
      <c r="F11" s="7"/>
      <c r="G11" s="8" t="s">
        <v>51</v>
      </c>
      <c r="H11" s="7"/>
      <c r="I11" s="7"/>
      <c r="J11" s="7"/>
      <c r="K11" s="7"/>
      <c r="L11" s="7"/>
    </row>
    <row r="12" spans="1:12" ht="18.399999999999999" x14ac:dyDescent="0.6">
      <c r="B12" s="16" t="s">
        <v>52</v>
      </c>
      <c r="C12" s="9">
        <v>2650</v>
      </c>
      <c r="D12" s="7" t="s">
        <v>50</v>
      </c>
      <c r="E12" s="7"/>
      <c r="F12" s="7"/>
      <c r="G12" s="8" t="s">
        <v>53</v>
      </c>
      <c r="H12" s="7"/>
      <c r="I12" s="7"/>
      <c r="J12" s="7"/>
      <c r="K12" s="7"/>
      <c r="L12" s="7"/>
    </row>
    <row r="13" spans="1:12" ht="16.899999999999999" x14ac:dyDescent="0.4">
      <c r="B13" s="7" t="s">
        <v>54</v>
      </c>
      <c r="C13" s="9">
        <v>9.81</v>
      </c>
      <c r="D13" s="7" t="s">
        <v>55</v>
      </c>
      <c r="E13" s="7"/>
      <c r="F13" s="7"/>
      <c r="G13" s="8" t="s">
        <v>56</v>
      </c>
      <c r="H13" s="7"/>
      <c r="I13" s="7"/>
      <c r="J13" s="7"/>
      <c r="K13" s="7"/>
      <c r="L13" s="7"/>
    </row>
    <row r="14" spans="1:12" ht="16.899999999999999" x14ac:dyDescent="0.4">
      <c r="B14" s="16" t="s">
        <v>57</v>
      </c>
      <c r="C14" s="9">
        <v>9.9999999999999995E-7</v>
      </c>
      <c r="D14" s="7" t="s">
        <v>58</v>
      </c>
      <c r="E14" s="7"/>
      <c r="F14" s="7"/>
      <c r="G14" s="8" t="s">
        <v>59</v>
      </c>
      <c r="H14" s="7"/>
      <c r="I14" s="7"/>
      <c r="J14" s="7"/>
      <c r="K14" s="7"/>
      <c r="L14" s="7"/>
    </row>
    <row r="15" spans="1:12" x14ac:dyDescent="0.4">
      <c r="B15" s="7"/>
      <c r="C15" s="7"/>
      <c r="D15" s="7"/>
      <c r="E15" s="7"/>
      <c r="F15" s="7"/>
      <c r="G15" s="8"/>
      <c r="H15" s="7"/>
      <c r="I15" s="7"/>
      <c r="J15" s="7"/>
      <c r="K15" s="7"/>
      <c r="L15" s="7"/>
    </row>
    <row r="16" spans="1:12" x14ac:dyDescent="0.4">
      <c r="B16" s="7" t="s">
        <v>60</v>
      </c>
      <c r="C16" s="11">
        <f>E5/E6/E7</f>
        <v>0.87037037037037046</v>
      </c>
      <c r="D16" s="7" t="s">
        <v>61</v>
      </c>
      <c r="E16" s="7"/>
      <c r="F16" s="7"/>
      <c r="G16" s="8" t="s">
        <v>62</v>
      </c>
      <c r="H16" s="7"/>
      <c r="I16" s="7"/>
      <c r="J16" s="7"/>
      <c r="K16" s="7"/>
      <c r="L16" s="7"/>
    </row>
    <row r="17" spans="1:70" x14ac:dyDescent="0.4">
      <c r="B17" s="7" t="s">
        <v>63</v>
      </c>
      <c r="C17" s="12">
        <f>C16/((C13*E7)^0.5)</f>
        <v>0.92629290957601074</v>
      </c>
      <c r="D17" s="7"/>
      <c r="E17" s="7"/>
      <c r="F17" s="7"/>
      <c r="G17" s="8" t="s">
        <v>64</v>
      </c>
      <c r="H17" s="7"/>
      <c r="I17" s="7"/>
      <c r="J17" s="7"/>
      <c r="K17" s="7"/>
      <c r="L17" s="7"/>
    </row>
    <row r="18" spans="1:70" x14ac:dyDescent="0.4">
      <c r="B18" s="21" t="s">
        <v>143</v>
      </c>
      <c r="C18" s="12">
        <f>C11*C13*C8*E7</f>
        <v>1.7658</v>
      </c>
      <c r="D18" s="25" t="s">
        <v>137</v>
      </c>
      <c r="G18" s="8" t="s">
        <v>144</v>
      </c>
      <c r="H18" s="7"/>
      <c r="I18" s="7"/>
      <c r="J18" s="7"/>
      <c r="K18" s="7"/>
      <c r="L18" s="7"/>
    </row>
    <row r="19" spans="1:70" ht="18" x14ac:dyDescent="0.6">
      <c r="B19" s="21" t="s">
        <v>146</v>
      </c>
      <c r="C19" s="12">
        <f>C18/(C12-C11)/C13/E9</f>
        <v>0.13986013986013987</v>
      </c>
      <c r="G19" s="8" t="s">
        <v>147</v>
      </c>
      <c r="H19" s="7"/>
      <c r="I19" s="7"/>
      <c r="J19" s="7"/>
      <c r="K19" s="7"/>
      <c r="L19" s="7"/>
    </row>
    <row r="20" spans="1:70" x14ac:dyDescent="0.4">
      <c r="B20" s="7" t="s">
        <v>49</v>
      </c>
      <c r="C20" s="12">
        <f>C6*C7/(C6+2*C7)</f>
        <v>6.9230769230769234</v>
      </c>
      <c r="D20" s="14" t="s">
        <v>184</v>
      </c>
      <c r="E20" s="10">
        <f>C20/100</f>
        <v>6.9230769230769235E-2</v>
      </c>
      <c r="F20" s="14" t="s">
        <v>185</v>
      </c>
      <c r="G20" s="25" t="s">
        <v>65</v>
      </c>
    </row>
    <row r="21" spans="1:70" ht="18" x14ac:dyDescent="0.6">
      <c r="B21" s="7" t="s">
        <v>71</v>
      </c>
      <c r="C21" s="15">
        <f>C8*C13*E20/(C16^2)</f>
        <v>1.7930399414980672E-3</v>
      </c>
      <c r="G21" s="25" t="s">
        <v>66</v>
      </c>
    </row>
    <row r="22" spans="1:70" x14ac:dyDescent="0.4">
      <c r="B22" s="7" t="s">
        <v>67</v>
      </c>
      <c r="C22" s="19">
        <f>E20*C16/C14</f>
        <v>60256.410256410265</v>
      </c>
      <c r="G22" s="25" t="s">
        <v>68</v>
      </c>
    </row>
    <row r="23" spans="1:70" ht="18" x14ac:dyDescent="0.6">
      <c r="B23" s="7" t="s">
        <v>72</v>
      </c>
      <c r="C23" s="19">
        <f>C21/C22</f>
        <v>2.9756833071670048E-8</v>
      </c>
      <c r="G23" s="25" t="s">
        <v>69</v>
      </c>
      <c r="S23" s="13" t="s">
        <v>17</v>
      </c>
    </row>
    <row r="24" spans="1:70" x14ac:dyDescent="0.4">
      <c r="B24" s="7" t="s">
        <v>171</v>
      </c>
      <c r="C24" s="19">
        <f>8*C23</f>
        <v>2.3805466457336038E-7</v>
      </c>
      <c r="G24" s="25" t="s">
        <v>70</v>
      </c>
      <c r="S24" s="25" t="s">
        <v>76</v>
      </c>
      <c r="T24" s="25" t="s">
        <v>77</v>
      </c>
      <c r="U24" s="25" t="s">
        <v>172</v>
      </c>
      <c r="V24" s="25" t="s">
        <v>75</v>
      </c>
      <c r="W24" s="25" t="s">
        <v>173</v>
      </c>
      <c r="X24" s="25" t="s">
        <v>78</v>
      </c>
      <c r="Y24" s="25" t="s">
        <v>79</v>
      </c>
      <c r="Z24" s="25" t="s">
        <v>80</v>
      </c>
      <c r="AA24" s="25" t="s">
        <v>81</v>
      </c>
      <c r="AB24" s="25" t="s">
        <v>82</v>
      </c>
      <c r="AC24" s="25" t="s">
        <v>83</v>
      </c>
      <c r="AD24" s="25" t="s">
        <v>84</v>
      </c>
      <c r="AE24" s="25" t="s">
        <v>85</v>
      </c>
      <c r="AF24" s="25" t="s">
        <v>86</v>
      </c>
      <c r="AG24" s="25" t="s">
        <v>87</v>
      </c>
      <c r="AH24" s="25" t="s">
        <v>88</v>
      </c>
      <c r="AI24" s="25" t="s">
        <v>89</v>
      </c>
      <c r="AJ24" s="25" t="s">
        <v>90</v>
      </c>
      <c r="AK24" s="25" t="s">
        <v>91</v>
      </c>
      <c r="AL24" s="25" t="s">
        <v>92</v>
      </c>
      <c r="AM24" s="25" t="s">
        <v>93</v>
      </c>
      <c r="AN24" s="25" t="s">
        <v>94</v>
      </c>
      <c r="AO24" s="25" t="s">
        <v>95</v>
      </c>
      <c r="AP24" s="25" t="s">
        <v>96</v>
      </c>
      <c r="AQ24" s="25" t="s">
        <v>97</v>
      </c>
      <c r="AR24" s="25" t="s">
        <v>98</v>
      </c>
      <c r="AS24" s="25" t="s">
        <v>99</v>
      </c>
      <c r="AT24" s="25" t="s">
        <v>100</v>
      </c>
      <c r="AU24" s="25" t="s">
        <v>101</v>
      </c>
      <c r="AV24" s="25" t="s">
        <v>102</v>
      </c>
      <c r="AW24" s="25" t="s">
        <v>103</v>
      </c>
      <c r="AX24" s="25" t="s">
        <v>104</v>
      </c>
      <c r="AY24" s="25" t="s">
        <v>105</v>
      </c>
      <c r="AZ24" s="25" t="s">
        <v>106</v>
      </c>
      <c r="BA24" s="25" t="s">
        <v>107</v>
      </c>
      <c r="BB24" s="25" t="s">
        <v>108</v>
      </c>
      <c r="BC24" s="25" t="s">
        <v>109</v>
      </c>
      <c r="BD24" s="25" t="s">
        <v>110</v>
      </c>
      <c r="BE24" s="25" t="s">
        <v>111</v>
      </c>
      <c r="BF24" s="25" t="s">
        <v>112</v>
      </c>
      <c r="BG24" s="25" t="s">
        <v>113</v>
      </c>
      <c r="BH24" s="25" t="s">
        <v>114</v>
      </c>
      <c r="BI24" s="25" t="s">
        <v>115</v>
      </c>
      <c r="BJ24" s="25" t="s">
        <v>116</v>
      </c>
      <c r="BK24" s="25" t="s">
        <v>117</v>
      </c>
      <c r="BL24" s="25" t="s">
        <v>118</v>
      </c>
      <c r="BM24" s="25" t="s">
        <v>119</v>
      </c>
      <c r="BN24" s="25" t="s">
        <v>120</v>
      </c>
      <c r="BO24" s="25" t="s">
        <v>121</v>
      </c>
      <c r="BP24" s="25" t="s">
        <v>122</v>
      </c>
      <c r="BQ24" s="25" t="s">
        <v>123</v>
      </c>
      <c r="BR24" s="25" t="s">
        <v>124</v>
      </c>
    </row>
    <row r="25" spans="1:70" ht="18" x14ac:dyDescent="0.6">
      <c r="B25" s="7" t="s">
        <v>73</v>
      </c>
      <c r="C25" s="15">
        <f>BQ25/8</f>
        <v>1.9013274059599971E-3</v>
      </c>
      <c r="G25" s="25" t="s">
        <v>8</v>
      </c>
      <c r="S25" s="25">
        <f>0.301*(C24^(1/5))</f>
        <v>1.4252853944023649E-2</v>
      </c>
      <c r="T25" s="26">
        <f>S25/$C$24</f>
        <v>59872.189312347633</v>
      </c>
      <c r="U25" s="25">
        <f>(1/(0.86*LN(4*T25*(S25^0.5))-0.8))^2</f>
        <v>1.5530346613278992E-2</v>
      </c>
      <c r="V25" s="26">
        <f>U25/$C$24</f>
        <v>65238.57300218146</v>
      </c>
      <c r="W25" s="25">
        <f>(1/(0.86*LN(4*V25*(U25^0.5))-0.8))^2</f>
        <v>1.5110435754967667E-2</v>
      </c>
      <c r="X25" s="26">
        <f>W25/$C$24</f>
        <v>63474.646808742291</v>
      </c>
      <c r="Y25" s="25">
        <f>(1/(0.86*LN(4*X25*(W25^0.5))-0.8))^2</f>
        <v>1.52426530725953E-2</v>
      </c>
      <c r="Z25" s="26">
        <f>Y25/$C$24</f>
        <v>64030.054189079041</v>
      </c>
      <c r="AA25" s="25">
        <f>(1/(0.86*LN(4*Z25*(Y25^0.5))-0.8))^2</f>
        <v>1.5200442077542977E-2</v>
      </c>
      <c r="AB25" s="26">
        <f>AA25/$C$24</f>
        <v>63852.737793586544</v>
      </c>
      <c r="AC25" s="25">
        <f>(1/(0.86*LN(4*AB25*(AA25^0.5))-0.8))^2</f>
        <v>1.5213859172192349E-2</v>
      </c>
      <c r="AD25" s="26">
        <f>AC25/$C$24</f>
        <v>63909.099195592331</v>
      </c>
      <c r="AE25" s="25">
        <f>(1/(0.86*LN(4*AD25*(AC25^0.5))-0.8))^2</f>
        <v>1.5209588482539482E-2</v>
      </c>
      <c r="AF25" s="26">
        <f>AE25/$C$24</f>
        <v>63891.159241924463</v>
      </c>
      <c r="AG25" s="25">
        <f>(1/(0.86*LN(4*AF25*(AE25^0.5))-0.8))^2</f>
        <v>1.5210947248262508E-2</v>
      </c>
      <c r="AH25" s="26">
        <f>AG25/$C$24</f>
        <v>63896.867030618552</v>
      </c>
      <c r="AI25" s="25">
        <f>(1/(0.86*LN(4*AH25*(AG25^0.5))-0.8))^2</f>
        <v>1.5210514881243942E-2</v>
      </c>
      <c r="AJ25" s="26">
        <f>AI25/$C$24</f>
        <v>63895.050779635436</v>
      </c>
      <c r="AK25" s="25">
        <f>(1/(0.86*LN(4*AJ25*(AI25^0.5))-0.8))^2</f>
        <v>1.5210652456710813E-2</v>
      </c>
      <c r="AL25" s="26">
        <f>AK25/$C$24</f>
        <v>63895.628695078165</v>
      </c>
      <c r="AM25" s="25">
        <f>(1/(0.86*LN(4*AL25*(AK25^0.5))-0.8))^2</f>
        <v>1.5210608680753768E-2</v>
      </c>
      <c r="AN25" s="26">
        <f>AM25/$C$24</f>
        <v>63895.444804722043</v>
      </c>
      <c r="AO25" s="25">
        <f>(1/(0.86*LN(4*AN25*(AM25^0.5))-0.8))^2</f>
        <v>1.5210622610022779E-2</v>
      </c>
      <c r="AP25" s="26">
        <f>AO25/$C$24</f>
        <v>63895.503317622999</v>
      </c>
      <c r="AQ25" s="25">
        <f>(1/(0.86*LN(4*AP25*(AO25^0.5))-0.8))^2</f>
        <v>1.521061817779948E-2</v>
      </c>
      <c r="AR25" s="26">
        <f>AQ25/$C$24</f>
        <v>63895.484699112392</v>
      </c>
      <c r="AS25" s="25">
        <f>(1/(0.86*LN(4*AR25*(AQ25^0.5))-0.8))^2</f>
        <v>1.5210619588109979E-2</v>
      </c>
      <c r="AT25" s="26">
        <f>AS25/$C$24</f>
        <v>63895.490623426042</v>
      </c>
      <c r="AU25" s="25">
        <f>(1/(0.86*LN(4*AT25*(AS25^0.5))-0.8))^2</f>
        <v>1.521061913935642E-2</v>
      </c>
      <c r="AV25" s="26">
        <f t="shared" ref="AV25:BR25" si="0">AU25/$C$24</f>
        <v>63895.48873833986</v>
      </c>
      <c r="AW25" s="25">
        <f>(1/(0.86*LN(4*AV25*(AU25^0.5))-0.8))^2</f>
        <v>1.5210619282147494E-2</v>
      </c>
      <c r="AX25" s="26">
        <f t="shared" si="0"/>
        <v>63895.489338164582</v>
      </c>
      <c r="AY25" s="25">
        <f>(1/(0.86*LN(4*AX25*(AW25^0.5))-0.8))^2</f>
        <v>1.5210619236712108E-2</v>
      </c>
      <c r="AZ25" s="26">
        <f t="shared" si="0"/>
        <v>63895.489147303437</v>
      </c>
      <c r="BA25" s="25">
        <f>(1/(0.86*LN(4*AZ25*(AY25^0.5))-0.8))^2</f>
        <v>1.5210619251169413E-2</v>
      </c>
      <c r="BB25" s="26">
        <f t="shared" si="0"/>
        <v>63895.489208034465</v>
      </c>
      <c r="BC25" s="25">
        <f>(1/(0.86*LN(4*BB25*(BA25^0.5))-0.8))^2</f>
        <v>1.5210619246569171E-2</v>
      </c>
      <c r="BD25" s="26">
        <f t="shared" si="0"/>
        <v>63895.489188710155</v>
      </c>
      <c r="BE25" s="25">
        <f>(1/(0.86*LN(4*BD25*(BC25^0.5))-0.8))^2</f>
        <v>1.5210619248032946E-2</v>
      </c>
      <c r="BF25" s="26">
        <f t="shared" si="0"/>
        <v>63895.489194859059</v>
      </c>
      <c r="BG25" s="25">
        <f>(1/(0.86*LN(4*BF25*(BE25^0.5))-0.8))^2</f>
        <v>1.5210619247567175E-2</v>
      </c>
      <c r="BH25" s="26">
        <f t="shared" si="0"/>
        <v>63895.489192902489</v>
      </c>
      <c r="BI25" s="25">
        <f>(1/(0.86*LN(4*BH25*(BG25^0.5))-0.8))^2</f>
        <v>1.5210619247715386E-2</v>
      </c>
      <c r="BJ25" s="26">
        <f t="shared" si="0"/>
        <v>63895.489193525078</v>
      </c>
      <c r="BK25" s="25">
        <f>(1/(0.86*LN(4*BJ25*(BI25^0.5))-0.8))^2</f>
        <v>1.5210619247668226E-2</v>
      </c>
      <c r="BL25" s="26">
        <f t="shared" si="0"/>
        <v>63895.489193326976</v>
      </c>
      <c r="BM25" s="25">
        <f>(1/(0.86*LN(4*BL25*(BK25^0.5))-0.8))^2</f>
        <v>1.521061924768323E-2</v>
      </c>
      <c r="BN25" s="26">
        <f t="shared" si="0"/>
        <v>63895.48919339</v>
      </c>
      <c r="BO25" s="25">
        <f>(1/(0.86*LN(4*BN25*(BM25^0.5))-0.8))^2</f>
        <v>1.5210619247678457E-2</v>
      </c>
      <c r="BP25" s="26">
        <f t="shared" si="0"/>
        <v>63895.489193369955</v>
      </c>
      <c r="BQ25" s="25">
        <f>(1/(0.86*LN(4*BP25*(BO25^0.5))-0.8))^2</f>
        <v>1.5210619247679977E-2</v>
      </c>
      <c r="BR25" s="26">
        <f t="shared" si="0"/>
        <v>63895.489193376336</v>
      </c>
    </row>
    <row r="26" spans="1:70" ht="18" x14ac:dyDescent="0.6">
      <c r="B26" s="7" t="s">
        <v>74</v>
      </c>
      <c r="C26" s="19">
        <f>BR25</f>
        <v>63895.489193376336</v>
      </c>
      <c r="G26" s="25" t="s">
        <v>9</v>
      </c>
      <c r="S26" s="25" t="s">
        <v>125</v>
      </c>
      <c r="U26" s="26">
        <f>ABS(U25-S25)/U25</f>
        <v>8.2257833715252859E-2</v>
      </c>
      <c r="V26" s="26">
        <f>ABS(V25-T25)/V25</f>
        <v>8.2257833715252859E-2</v>
      </c>
      <c r="W26" s="26">
        <f>ABS(W25-U25)/W25</f>
        <v>2.7789460550353539E-2</v>
      </c>
      <c r="X26" s="26">
        <f>ABS(X25-V25)/X25</f>
        <v>2.7789460550353553E-2</v>
      </c>
      <c r="Y26" s="26">
        <f t="shared" ref="Y26:AV26" si="1">ABS(Y25-W25)/Y25</f>
        <v>8.6741669575453317E-3</v>
      </c>
      <c r="Z26" s="26">
        <f t="shared" si="1"/>
        <v>8.6741669575453872E-3</v>
      </c>
      <c r="AA26" s="26">
        <f t="shared" si="1"/>
        <v>2.7769583829857728E-3</v>
      </c>
      <c r="AB26" s="26">
        <f t="shared" si="1"/>
        <v>2.7769583829858361E-3</v>
      </c>
      <c r="AC26" s="26">
        <f t="shared" si="1"/>
        <v>8.818994902946893E-4</v>
      </c>
      <c r="AD26" s="26">
        <f t="shared" si="1"/>
        <v>8.8189949029470567E-4</v>
      </c>
      <c r="AE26" s="26">
        <f t="shared" si="1"/>
        <v>2.8078929668409199E-4</v>
      </c>
      <c r="AF26" s="26">
        <f t="shared" si="1"/>
        <v>2.8078929668404662E-4</v>
      </c>
      <c r="AG26" s="26">
        <f t="shared" si="1"/>
        <v>8.9328146423081839E-5</v>
      </c>
      <c r="AH26" s="26">
        <f t="shared" si="1"/>
        <v>8.932814642311942E-5</v>
      </c>
      <c r="AI26" s="26">
        <f t="shared" si="1"/>
        <v>2.8425534700314054E-5</v>
      </c>
      <c r="AJ26" s="26">
        <f t="shared" si="1"/>
        <v>2.8425534700337182E-5</v>
      </c>
      <c r="AK26" s="26">
        <f t="shared" si="1"/>
        <v>9.044678869800039E-6</v>
      </c>
      <c r="AL26" s="26">
        <f t="shared" si="1"/>
        <v>9.0446788697714534E-6</v>
      </c>
      <c r="AM26" s="26">
        <f t="shared" si="1"/>
        <v>2.8779885120872597E-6</v>
      </c>
      <c r="AN26" s="26">
        <f t="shared" si="1"/>
        <v>2.8779885120762512E-6</v>
      </c>
      <c r="AO26" s="26">
        <f t="shared" si="1"/>
        <v>9.1575929322032853E-7</v>
      </c>
      <c r="AP26" s="26">
        <f t="shared" si="1"/>
        <v>9.1575929318701568E-7</v>
      </c>
      <c r="AQ26" s="26">
        <f t="shared" si="1"/>
        <v>2.9139008333775979E-7</v>
      </c>
      <c r="AR26" s="26">
        <f t="shared" si="1"/>
        <v>2.9139008326539136E-7</v>
      </c>
      <c r="AS26" s="26">
        <f t="shared" si="1"/>
        <v>9.2718806779892373E-8</v>
      </c>
      <c r="AT26" s="26">
        <f t="shared" si="1"/>
        <v>9.2718806781183305E-8</v>
      </c>
      <c r="AU26" s="26">
        <f t="shared" si="1"/>
        <v>2.9502649070824412E-8</v>
      </c>
      <c r="AV26" s="26">
        <f t="shared" si="1"/>
        <v>2.9502649072663598E-8</v>
      </c>
      <c r="AW26" s="26">
        <f t="shared" ref="AW26:BR26" si="2">ABS(AW25-AU25)/AW25</f>
        <v>9.3875910937587616E-9</v>
      </c>
      <c r="AX26" s="26">
        <f t="shared" si="2"/>
        <v>9.3875910144636945E-9</v>
      </c>
      <c r="AY26" s="26">
        <f>ABS(AY25-AW25)/AY25</f>
        <v>2.9870832770817578E-9</v>
      </c>
      <c r="AZ26" s="26">
        <f t="shared" si="2"/>
        <v>2.9870832409091376E-9</v>
      </c>
      <c r="BA26" s="26">
        <f t="shared" si="2"/>
        <v>9.5047446168893194E-10</v>
      </c>
      <c r="BB26" s="26">
        <f t="shared" si="2"/>
        <v>9.5047442707502092E-10</v>
      </c>
      <c r="BC26" s="26">
        <f t="shared" si="2"/>
        <v>3.0243621168270231E-10</v>
      </c>
      <c r="BD26" s="26">
        <f t="shared" si="2"/>
        <v>3.0243622296850969E-10</v>
      </c>
      <c r="BE26" s="26">
        <f t="shared" si="2"/>
        <v>9.6233773107548576E-11</v>
      </c>
      <c r="BF26" s="26">
        <f t="shared" si="2"/>
        <v>9.6233780839157126E-11</v>
      </c>
      <c r="BG26" s="26">
        <f t="shared" si="2"/>
        <v>3.0621469842576817E-11</v>
      </c>
      <c r="BH26" s="26">
        <f t="shared" si="2"/>
        <v>3.0621418049801654E-11</v>
      </c>
      <c r="BI26" s="26">
        <f t="shared" si="2"/>
        <v>9.7439362544537804E-12</v>
      </c>
      <c r="BJ26" s="26">
        <f t="shared" si="2"/>
        <v>9.7438668830715852E-12</v>
      </c>
      <c r="BK26" s="26">
        <f t="shared" si="2"/>
        <v>3.100478136360891E-12</v>
      </c>
      <c r="BL26" s="26">
        <f t="shared" si="2"/>
        <v>3.1004144496331877E-12</v>
      </c>
      <c r="BM26" s="26">
        <f t="shared" si="2"/>
        <v>9.8639135589490523E-13</v>
      </c>
      <c r="BN26" s="26">
        <f t="shared" si="2"/>
        <v>9.8636610580292296E-13</v>
      </c>
      <c r="BO26" s="26">
        <f t="shared" si="2"/>
        <v>3.1374293213871379E-13</v>
      </c>
      <c r="BP26" s="26">
        <f t="shared" si="2"/>
        <v>3.137195360757221E-13</v>
      </c>
      <c r="BQ26" s="26">
        <f t="shared" si="2"/>
        <v>9.9905055817334001E-14</v>
      </c>
      <c r="BR26" s="26">
        <f t="shared" si="2"/>
        <v>9.9866436710846038E-14</v>
      </c>
    </row>
    <row r="27" spans="1:70" ht="18.399999999999999" x14ac:dyDescent="0.6">
      <c r="B27" s="7" t="s">
        <v>126</v>
      </c>
      <c r="C27" s="20">
        <f>E27*10000</f>
        <v>132.14130956587616</v>
      </c>
      <c r="D27" s="25" t="s">
        <v>128</v>
      </c>
      <c r="E27" s="18">
        <f>C26*2*E7*C14/C16</f>
        <v>1.3214130956587616E-2</v>
      </c>
      <c r="F27" s="25" t="s">
        <v>127</v>
      </c>
      <c r="G27" s="25" t="s">
        <v>131</v>
      </c>
    </row>
    <row r="28" spans="1:70" ht="18.399999999999999" x14ac:dyDescent="0.6">
      <c r="B28" s="7" t="s">
        <v>130</v>
      </c>
      <c r="C28" s="20">
        <f>C6*C7-C27</f>
        <v>407.85869043412384</v>
      </c>
      <c r="D28" s="25" t="s">
        <v>128</v>
      </c>
      <c r="E28" s="18">
        <f>C28/10000</f>
        <v>4.0785869043412387E-2</v>
      </c>
      <c r="F28" s="25" t="s">
        <v>127</v>
      </c>
      <c r="G28" s="25" t="s">
        <v>132</v>
      </c>
    </row>
    <row r="29" spans="1:70" ht="18" x14ac:dyDescent="0.6">
      <c r="B29" s="7" t="s">
        <v>12</v>
      </c>
      <c r="C29" s="20">
        <f>C28/C6</f>
        <v>6.7976448405687311</v>
      </c>
      <c r="D29" s="25" t="s">
        <v>184</v>
      </c>
      <c r="E29" s="18">
        <f>C29/100</f>
        <v>6.7976448405687312E-2</v>
      </c>
      <c r="F29" s="25" t="s">
        <v>185</v>
      </c>
      <c r="G29" s="25" t="s">
        <v>13</v>
      </c>
    </row>
    <row r="30" spans="1:70" ht="18" x14ac:dyDescent="0.6">
      <c r="A30" s="28"/>
      <c r="B30" s="7" t="s">
        <v>134</v>
      </c>
      <c r="C30" s="15">
        <f>(C21*(E6+2*E7)-C25*2*E7)/E6</f>
        <v>1.7605537021594885E-3</v>
      </c>
      <c r="G30" s="25" t="s">
        <v>133</v>
      </c>
    </row>
    <row r="31" spans="1:70" ht="18" x14ac:dyDescent="0.6">
      <c r="B31" s="16" t="s">
        <v>135</v>
      </c>
      <c r="C31" s="12">
        <f>C11*C25*(C16^2)</f>
        <v>1.4403402742680504</v>
      </c>
      <c r="D31" s="25" t="s">
        <v>137</v>
      </c>
      <c r="G31" s="25" t="s">
        <v>138</v>
      </c>
    </row>
    <row r="32" spans="1:70" ht="18" x14ac:dyDescent="0.6">
      <c r="B32" s="16" t="s">
        <v>136</v>
      </c>
      <c r="C32" s="12">
        <f>C11*C30*(C16^2)</f>
        <v>1.3336979177195856</v>
      </c>
      <c r="D32" s="25" t="s">
        <v>137</v>
      </c>
      <c r="G32" s="25" t="s">
        <v>139</v>
      </c>
    </row>
    <row r="33" spans="1:70" x14ac:dyDescent="0.4">
      <c r="B33" s="7" t="s">
        <v>140</v>
      </c>
      <c r="C33" s="12">
        <f>E33*100</f>
        <v>3.6519829103099393</v>
      </c>
      <c r="D33" s="25" t="s">
        <v>141</v>
      </c>
      <c r="E33" s="10">
        <f>(C32/C11)^0.5</f>
        <v>3.6519829103099394E-2</v>
      </c>
      <c r="F33" s="25" t="s">
        <v>61</v>
      </c>
      <c r="G33" s="25" t="s">
        <v>142</v>
      </c>
    </row>
    <row r="34" spans="1:70" ht="18" x14ac:dyDescent="0.6">
      <c r="A34" s="28"/>
      <c r="B34" s="21" t="s">
        <v>145</v>
      </c>
      <c r="C34" s="12">
        <f>C32/(C12-C11)/C13/E9</f>
        <v>0.10563550645794458</v>
      </c>
      <c r="G34" s="8" t="s">
        <v>7</v>
      </c>
    </row>
    <row r="35" spans="1:70" ht="18.399999999999999" x14ac:dyDescent="0.6">
      <c r="B35" s="7" t="s">
        <v>10</v>
      </c>
      <c r="C35" s="20">
        <f>(C13/C30)^0.5</f>
        <v>74.646571460840718</v>
      </c>
      <c r="D35" s="7" t="s">
        <v>14</v>
      </c>
      <c r="G35" s="25" t="s">
        <v>15</v>
      </c>
    </row>
    <row r="36" spans="1:70" x14ac:dyDescent="0.4">
      <c r="B36" s="7" t="s">
        <v>11</v>
      </c>
      <c r="C36" s="12">
        <f>C11*(C16^2)/(C12-C11)/E9/(C35^2)</f>
        <v>0.10563550645794458</v>
      </c>
      <c r="G36" s="8" t="s">
        <v>16</v>
      </c>
    </row>
    <row r="38" spans="1:70" ht="20.65" x14ac:dyDescent="0.7">
      <c r="B38" s="22" t="s">
        <v>18</v>
      </c>
      <c r="E38" s="14"/>
    </row>
    <row r="39" spans="1:70" x14ac:dyDescent="0.4">
      <c r="B39" s="7"/>
    </row>
    <row r="40" spans="1:70" ht="18" x14ac:dyDescent="0.6">
      <c r="B40" s="7" t="s">
        <v>57</v>
      </c>
      <c r="C40" s="9">
        <v>2</v>
      </c>
      <c r="D40" s="7"/>
      <c r="F40" s="7"/>
      <c r="G40" s="8" t="s">
        <v>25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70" ht="18" x14ac:dyDescent="0.6">
      <c r="B41" s="7" t="s">
        <v>19</v>
      </c>
      <c r="C41" s="11">
        <f>E41*100</f>
        <v>13.215286317225527</v>
      </c>
      <c r="D41" s="7" t="s">
        <v>184</v>
      </c>
      <c r="E41" s="17">
        <f>BR44</f>
        <v>0.13215286317225527</v>
      </c>
      <c r="F41" s="7" t="s">
        <v>185</v>
      </c>
      <c r="G41" s="8" t="s">
        <v>5</v>
      </c>
      <c r="H41" s="7"/>
      <c r="I41" s="7"/>
      <c r="J41" s="7"/>
      <c r="K41" s="7"/>
      <c r="L41" s="8"/>
      <c r="S41" s="13" t="s">
        <v>26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spans="1:70" ht="18" x14ac:dyDescent="0.6">
      <c r="B42" s="16" t="s">
        <v>20</v>
      </c>
      <c r="C42" s="11">
        <f>C11*C13*C8*E41</f>
        <v>2.5928391754396487</v>
      </c>
      <c r="D42" s="7" t="s">
        <v>137</v>
      </c>
      <c r="F42" s="7"/>
      <c r="G42" s="8" t="s">
        <v>6</v>
      </c>
      <c r="H42" s="7"/>
      <c r="I42" s="7"/>
      <c r="J42" s="7"/>
      <c r="K42" s="7"/>
      <c r="L42" s="7"/>
      <c r="S42" s="7"/>
      <c r="T42" s="7" t="s">
        <v>185</v>
      </c>
      <c r="U42" s="8"/>
      <c r="V42" s="7" t="s">
        <v>185</v>
      </c>
      <c r="W42" s="8"/>
      <c r="X42" s="7" t="s">
        <v>185</v>
      </c>
      <c r="Y42" s="8"/>
      <c r="Z42" s="7" t="s">
        <v>185</v>
      </c>
      <c r="AA42" s="8"/>
      <c r="AB42" s="7" t="s">
        <v>185</v>
      </c>
      <c r="AC42" s="8"/>
      <c r="AD42" s="7" t="s">
        <v>185</v>
      </c>
      <c r="AE42" s="8"/>
      <c r="AF42" s="7" t="s">
        <v>185</v>
      </c>
      <c r="AG42" s="8"/>
      <c r="AH42" s="7" t="s">
        <v>185</v>
      </c>
      <c r="AI42" s="8"/>
      <c r="AJ42" s="7" t="s">
        <v>185</v>
      </c>
      <c r="AK42" s="8"/>
      <c r="AL42" s="7" t="s">
        <v>185</v>
      </c>
      <c r="AM42" s="8"/>
      <c r="AN42" s="7" t="s">
        <v>185</v>
      </c>
      <c r="AO42" s="8"/>
      <c r="AP42" s="7" t="s">
        <v>185</v>
      </c>
      <c r="AQ42" s="8"/>
      <c r="AR42" s="7" t="s">
        <v>185</v>
      </c>
      <c r="AS42" s="8"/>
      <c r="AT42" s="7" t="s">
        <v>185</v>
      </c>
      <c r="AU42" s="8"/>
      <c r="AV42" s="7" t="s">
        <v>185</v>
      </c>
      <c r="AW42" s="8"/>
      <c r="AX42" s="7" t="s">
        <v>185</v>
      </c>
      <c r="AY42" s="8"/>
      <c r="AZ42" s="7" t="s">
        <v>185</v>
      </c>
      <c r="BA42" s="8"/>
      <c r="BB42" s="7" t="s">
        <v>185</v>
      </c>
      <c r="BC42" s="8"/>
      <c r="BD42" s="7" t="s">
        <v>185</v>
      </c>
      <c r="BE42" s="8"/>
      <c r="BF42" s="7" t="s">
        <v>185</v>
      </c>
      <c r="BG42" s="8"/>
      <c r="BH42" s="7" t="s">
        <v>185</v>
      </c>
      <c r="BI42" s="8"/>
      <c r="BJ42" s="7" t="s">
        <v>185</v>
      </c>
      <c r="BK42" s="8"/>
      <c r="BL42" s="7" t="s">
        <v>185</v>
      </c>
      <c r="BM42" s="8"/>
      <c r="BN42" s="7" t="s">
        <v>185</v>
      </c>
      <c r="BO42" s="8"/>
      <c r="BP42" s="7" t="s">
        <v>185</v>
      </c>
      <c r="BQ42" s="8"/>
      <c r="BR42" s="7" t="s">
        <v>185</v>
      </c>
    </row>
    <row r="43" spans="1:70" ht="18.399999999999999" x14ac:dyDescent="0.6">
      <c r="B43" s="16" t="s">
        <v>21</v>
      </c>
      <c r="C43" s="11">
        <f>C42/(C12-C11)/C13/E9</f>
        <v>0.20536575473543947</v>
      </c>
      <c r="D43" s="7"/>
      <c r="F43" s="7"/>
      <c r="G43" s="8" t="s">
        <v>22</v>
      </c>
      <c r="H43" s="7"/>
      <c r="I43" s="7"/>
      <c r="J43" s="7"/>
      <c r="K43" s="7"/>
      <c r="L43" s="7"/>
      <c r="S43" s="7" t="s">
        <v>23</v>
      </c>
      <c r="T43" s="7" t="s">
        <v>24</v>
      </c>
      <c r="U43" s="8" t="s">
        <v>23</v>
      </c>
      <c r="V43" s="7" t="s">
        <v>24</v>
      </c>
      <c r="W43" s="8" t="s">
        <v>23</v>
      </c>
      <c r="X43" s="7" t="s">
        <v>24</v>
      </c>
      <c r="Y43" s="8" t="s">
        <v>23</v>
      </c>
      <c r="Z43" s="7" t="s">
        <v>24</v>
      </c>
      <c r="AA43" s="8" t="s">
        <v>23</v>
      </c>
      <c r="AB43" s="7" t="s">
        <v>24</v>
      </c>
      <c r="AC43" s="8" t="s">
        <v>23</v>
      </c>
      <c r="AD43" s="7" t="s">
        <v>24</v>
      </c>
      <c r="AE43" s="8" t="s">
        <v>23</v>
      </c>
      <c r="AF43" s="7" t="s">
        <v>24</v>
      </c>
      <c r="AG43" s="8" t="s">
        <v>23</v>
      </c>
      <c r="AH43" s="7" t="s">
        <v>24</v>
      </c>
      <c r="AI43" s="8" t="s">
        <v>23</v>
      </c>
      <c r="AJ43" s="7" t="s">
        <v>24</v>
      </c>
      <c r="AK43" s="8" t="s">
        <v>23</v>
      </c>
      <c r="AL43" s="7" t="s">
        <v>24</v>
      </c>
      <c r="AM43" s="8" t="s">
        <v>23</v>
      </c>
      <c r="AN43" s="7" t="s">
        <v>24</v>
      </c>
      <c r="AO43" s="8" t="s">
        <v>23</v>
      </c>
      <c r="AP43" s="7" t="s">
        <v>24</v>
      </c>
      <c r="AQ43" s="8" t="s">
        <v>23</v>
      </c>
      <c r="AR43" s="7" t="s">
        <v>24</v>
      </c>
      <c r="AS43" s="8" t="s">
        <v>23</v>
      </c>
      <c r="AT43" s="7" t="s">
        <v>24</v>
      </c>
      <c r="AU43" s="8" t="s">
        <v>23</v>
      </c>
      <c r="AV43" s="7" t="s">
        <v>24</v>
      </c>
      <c r="AW43" s="8" t="s">
        <v>23</v>
      </c>
      <c r="AX43" s="7" t="s">
        <v>24</v>
      </c>
      <c r="AY43" s="8" t="s">
        <v>23</v>
      </c>
      <c r="AZ43" s="7" t="s">
        <v>24</v>
      </c>
      <c r="BA43" s="8" t="s">
        <v>23</v>
      </c>
      <c r="BB43" s="7" t="s">
        <v>24</v>
      </c>
      <c r="BC43" s="8" t="s">
        <v>23</v>
      </c>
      <c r="BD43" s="7" t="s">
        <v>24</v>
      </c>
      <c r="BE43" s="8" t="s">
        <v>23</v>
      </c>
      <c r="BF43" s="7" t="s">
        <v>24</v>
      </c>
      <c r="BG43" s="8" t="s">
        <v>23</v>
      </c>
      <c r="BH43" s="7" t="s">
        <v>24</v>
      </c>
      <c r="BI43" s="8" t="s">
        <v>23</v>
      </c>
      <c r="BJ43" s="7" t="s">
        <v>24</v>
      </c>
      <c r="BK43" s="8" t="s">
        <v>23</v>
      </c>
      <c r="BL43" s="7" t="s">
        <v>24</v>
      </c>
      <c r="BM43" s="8" t="s">
        <v>23</v>
      </c>
      <c r="BN43" s="7" t="s">
        <v>24</v>
      </c>
      <c r="BO43" s="8" t="s">
        <v>23</v>
      </c>
      <c r="BP43" s="7" t="s">
        <v>24</v>
      </c>
      <c r="BQ43" s="8" t="s">
        <v>23</v>
      </c>
      <c r="BR43" s="7" t="s">
        <v>24</v>
      </c>
    </row>
    <row r="44" spans="1:70" x14ac:dyDescent="0.4">
      <c r="B44" s="27" t="s">
        <v>259</v>
      </c>
      <c r="C44" s="30">
        <f>IF(C43/C34&lt;1,C43/C34,1)</f>
        <v>1</v>
      </c>
      <c r="G44" s="2" t="s">
        <v>258</v>
      </c>
      <c r="S44" s="7">
        <f>2.5*LN(11*E29/$C$40/$E$10)</f>
        <v>15.430926874364697</v>
      </c>
      <c r="T44" s="7">
        <f>(($C$16/S44)^2)/$C$8/$C$13</f>
        <v>0.16215306676656277</v>
      </c>
      <c r="U44" s="7">
        <f>2.5*LN(11*T44/$C$40/$E$10)</f>
        <v>17.604375493142559</v>
      </c>
      <c r="V44" s="7">
        <f>(($C$16/U44)^2)/$C$8/$C$13</f>
        <v>0.12458562826160442</v>
      </c>
      <c r="W44" s="7">
        <f>2.5*LN(11*V44/$C$40/$E$10)</f>
        <v>16.945506770582455</v>
      </c>
      <c r="X44" s="7">
        <f>(($C$16/W44)^2)/$C$8/$C$13</f>
        <v>0.1344621559853697</v>
      </c>
      <c r="Y44" s="7">
        <f>2.5*LN(11*X44/$C$40/$E$10)</f>
        <v>17.136230607122155</v>
      </c>
      <c r="Z44" s="7">
        <f>(($C$16/Y44)^2)/$C$8/$C$13</f>
        <v>0.13148572254996255</v>
      </c>
      <c r="AA44" s="7">
        <f>2.5*LN(11*Z44/$C$40/$E$10)</f>
        <v>17.080269308739105</v>
      </c>
      <c r="AB44" s="7">
        <f>(($C$16/AA44)^2)/$C$8/$C$13</f>
        <v>0.1323487260039887</v>
      </c>
      <c r="AC44" s="7">
        <f>2.5*LN(11*AB44/$C$40/$E$10)</f>
        <v>17.096624385505386</v>
      </c>
      <c r="AD44" s="7">
        <f>(($C$16/AC44)^2)/$C$8/$C$13</f>
        <v>0.13209563063484875</v>
      </c>
      <c r="AE44" s="7">
        <f>2.5*LN(11*AD44/$C$40/$E$10)</f>
        <v>17.091838965811878</v>
      </c>
      <c r="AF44" s="7">
        <f>(($C$16/AE44)^2)/$C$8/$C$13</f>
        <v>0.13216960997980939</v>
      </c>
      <c r="AG44" s="7">
        <f>2.5*LN(11*AF44/$C$40/$E$10)</f>
        <v>17.093238683510677</v>
      </c>
      <c r="AH44" s="7">
        <f>(($C$16/AG44)^2)/$C$8/$C$13</f>
        <v>0.1321479648637276</v>
      </c>
      <c r="AI44" s="7">
        <f>2.5*LN(11*AH44/$C$40/$E$10)</f>
        <v>17.092829230674578</v>
      </c>
      <c r="AJ44" s="7">
        <f>(($C$16/AI44)^2)/$C$8/$C$13</f>
        <v>0.1321542960575097</v>
      </c>
      <c r="AK44" s="7">
        <f>2.5*LN(11*AJ44/$C$40/$E$10)</f>
        <v>17.092949002517642</v>
      </c>
      <c r="AL44" s="7">
        <f>(($C$16/AK44)^2)/$C$8/$C$13</f>
        <v>0.13215244402973497</v>
      </c>
      <c r="AM44" s="7">
        <f>2.5*LN(11*AL44/$C$40/$E$10)</f>
        <v>17.092913966941666</v>
      </c>
      <c r="AN44" s="7">
        <f>(($C$16/AM44)^2)/$C$8/$C$13</f>
        <v>0.13215298577957907</v>
      </c>
      <c r="AO44" s="7">
        <f>2.5*LN(11*AN44/$C$40/$E$10)</f>
        <v>17.092924215498503</v>
      </c>
      <c r="AP44" s="7">
        <f>(($C$16/AO44)^2)/$C$8/$C$13</f>
        <v>0.13215282730734076</v>
      </c>
      <c r="AQ44" s="7">
        <f>2.5*LN(11*AP44/$C$40/$E$10)</f>
        <v>17.092921217603067</v>
      </c>
      <c r="AR44" s="7">
        <f>(($C$16/AQ44)^2)/$C$8/$C$13</f>
        <v>0.13215287366341852</v>
      </c>
      <c r="AS44" s="7">
        <f>2.5*LN(11*AR44/$C$40/$E$10)</f>
        <v>17.092922094543624</v>
      </c>
      <c r="AT44" s="7">
        <f>(($C$16/AS44)^2)/$C$8/$C$13</f>
        <v>0.13215286010339514</v>
      </c>
      <c r="AU44" s="7">
        <f>2.5*LN(11*AT44/$C$40/$E$10)</f>
        <v>17.092921838022072</v>
      </c>
      <c r="AV44" s="7">
        <f>(($C$16/AU44)^2)/$C$8/$C$13</f>
        <v>0.13215286406995597</v>
      </c>
      <c r="AW44" s="7">
        <f>2.5*LN(11*AV44/$C$40/$E$10)</f>
        <v>17.092921913059435</v>
      </c>
      <c r="AX44" s="7">
        <f>(($C$16/AW44)^2)/$C$8/$C$13</f>
        <v>0.13215286290966255</v>
      </c>
      <c r="AY44" s="7">
        <f>2.5*LN(11*AX44/$C$40/$E$10)</f>
        <v>17.092921891109597</v>
      </c>
      <c r="AZ44" s="7">
        <f>(($C$16/AY44)^2)/$C$8/$C$13</f>
        <v>0.13215286324907011</v>
      </c>
      <c r="BA44" s="7">
        <f>2.5*LN(11*AZ44/$C$40/$E$10)</f>
        <v>17.092921897530335</v>
      </c>
      <c r="BB44" s="7">
        <f>(($C$16/BA44)^2)/$C$8/$C$13</f>
        <v>0.13215286314978708</v>
      </c>
      <c r="BC44" s="7">
        <f>2.5*LN(11*BB44/$C$40/$E$10)</f>
        <v>17.09292189565215</v>
      </c>
      <c r="BD44" s="7">
        <f>(($C$16/BC44)^2)/$C$8/$C$13</f>
        <v>0.13215286317882921</v>
      </c>
      <c r="BE44" s="7">
        <f>2.5*LN(11*BD44/$C$40/$E$10)</f>
        <v>17.092921896201553</v>
      </c>
      <c r="BF44" s="7">
        <f>(($C$16/BE44)^2)/$C$8/$C$13</f>
        <v>0.13215286317033387</v>
      </c>
      <c r="BG44" s="7">
        <f>2.5*LN(11*BF44/$C$40/$E$10)</f>
        <v>17.092921896040846</v>
      </c>
      <c r="BH44" s="7">
        <f>(($C$16/BG44)^2)/$C$8/$C$13</f>
        <v>0.13215286317281885</v>
      </c>
      <c r="BI44" s="7">
        <f>2.5*LN(11*BH44/$C$40/$E$10)</f>
        <v>17.092921896087855</v>
      </c>
      <c r="BJ44" s="7">
        <f>(($C$16/BI44)^2)/$C$8/$C$13</f>
        <v>0.13215286317209196</v>
      </c>
      <c r="BK44" s="7">
        <f>2.5*LN(11*BJ44/$C$40/$E$10)</f>
        <v>17.092921896074103</v>
      </c>
      <c r="BL44" s="7">
        <f>(($C$16/BK44)^2)/$C$8/$C$13</f>
        <v>0.1321528631723046</v>
      </c>
      <c r="BM44" s="7">
        <f>2.5*LN(11*BL44/$C$40/$E$10)</f>
        <v>17.092921896078124</v>
      </c>
      <c r="BN44" s="7">
        <f>(($C$16/BM44)^2)/$C$8/$C$13</f>
        <v>0.13215286317224242</v>
      </c>
      <c r="BO44" s="7">
        <f>2.5*LN(11*BN44/$C$40/$E$10)</f>
        <v>17.092921896076948</v>
      </c>
      <c r="BP44" s="7">
        <f>(($C$16/BO44)^2)/$C$8/$C$13</f>
        <v>0.13215286317226063</v>
      </c>
      <c r="BQ44" s="7">
        <f>2.5*LN(11*BP44/$C$40/$E$10)</f>
        <v>17.092921896077293</v>
      </c>
      <c r="BR44" s="7">
        <f>(($C$16/BQ44)^2)/$C$8/$C$13</f>
        <v>0.13215286317225527</v>
      </c>
    </row>
    <row r="45" spans="1:70" x14ac:dyDescent="0.4">
      <c r="S45" s="25" t="s">
        <v>125</v>
      </c>
      <c r="U45" s="26">
        <f t="shared" ref="U45:AZ45" si="3">ABS(U44-S44)/U44</f>
        <v>0.12346070552883208</v>
      </c>
      <c r="V45" s="26">
        <f t="shared" si="3"/>
        <v>0.30153910229576708</v>
      </c>
      <c r="W45" s="26">
        <f t="shared" si="3"/>
        <v>3.8881618087923224E-2</v>
      </c>
      <c r="X45" s="26">
        <f t="shared" si="3"/>
        <v>7.3452099971087079E-2</v>
      </c>
      <c r="Y45" s="26">
        <f t="shared" si="3"/>
        <v>1.1129859355442577E-2</v>
      </c>
      <c r="Z45" s="26">
        <f t="shared" si="3"/>
        <v>2.2636932570957707E-2</v>
      </c>
      <c r="AA45" s="26">
        <f t="shared" si="3"/>
        <v>3.2763709618101396E-3</v>
      </c>
      <c r="AB45" s="26">
        <f t="shared" si="3"/>
        <v>6.5206782118940989E-3</v>
      </c>
      <c r="AC45" s="26">
        <f t="shared" si="3"/>
        <v>9.5662607994986164E-4</v>
      </c>
      <c r="AD45" s="26">
        <f t="shared" si="3"/>
        <v>1.9160010662243609E-3</v>
      </c>
      <c r="AE45" s="26">
        <f t="shared" si="3"/>
        <v>2.7998272760938796E-4</v>
      </c>
      <c r="AF45" s="26">
        <f t="shared" si="3"/>
        <v>5.5973037199660706E-4</v>
      </c>
      <c r="AG45" s="26">
        <f t="shared" si="3"/>
        <v>8.1887214279027909E-5</v>
      </c>
      <c r="AH45" s="26">
        <f t="shared" si="3"/>
        <v>1.6379454730247508E-4</v>
      </c>
      <c r="AI45" s="26">
        <f t="shared" si="3"/>
        <v>2.3954655520920065E-5</v>
      </c>
      <c r="AJ45" s="26">
        <f t="shared" si="3"/>
        <v>4.7907589620428498E-5</v>
      </c>
      <c r="AK45" s="26">
        <f t="shared" si="3"/>
        <v>7.0070906457537476E-6</v>
      </c>
      <c r="AL45" s="26">
        <f t="shared" si="3"/>
        <v>1.40143285909028E-5</v>
      </c>
      <c r="AM45" s="26">
        <f t="shared" si="3"/>
        <v>2.0497134686428774E-6</v>
      </c>
      <c r="AN45" s="26">
        <f t="shared" si="3"/>
        <v>4.099414333323273E-6</v>
      </c>
      <c r="AO45" s="26">
        <f t="shared" si="3"/>
        <v>5.9957890807608789E-7</v>
      </c>
      <c r="AP45" s="26">
        <f t="shared" si="3"/>
        <v>1.1991588945393417E-6</v>
      </c>
      <c r="AQ45" s="26">
        <f t="shared" si="3"/>
        <v>1.7538812691708375E-7</v>
      </c>
      <c r="AR45" s="26">
        <f t="shared" si="3"/>
        <v>3.5077616149480321E-7</v>
      </c>
      <c r="AS45" s="26">
        <f t="shared" si="3"/>
        <v>5.1304309038165786E-8</v>
      </c>
      <c r="AT45" s="26">
        <f t="shared" si="3"/>
        <v>1.0260862588461455E-7</v>
      </c>
      <c r="AU45" s="26">
        <f t="shared" si="3"/>
        <v>1.5007472383892866E-8</v>
      </c>
      <c r="AV45" s="26">
        <f t="shared" si="3"/>
        <v>3.0014944115730128E-8</v>
      </c>
      <c r="AW45" s="26">
        <f t="shared" si="3"/>
        <v>4.3899669916896962E-9</v>
      </c>
      <c r="AX45" s="26">
        <f t="shared" si="3"/>
        <v>8.7799340200075207E-9</v>
      </c>
      <c r="AY45" s="26">
        <f t="shared" si="3"/>
        <v>1.2841477684725214E-9</v>
      </c>
      <c r="AZ45" s="26">
        <f t="shared" si="3"/>
        <v>2.5682951490422829E-9</v>
      </c>
      <c r="BA45" s="26">
        <f t="shared" ref="BA45:BR45" si="4">ABS(BA44-AY44)/BA44</f>
        <v>3.7563722327715256E-10</v>
      </c>
      <c r="BB45" s="26">
        <f t="shared" si="4"/>
        <v>7.5127412209149804E-10</v>
      </c>
      <c r="BC45" s="26">
        <f t="shared" si="4"/>
        <v>1.0988084602081847E-10</v>
      </c>
      <c r="BD45" s="26">
        <f t="shared" si="4"/>
        <v>2.1976163901072928E-10</v>
      </c>
      <c r="BE45" s="26">
        <f t="shared" si="4"/>
        <v>3.2142093947836729E-11</v>
      </c>
      <c r="BF45" s="26">
        <f t="shared" si="4"/>
        <v>6.4284216882649536E-11</v>
      </c>
      <c r="BG45" s="26">
        <f t="shared" si="4"/>
        <v>9.4019620658165217E-12</v>
      </c>
      <c r="BH45" s="26">
        <f t="shared" si="4"/>
        <v>1.8803863804246225E-11</v>
      </c>
      <c r="BI45" s="26">
        <f t="shared" si="4"/>
        <v>2.7502323876321892E-12</v>
      </c>
      <c r="BJ45" s="26">
        <f t="shared" si="4"/>
        <v>5.5003785188606526E-12</v>
      </c>
      <c r="BK45" s="26">
        <f t="shared" si="4"/>
        <v>8.0457599550580182E-13</v>
      </c>
      <c r="BL45" s="26">
        <f t="shared" si="4"/>
        <v>1.6090114106275022E-12</v>
      </c>
      <c r="BM45" s="26">
        <f t="shared" si="4"/>
        <v>2.3528287959502801E-13</v>
      </c>
      <c r="BN45" s="26">
        <f t="shared" si="4"/>
        <v>4.7045889045911763E-13</v>
      </c>
      <c r="BO45" s="26">
        <f t="shared" si="4"/>
        <v>6.8797379104204619E-14</v>
      </c>
      <c r="BP45" s="26">
        <f t="shared" si="4"/>
        <v>1.3777724649157977E-13</v>
      </c>
      <c r="BQ45" s="26">
        <f t="shared" si="4"/>
        <v>2.0161165477666809E-14</v>
      </c>
      <c r="BR45" s="26">
        <f t="shared" si="4"/>
        <v>4.0535074044018249E-14</v>
      </c>
    </row>
    <row r="46" spans="1:70" x14ac:dyDescent="0.4">
      <c r="B46" s="7"/>
    </row>
    <row r="47" spans="1:70" x14ac:dyDescent="0.4">
      <c r="B47" s="7"/>
      <c r="E47" s="2"/>
    </row>
    <row r="48" spans="1:70" x14ac:dyDescent="0.4">
      <c r="B48" s="7"/>
      <c r="D48" s="2"/>
      <c r="E48" s="2"/>
    </row>
    <row r="49" spans="2:5" x14ac:dyDescent="0.4">
      <c r="B49" s="7"/>
      <c r="C49" s="29"/>
      <c r="D49" s="2"/>
      <c r="E49" s="2"/>
    </row>
    <row r="50" spans="2:5" x14ac:dyDescent="0.4">
      <c r="B50" s="7"/>
      <c r="E50" s="2"/>
    </row>
    <row r="51" spans="2:5" x14ac:dyDescent="0.4">
      <c r="B51" s="7"/>
      <c r="E51" s="2"/>
    </row>
    <row r="52" spans="2:5" x14ac:dyDescent="0.4">
      <c r="B52" s="7"/>
    </row>
    <row r="53" spans="2:5" x14ac:dyDescent="0.4">
      <c r="B53" s="7"/>
    </row>
    <row r="54" spans="2:5" x14ac:dyDescent="0.4">
      <c r="B54" s="7"/>
    </row>
    <row r="55" spans="2:5" x14ac:dyDescent="0.4">
      <c r="B55" s="7"/>
    </row>
    <row r="56" spans="2:5" x14ac:dyDescent="0.4">
      <c r="B56" s="7"/>
    </row>
    <row r="57" spans="2:5" x14ac:dyDescent="0.4">
      <c r="B57" s="7"/>
    </row>
    <row r="58" spans="2:5" x14ac:dyDescent="0.4">
      <c r="B58" s="7"/>
    </row>
    <row r="59" spans="2:5" x14ac:dyDescent="0.4">
      <c r="B59" s="7"/>
    </row>
    <row r="60" spans="2:5" x14ac:dyDescent="0.4">
      <c r="B60" s="7"/>
    </row>
    <row r="61" spans="2:5" x14ac:dyDescent="0.4">
      <c r="B61" s="7"/>
    </row>
    <row r="62" spans="2:5" x14ac:dyDescent="0.4">
      <c r="B62" s="7"/>
    </row>
    <row r="63" spans="2:5" x14ac:dyDescent="0.4">
      <c r="B63" s="7"/>
    </row>
    <row r="64" spans="2:5" x14ac:dyDescent="0.4">
      <c r="B64" s="7"/>
    </row>
    <row r="65" spans="2:2" x14ac:dyDescent="0.4">
      <c r="B65" s="7"/>
    </row>
    <row r="66" spans="2:2" x14ac:dyDescent="0.4">
      <c r="B66" s="7"/>
    </row>
    <row r="67" spans="2:2" x14ac:dyDescent="0.4">
      <c r="B67" s="7"/>
    </row>
    <row r="68" spans="2:2" x14ac:dyDescent="0.4">
      <c r="B68" s="7"/>
    </row>
    <row r="69" spans="2:2" x14ac:dyDescent="0.4">
      <c r="B69" s="7"/>
    </row>
    <row r="70" spans="2:2" x14ac:dyDescent="0.4">
      <c r="B70" s="7"/>
    </row>
    <row r="71" spans="2:2" x14ac:dyDescent="0.4">
      <c r="B71" s="7"/>
    </row>
    <row r="72" spans="2:2" x14ac:dyDescent="0.4">
      <c r="B72" s="7"/>
    </row>
  </sheetData>
  <phoneticPr fontId="0" type="noConversion"/>
  <pageMargins left="0.75" right="0.75" top="1" bottom="1" header="0.5" footer="0.5"/>
  <pageSetup orientation="portrait" horizontalDpi="200" verticalDpi="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Formulation</vt:lpstr>
      <vt:lpstr>calculator</vt:lpstr>
    </vt:vector>
  </TitlesOfParts>
  <Company>UIUC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Enrica</dc:creator>
  <cp:lastModifiedBy>Viparelli, Enrica</cp:lastModifiedBy>
  <dcterms:created xsi:type="dcterms:W3CDTF">2009-09-09T16:05:02Z</dcterms:created>
  <dcterms:modified xsi:type="dcterms:W3CDTF">2026-07-29T02:04:52Z</dcterms:modified>
</cp:coreProperties>
</file>