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sc-my.sharepoint.com/personal/viparell_cec_sc_edu/Documents/corsi/Hokkaido/2026/"/>
    </mc:Choice>
  </mc:AlternateContent>
  <xr:revisionPtr revIDLastSave="162" documentId="8_{A8B33978-62C6-4A29-A83F-3F909AD3021E}" xr6:coauthVersionLast="47" xr6:coauthVersionMax="47" xr10:uidLastSave="{AE1D5D9E-5D29-4BC9-9171-27DCA94B3A80}"/>
  <bookViews>
    <workbookView xWindow="510" yWindow="368" windowWidth="17790" windowHeight="9082" activeTab="1" xr2:uid="{EF3BB8C8-8906-43EC-9541-F31AE6A88584}"/>
  </bookViews>
  <sheets>
    <sheet name="field data" sheetId="1" r:id="rId1"/>
    <sheet name="stage-discharg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2" l="1"/>
  <c r="D6" i="2"/>
  <c r="E6" i="2" s="1"/>
  <c r="D7" i="2"/>
  <c r="E7" i="2" s="1"/>
  <c r="D8" i="2"/>
  <c r="E8" i="2" s="1"/>
  <c r="D9" i="2"/>
  <c r="E9" i="2" s="1"/>
  <c r="D10" i="2"/>
  <c r="E10" i="2" s="1"/>
  <c r="D11" i="2"/>
  <c r="E11" i="2" s="1"/>
  <c r="D12" i="2"/>
  <c r="E12" i="2" s="1"/>
  <c r="D13" i="2"/>
  <c r="E13" i="2" s="1"/>
  <c r="D14" i="2"/>
  <c r="E14" i="2" s="1"/>
  <c r="D15" i="2"/>
  <c r="E15" i="2" s="1"/>
  <c r="D16" i="2"/>
  <c r="E16" i="2" s="1"/>
  <c r="D17" i="2"/>
  <c r="E17" i="2" s="1"/>
  <c r="D18" i="2"/>
  <c r="E18" i="2" s="1"/>
  <c r="D5" i="2"/>
  <c r="C5" i="2"/>
  <c r="C11" i="1"/>
  <c r="C9" i="1"/>
</calcChain>
</file>

<file path=xl/sharedStrings.xml><?xml version="1.0" encoding="utf-8"?>
<sst xmlns="http://schemas.openxmlformats.org/spreadsheetml/2006/main" count="46" uniqueCount="36">
  <si>
    <t>Bbf</t>
  </si>
  <si>
    <t>Hbf</t>
  </si>
  <si>
    <t>S</t>
  </si>
  <si>
    <t>Qbf</t>
  </si>
  <si>
    <t>m</t>
  </si>
  <si>
    <t>m/m</t>
  </si>
  <si>
    <t>m3/s</t>
  </si>
  <si>
    <t xml:space="preserve">bankfull depth </t>
  </si>
  <si>
    <t>bed slope</t>
  </si>
  <si>
    <t>bankfull discharge</t>
  </si>
  <si>
    <t>bankfull width for sediment transport calculations (~75% of the measured top bankfull channel width)</t>
  </si>
  <si>
    <t>Input data in yellow cells</t>
  </si>
  <si>
    <t>Cz_bf</t>
  </si>
  <si>
    <t>non-dimensional Chezy coefficient at bankfull flow</t>
  </si>
  <si>
    <t>-</t>
  </si>
  <si>
    <t>W</t>
  </si>
  <si>
    <t>channel sinuosity</t>
  </si>
  <si>
    <t>Sv</t>
  </si>
  <si>
    <t>valley slope</t>
  </si>
  <si>
    <t>Flow duration curve at Columbia</t>
  </si>
  <si>
    <t>Qi</t>
  </si>
  <si>
    <t>Bv</t>
  </si>
  <si>
    <t xml:space="preserve">floodplain width </t>
  </si>
  <si>
    <t xml:space="preserve">Bed surface grain size distribution </t>
  </si>
  <si>
    <t>Fj</t>
  </si>
  <si>
    <t>Dj</t>
  </si>
  <si>
    <t>mm</t>
  </si>
  <si>
    <t>pi</t>
  </si>
  <si>
    <t>Cff</t>
  </si>
  <si>
    <t>non-dimensional floodplain Chezy coefficient</t>
  </si>
  <si>
    <t>Site-specific relation for suspended sand load</t>
  </si>
  <si>
    <t>Q is in m3/s</t>
  </si>
  <si>
    <t>Qsusp sand is in tons/day</t>
  </si>
  <si>
    <t>Hc1</t>
  </si>
  <si>
    <t>Hf</t>
  </si>
  <si>
    <t>obj.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</si>
</sst>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70" formatCode="0.0E+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70" fontId="0" fillId="0" borderId="0" xfId="0" applyNumberFormat="1"/>
    <xf numFmtId="170" fontId="0" fillId="2" borderId="1" xfId="0" applyNumberFormat="1" applyFill="1" applyBorder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'stage-discharge'!$B$5:$B$18</c:f>
              <c:numCache>
                <c:formatCode>General</c:formatCode>
                <c:ptCount val="14"/>
                <c:pt idx="0">
                  <c:v>110</c:v>
                </c:pt>
                <c:pt idx="1">
                  <c:v>325</c:v>
                </c:pt>
                <c:pt idx="2">
                  <c:v>575</c:v>
                </c:pt>
                <c:pt idx="3">
                  <c:v>825</c:v>
                </c:pt>
                <c:pt idx="4">
                  <c:v>1075</c:v>
                </c:pt>
                <c:pt idx="5">
                  <c:v>1325</c:v>
                </c:pt>
                <c:pt idx="6">
                  <c:v>1575</c:v>
                </c:pt>
                <c:pt idx="7">
                  <c:v>1825</c:v>
                </c:pt>
                <c:pt idx="8">
                  <c:v>2075</c:v>
                </c:pt>
                <c:pt idx="9">
                  <c:v>2450</c:v>
                </c:pt>
                <c:pt idx="10">
                  <c:v>2950</c:v>
                </c:pt>
                <c:pt idx="11">
                  <c:v>3450</c:v>
                </c:pt>
                <c:pt idx="12">
                  <c:v>3950</c:v>
                </c:pt>
                <c:pt idx="13">
                  <c:v>4450</c:v>
                </c:pt>
              </c:numCache>
            </c:numRef>
          </c:xVal>
          <c:yVal>
            <c:numRef>
              <c:f>'stage-discharge'!$C$5:$C$18</c:f>
              <c:numCache>
                <c:formatCode>0.00</c:formatCode>
                <c:ptCount val="14"/>
                <c:pt idx="0">
                  <c:v>2.4429758549354159</c:v>
                </c:pt>
                <c:pt idx="1">
                  <c:v>4.6479268350009155</c:v>
                </c:pt>
                <c:pt idx="2">
                  <c:v>5.0345702051562053</c:v>
                </c:pt>
                <c:pt idx="3">
                  <c:v>5.3172751487944332</c:v>
                </c:pt>
                <c:pt idx="4">
                  <c:v>5.5604231027299775</c:v>
                </c:pt>
                <c:pt idx="5">
                  <c:v>5.7799855900434043</c:v>
                </c:pt>
                <c:pt idx="6">
                  <c:v>5.9831792597890008</c:v>
                </c:pt>
                <c:pt idx="7">
                  <c:v>6.1740527859541672</c:v>
                </c:pt>
                <c:pt idx="8">
                  <c:v>6.3551664076637033</c:v>
                </c:pt>
                <c:pt idx="9">
                  <c:v>6.612226927285402</c:v>
                </c:pt>
                <c:pt idx="10">
                  <c:v>6.9335333027183781</c:v>
                </c:pt>
                <c:pt idx="11">
                  <c:v>7.2357148113814267</c:v>
                </c:pt>
                <c:pt idx="12">
                  <c:v>7.5226699525320484</c:v>
                </c:pt>
                <c:pt idx="13">
                  <c:v>7.7970849989590612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25-47B0-B3D5-2C6C577777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7238111"/>
        <c:axId val="1687482383"/>
      </c:scatterChart>
      <c:valAx>
        <c:axId val="317238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waetr discharge (m3/s)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7482383"/>
        <c:crosses val="autoZero"/>
        <c:crossBetween val="midCat"/>
      </c:valAx>
      <c:valAx>
        <c:axId val="168748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Flow depth in the channel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238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140494</xdr:colOff>
      <xdr:row>14</xdr:row>
      <xdr:rowOff>142875</xdr:rowOff>
    </xdr:from>
    <xdr:ext cx="1668662" cy="188128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38D70AB-358C-153C-0DEA-F852B6E70ED7}"/>
                </a:ext>
              </a:extLst>
            </xdr:cNvPr>
            <xdr:cNvSpPr txBox="1"/>
          </xdr:nvSpPr>
          <xdr:spPr>
            <a:xfrm>
              <a:off x="7265194" y="2681288"/>
              <a:ext cx="1668662" cy="18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𝑠𝑢𝑠𝑝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 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𝑠𝑎𝑛𝑑</m:t>
                        </m:r>
                      </m:sub>
                    </m:sSub>
                    <m:r>
                      <a:rPr lang="en-US" sz="1100" b="0" i="1">
                        <a:latin typeface="Cambria Math" panose="02040503050406030204" pitchFamily="18" charset="0"/>
                      </a:rPr>
                      <m:t>=0.00145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𝑄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1.965</m:t>
                        </m:r>
                      </m:sup>
                    </m:sSup>
                  </m:oMath>
                </m:oMathPara>
              </a14:m>
              <a:endParaRPr lang="en-US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38D70AB-358C-153C-0DEA-F852B6E70ED7}"/>
                </a:ext>
              </a:extLst>
            </xdr:cNvPr>
            <xdr:cNvSpPr txBox="1"/>
          </xdr:nvSpPr>
          <xdr:spPr>
            <a:xfrm>
              <a:off x="7265194" y="2681288"/>
              <a:ext cx="1668662" cy="18812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𝑄_(𝑠𝑢𝑠𝑝 𝑠𝑎𝑛𝑑)=0.00145𝑄^1.965</a:t>
              </a:r>
              <a:endParaRPr lang="en-US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97632</xdr:colOff>
      <xdr:row>3</xdr:row>
      <xdr:rowOff>61913</xdr:rowOff>
    </xdr:from>
    <xdr:to>
      <xdr:col>13</xdr:col>
      <xdr:colOff>135732</xdr:colOff>
      <xdr:row>18</xdr:row>
      <xdr:rowOff>90488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BCF9A2-26BF-25EC-B662-37D28CA1CD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2581-2BF3-4962-BFD7-AB5DF350DE26}">
  <dimension ref="B2:L32"/>
  <sheetViews>
    <sheetView workbookViewId="0">
      <selection activeCell="B16" sqref="B16:B31"/>
    </sheetView>
  </sheetViews>
  <sheetFormatPr defaultRowHeight="14.25" x14ac:dyDescent="0.45"/>
  <cols>
    <col min="4" max="4" width="10.265625" bestFit="1" customWidth="1"/>
  </cols>
  <sheetData>
    <row r="2" spans="2:12" x14ac:dyDescent="0.45">
      <c r="B2" s="7" t="s">
        <v>11</v>
      </c>
    </row>
    <row r="4" spans="2:12" x14ac:dyDescent="0.45">
      <c r="B4" t="s">
        <v>21</v>
      </c>
      <c r="C4" s="1">
        <v>2500</v>
      </c>
      <c r="D4" t="s">
        <v>4</v>
      </c>
      <c r="E4" t="s">
        <v>22</v>
      </c>
    </row>
    <row r="5" spans="2:12" x14ac:dyDescent="0.45">
      <c r="B5" t="s">
        <v>0</v>
      </c>
      <c r="C5" s="1">
        <v>75</v>
      </c>
      <c r="D5" t="s">
        <v>4</v>
      </c>
      <c r="E5" t="s">
        <v>10</v>
      </c>
    </row>
    <row r="6" spans="2:12" x14ac:dyDescent="0.45">
      <c r="B6" t="s">
        <v>1</v>
      </c>
      <c r="C6" s="1">
        <v>4.5</v>
      </c>
      <c r="D6" t="s">
        <v>4</v>
      </c>
      <c r="E6" t="s">
        <v>7</v>
      </c>
    </row>
    <row r="7" spans="2:12" x14ac:dyDescent="0.45">
      <c r="B7" t="s">
        <v>2</v>
      </c>
      <c r="C7" s="1">
        <v>1.3999999999999999E-4</v>
      </c>
      <c r="D7" t="s">
        <v>5</v>
      </c>
      <c r="E7" t="s">
        <v>8</v>
      </c>
    </row>
    <row r="8" spans="2:12" x14ac:dyDescent="0.45">
      <c r="B8" t="s">
        <v>3</v>
      </c>
      <c r="C8" s="1">
        <v>275</v>
      </c>
      <c r="D8" t="s">
        <v>6</v>
      </c>
      <c r="E8" t="s">
        <v>9</v>
      </c>
    </row>
    <row r="9" spans="2:12" x14ac:dyDescent="0.45">
      <c r="B9" t="s">
        <v>12</v>
      </c>
      <c r="C9" s="4">
        <f>C8/(C5*C6*((9.81*C7*C6)^0.5))</f>
        <v>10.364637997989181</v>
      </c>
      <c r="D9" t="s">
        <v>14</v>
      </c>
      <c r="E9" t="s">
        <v>13</v>
      </c>
    </row>
    <row r="10" spans="2:12" ht="14.65" x14ac:dyDescent="0.45">
      <c r="B10" s="8" t="s">
        <v>15</v>
      </c>
      <c r="C10" s="1">
        <v>1.9</v>
      </c>
      <c r="E10" t="s">
        <v>16</v>
      </c>
    </row>
    <row r="11" spans="2:12" x14ac:dyDescent="0.45">
      <c r="B11" t="s">
        <v>17</v>
      </c>
      <c r="C11" s="2">
        <f>C10*C7</f>
        <v>2.6599999999999996E-4</v>
      </c>
      <c r="D11" t="s">
        <v>5</v>
      </c>
      <c r="E11" t="s">
        <v>18</v>
      </c>
    </row>
    <row r="12" spans="2:12" x14ac:dyDescent="0.45">
      <c r="B12" t="s">
        <v>28</v>
      </c>
      <c r="C12" s="1">
        <v>5</v>
      </c>
      <c r="E12" t="s">
        <v>29</v>
      </c>
    </row>
    <row r="14" spans="2:12" x14ac:dyDescent="0.45">
      <c r="B14" s="7" t="s">
        <v>19</v>
      </c>
      <c r="G14" s="7" t="s">
        <v>23</v>
      </c>
      <c r="L14" s="7" t="s">
        <v>30</v>
      </c>
    </row>
    <row r="16" spans="2:12" x14ac:dyDescent="0.45">
      <c r="B16" t="s">
        <v>20</v>
      </c>
      <c r="C16" t="s">
        <v>27</v>
      </c>
      <c r="G16" t="s">
        <v>25</v>
      </c>
      <c r="H16" t="s">
        <v>24</v>
      </c>
    </row>
    <row r="17" spans="2:12" x14ac:dyDescent="0.45">
      <c r="B17" t="s">
        <v>6</v>
      </c>
      <c r="C17" t="s">
        <v>14</v>
      </c>
      <c r="G17" t="s">
        <v>26</v>
      </c>
      <c r="H17" t="s">
        <v>14</v>
      </c>
    </row>
    <row r="18" spans="2:12" x14ac:dyDescent="0.45">
      <c r="B18" s="1">
        <v>110</v>
      </c>
      <c r="C18" s="6">
        <v>0.58248479130745956</v>
      </c>
      <c r="D18" s="5"/>
      <c r="G18" s="1">
        <v>3.7100000000000084</v>
      </c>
      <c r="H18" s="1">
        <v>0.99999999999999978</v>
      </c>
      <c r="L18" t="s">
        <v>31</v>
      </c>
    </row>
    <row r="19" spans="2:12" x14ac:dyDescent="0.45">
      <c r="B19" s="1">
        <v>325</v>
      </c>
      <c r="C19" s="6">
        <v>0.31936627736751361</v>
      </c>
      <c r="D19" s="5"/>
      <c r="G19" s="1">
        <v>1.9999999999999956</v>
      </c>
      <c r="H19" s="1">
        <v>0.91</v>
      </c>
      <c r="L19" t="s">
        <v>32</v>
      </c>
    </row>
    <row r="20" spans="2:12" x14ac:dyDescent="0.45">
      <c r="B20" s="1">
        <v>575</v>
      </c>
      <c r="C20" s="6">
        <v>5.2604183610397218E-2</v>
      </c>
      <c r="D20" s="5"/>
      <c r="G20" s="1">
        <v>1.4000000000000032</v>
      </c>
      <c r="H20" s="1">
        <v>0.74</v>
      </c>
    </row>
    <row r="21" spans="2:12" x14ac:dyDescent="0.45">
      <c r="B21" s="1">
        <v>825</v>
      </c>
      <c r="C21" s="6">
        <v>2.0039688994437033E-2</v>
      </c>
      <c r="D21" s="5"/>
      <c r="G21" s="1">
        <v>0.84999999999999798</v>
      </c>
      <c r="H21" s="1">
        <v>0.55000000000000004</v>
      </c>
    </row>
    <row r="22" spans="2:12" x14ac:dyDescent="0.45">
      <c r="B22" s="1">
        <v>1075</v>
      </c>
      <c r="C22" s="6">
        <v>1.1678974592537169E-2</v>
      </c>
      <c r="D22" s="5"/>
      <c r="G22" s="1">
        <v>0.71000000000000174</v>
      </c>
      <c r="H22" s="1">
        <v>0.42</v>
      </c>
    </row>
    <row r="23" spans="2:12" x14ac:dyDescent="0.45">
      <c r="B23" s="1">
        <v>1325</v>
      </c>
      <c r="C23" s="6">
        <v>5.6280295390220888E-3</v>
      </c>
      <c r="D23" s="5"/>
      <c r="G23" s="1">
        <v>0.59999999999999853</v>
      </c>
      <c r="H23" s="1">
        <v>0.3</v>
      </c>
    </row>
    <row r="24" spans="2:12" x14ac:dyDescent="0.45">
      <c r="B24" s="1">
        <v>1575</v>
      </c>
      <c r="C24" s="6">
        <v>3.4483880412505287E-3</v>
      </c>
      <c r="D24" s="5"/>
      <c r="G24" s="1">
        <v>0.50000000000000111</v>
      </c>
      <c r="H24" s="1">
        <v>0.18</v>
      </c>
    </row>
    <row r="25" spans="2:12" x14ac:dyDescent="0.45">
      <c r="B25" s="1">
        <v>1825</v>
      </c>
      <c r="C25" s="6">
        <v>1.6265981326653437E-3</v>
      </c>
      <c r="D25" s="5"/>
      <c r="G25" s="1">
        <v>0.4249999999999991</v>
      </c>
      <c r="H25" s="1">
        <v>0.1</v>
      </c>
    </row>
    <row r="26" spans="2:12" x14ac:dyDescent="0.45">
      <c r="B26" s="1">
        <v>2075</v>
      </c>
      <c r="C26" s="6">
        <v>1.1711506555190474E-3</v>
      </c>
      <c r="D26" s="5"/>
      <c r="G26" s="1">
        <v>0.30000000000000066</v>
      </c>
      <c r="H26" s="1">
        <v>2.5000000000000001E-2</v>
      </c>
    </row>
    <row r="27" spans="2:12" x14ac:dyDescent="0.45">
      <c r="B27" s="1">
        <v>2450</v>
      </c>
      <c r="C27" s="6">
        <v>1.1060867302124338E-3</v>
      </c>
      <c r="D27" s="5"/>
      <c r="G27" s="1">
        <v>0.14999999999999966</v>
      </c>
      <c r="H27" s="1">
        <v>4.0000000000000001E-3</v>
      </c>
    </row>
    <row r="28" spans="2:12" x14ac:dyDescent="0.45">
      <c r="B28" s="1">
        <v>2950</v>
      </c>
      <c r="C28" s="6">
        <v>5.2051140245290995E-4</v>
      </c>
      <c r="D28" s="5"/>
      <c r="G28" s="1">
        <v>7.4999999999999997E-2</v>
      </c>
      <c r="H28" s="1">
        <v>0</v>
      </c>
    </row>
    <row r="29" spans="2:12" x14ac:dyDescent="0.45">
      <c r="B29" s="1">
        <v>3450</v>
      </c>
      <c r="C29" s="6">
        <v>2.2772373857314813E-4</v>
      </c>
      <c r="D29" s="5"/>
    </row>
    <row r="30" spans="2:12" x14ac:dyDescent="0.45">
      <c r="B30" s="1">
        <v>3950</v>
      </c>
      <c r="C30" s="6">
        <v>6.5063925306613744E-5</v>
      </c>
      <c r="D30" s="5"/>
    </row>
    <row r="31" spans="2:12" x14ac:dyDescent="0.45">
      <c r="B31" s="1">
        <v>4450</v>
      </c>
      <c r="C31" s="6">
        <v>3.2531962653306872E-5</v>
      </c>
      <c r="D31" s="5"/>
    </row>
    <row r="32" spans="2:12" x14ac:dyDescent="0.45">
      <c r="D32" s="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ED281-E245-4DD4-BF85-4DA1A4975979}">
  <dimension ref="B3:E18"/>
  <sheetViews>
    <sheetView tabSelected="1" topLeftCell="A4" workbookViewId="0">
      <selection activeCell="N12" sqref="N12"/>
    </sheetView>
  </sheetViews>
  <sheetFormatPr defaultRowHeight="14.25" x14ac:dyDescent="0.45"/>
  <sheetData>
    <row r="3" spans="2:5" x14ac:dyDescent="0.45">
      <c r="B3" t="s">
        <v>20</v>
      </c>
      <c r="C3" t="s">
        <v>33</v>
      </c>
      <c r="D3" t="s">
        <v>34</v>
      </c>
      <c r="E3" t="s">
        <v>35</v>
      </c>
    </row>
    <row r="4" spans="2:5" x14ac:dyDescent="0.45">
      <c r="B4" t="s">
        <v>6</v>
      </c>
      <c r="C4" t="s">
        <v>4</v>
      </c>
      <c r="D4" t="s">
        <v>4</v>
      </c>
    </row>
    <row r="5" spans="2:5" x14ac:dyDescent="0.45">
      <c r="B5" s="1">
        <v>110</v>
      </c>
      <c r="C5" s="3">
        <f>(((B5/('field data'!$C$5*'field data'!$C$9))^2)/(9.81*'field data'!$C$7))^(1/3)</f>
        <v>2.4429758549354159</v>
      </c>
      <c r="D5" s="3">
        <f>IF(C5&gt;'field data'!$C$6,'stage-discharge'!C5-'field data'!$C$6,0)</f>
        <v>0</v>
      </c>
      <c r="E5">
        <f>(C5*'field data'!$C$5*'field data'!$C$9*((9.81*'field data'!$C$7*'stage-discharge'!C5)^0.5))+'stage-discharge'!D5*'field data'!$C$4*'field data'!$C$12*((9.81*'field data'!$C$11*'stage-discharge'!D5)^0.5)-B5</f>
        <v>0</v>
      </c>
    </row>
    <row r="6" spans="2:5" x14ac:dyDescent="0.45">
      <c r="B6" s="1">
        <v>325</v>
      </c>
      <c r="C6" s="3">
        <v>4.6479268350009155</v>
      </c>
      <c r="D6" s="3">
        <f>IF(C6&gt;'field data'!$C$6,'stage-discharge'!C6-'field data'!$C$6,0)</f>
        <v>0.14792683500091552</v>
      </c>
      <c r="E6" s="3">
        <f>(C6*'field data'!$C$5*'field data'!$C$9*((9.81*'field data'!$C$7*'stage-discharge'!C6)^0.5))+'stage-discharge'!D6*'field data'!$C$4*'field data'!$C$12*((9.81*'field data'!$C$11*'stage-discharge'!D6)^0.5)-B6</f>
        <v>-9.6805840144043032E-6</v>
      </c>
    </row>
    <row r="7" spans="2:5" x14ac:dyDescent="0.45">
      <c r="B7" s="1">
        <v>575</v>
      </c>
      <c r="C7" s="3">
        <v>5.0345702051562053</v>
      </c>
      <c r="D7" s="3">
        <f>IF(C7&gt;'field data'!$C$6,'stage-discharge'!C7-'field data'!$C$6,0)</f>
        <v>0.53457020515620535</v>
      </c>
      <c r="E7" s="3">
        <f>(C7*'field data'!$C$5*'field data'!$C$9*((9.81*'field data'!$C$7*'stage-discharge'!C7)^0.5))+'stage-discharge'!D7*'field data'!$C$4*'field data'!$C$12*((9.81*'field data'!$C$11*'stage-discharge'!D7)^0.5)-B7</f>
        <v>1.1514202924445271E-7</v>
      </c>
    </row>
    <row r="8" spans="2:5" x14ac:dyDescent="0.45">
      <c r="B8" s="1">
        <v>825</v>
      </c>
      <c r="C8" s="3">
        <v>5.3172751487944332</v>
      </c>
      <c r="D8" s="3">
        <f>IF(C8&gt;'field data'!$C$6,'stage-discharge'!C8-'field data'!$C$6,0)</f>
        <v>0.81727514879443319</v>
      </c>
      <c r="E8" s="3">
        <f>(C8*'field data'!$C$5*'field data'!$C$9*((9.81*'field data'!$C$7*'stage-discharge'!C8)^0.5))+'stage-discharge'!D8*'field data'!$C$4*'field data'!$C$12*((9.81*'field data'!$C$11*'stage-discharge'!D8)^0.5)-B8</f>
        <v>-6.27455165158608E-7</v>
      </c>
    </row>
    <row r="9" spans="2:5" x14ac:dyDescent="0.45">
      <c r="B9" s="1">
        <v>1075</v>
      </c>
      <c r="C9" s="3">
        <v>5.5604231027299775</v>
      </c>
      <c r="D9" s="3">
        <f>IF(C9&gt;'field data'!$C$6,'stage-discharge'!C9-'field data'!$C$6,0)</f>
        <v>1.0604231027299775</v>
      </c>
      <c r="E9" s="3">
        <f>(C9*'field data'!$C$5*'field data'!$C$9*((9.81*'field data'!$C$7*'stage-discharge'!C9)^0.5))+'stage-discharge'!D9*'field data'!$C$4*'field data'!$C$12*((9.81*'field data'!$C$11*'stage-discharge'!D9)^0.5)-B9</f>
        <v>-2.2634516881225863E-5</v>
      </c>
    </row>
    <row r="10" spans="2:5" x14ac:dyDescent="0.45">
      <c r="B10" s="1">
        <v>1325</v>
      </c>
      <c r="C10" s="3">
        <v>5.7799855900434043</v>
      </c>
      <c r="D10" s="3">
        <f>IF(C10&gt;'field data'!$C$6,'stage-discharge'!C10-'field data'!$C$6,0)</f>
        <v>1.2799855900434043</v>
      </c>
      <c r="E10" s="3">
        <f>(C10*'field data'!$C$5*'field data'!$C$9*((9.81*'field data'!$C$7*'stage-discharge'!C10)^0.5))+'stage-discharge'!D10*'field data'!$C$4*'field data'!$C$12*((9.81*'field data'!$C$11*'stage-discharge'!D10)^0.5)-B10</f>
        <v>1.9675723319778626E-4</v>
      </c>
    </row>
    <row r="11" spans="2:5" x14ac:dyDescent="0.45">
      <c r="B11" s="1">
        <v>1575</v>
      </c>
      <c r="C11" s="3">
        <v>5.9831792597890008</v>
      </c>
      <c r="D11" s="3">
        <f>IF(C11&gt;'field data'!$C$6,'stage-discharge'!C11-'field data'!$C$6,0)</f>
        <v>1.4831792597890008</v>
      </c>
      <c r="E11" s="3">
        <f>(C11*'field data'!$C$5*'field data'!$C$9*((9.81*'field data'!$C$7*'stage-discharge'!C11)^0.5))+'stage-discharge'!D11*'field data'!$C$4*'field data'!$C$12*((9.81*'field data'!$C$11*'stage-discharge'!D11)^0.5)-B11</f>
        <v>-1.8546188584878109E-8</v>
      </c>
    </row>
    <row r="12" spans="2:5" x14ac:dyDescent="0.45">
      <c r="B12" s="1">
        <v>1825</v>
      </c>
      <c r="C12" s="3">
        <v>6.1740527859541672</v>
      </c>
      <c r="D12" s="3">
        <f>IF(C12&gt;'field data'!$C$6,'stage-discharge'!C12-'field data'!$C$6,0)</f>
        <v>1.6740527859541672</v>
      </c>
      <c r="E12" s="3">
        <f>(C12*'field data'!$C$5*'field data'!$C$9*((9.81*'field data'!$C$7*'stage-discharge'!C12)^0.5))+'stage-discharge'!D12*'field data'!$C$4*'field data'!$C$12*((9.81*'field data'!$C$11*'stage-discharge'!D12)^0.5)-B12</f>
        <v>-2.8066334380127955E-5</v>
      </c>
    </row>
    <row r="13" spans="2:5" x14ac:dyDescent="0.45">
      <c r="B13" s="1">
        <v>2075</v>
      </c>
      <c r="C13" s="3">
        <v>6.3551664076637033</v>
      </c>
      <c r="D13" s="3">
        <f>IF(C13&gt;'field data'!$C$6,'stage-discharge'!C13-'field data'!$C$6,0)</f>
        <v>1.8551664076637033</v>
      </c>
      <c r="E13" s="3">
        <f>(C13*'field data'!$C$5*'field data'!$C$9*((9.81*'field data'!$C$7*'stage-discharge'!C13)^0.5))+'stage-discharge'!D13*'field data'!$C$4*'field data'!$C$12*((9.81*'field data'!$C$11*'stage-discharge'!D13)^0.5)-B13</f>
        <v>1.3828412193106487E-7</v>
      </c>
    </row>
    <row r="14" spans="2:5" x14ac:dyDescent="0.45">
      <c r="B14" s="1">
        <v>2450</v>
      </c>
      <c r="C14" s="3">
        <v>6.612226927285402</v>
      </c>
      <c r="D14" s="3">
        <f>IF(C14&gt;'field data'!$C$6,'stage-discharge'!C14-'field data'!$C$6,0)</f>
        <v>2.112226927285402</v>
      </c>
      <c r="E14" s="3">
        <f>(C14*'field data'!$C$5*'field data'!$C$9*((9.81*'field data'!$C$7*'stage-discharge'!C14)^0.5))+'stage-discharge'!D14*'field data'!$C$4*'field data'!$C$12*((9.81*'field data'!$C$11*'stage-discharge'!D14)^0.5)-B14</f>
        <v>9.745348052092595E-6</v>
      </c>
    </row>
    <row r="15" spans="2:5" x14ac:dyDescent="0.45">
      <c r="B15" s="1">
        <v>2950</v>
      </c>
      <c r="C15" s="3">
        <v>6.9335333027183781</v>
      </c>
      <c r="D15" s="3">
        <f>IF(C15&gt;'field data'!$C$6,'stage-discharge'!C15-'field data'!$C$6,0)</f>
        <v>2.4335333027183781</v>
      </c>
      <c r="E15" s="3">
        <f>(C15*'field data'!$C$5*'field data'!$C$9*((9.81*'field data'!$C$7*'stage-discharge'!C15)^0.5))+'stage-discharge'!D15*'field data'!$C$4*'field data'!$C$12*((9.81*'field data'!$C$11*'stage-discharge'!D15)^0.5)-B15</f>
        <v>2.9478314900188707E-7</v>
      </c>
    </row>
    <row r="16" spans="2:5" x14ac:dyDescent="0.45">
      <c r="B16" s="1">
        <v>3450</v>
      </c>
      <c r="C16" s="3">
        <v>7.2357148113814267</v>
      </c>
      <c r="D16" s="3">
        <f>IF(C16&gt;'field data'!$C$6,'stage-discharge'!C16-'field data'!$C$6,0)</f>
        <v>2.7357148113814267</v>
      </c>
      <c r="E16" s="3">
        <f>(C16*'field data'!$C$5*'field data'!$C$9*((9.81*'field data'!$C$7*'stage-discharge'!C16)^0.5))+'stage-discharge'!D16*'field data'!$C$4*'field data'!$C$12*((9.81*'field data'!$C$11*'stage-discharge'!D16)^0.5)-B16</f>
        <v>1.9948154204030288E-5</v>
      </c>
    </row>
    <row r="17" spans="2:5" x14ac:dyDescent="0.45">
      <c r="B17" s="1">
        <v>3950</v>
      </c>
      <c r="C17" s="3">
        <v>7.5226699525320484</v>
      </c>
      <c r="D17" s="3">
        <f>IF(C17&gt;'field data'!$C$6,'stage-discharge'!C17-'field data'!$C$6,0)</f>
        <v>3.0226699525320484</v>
      </c>
      <c r="E17" s="3">
        <f>(C17*'field data'!$C$5*'field data'!$C$9*((9.81*'field data'!$C$7*'stage-discharge'!C17)^0.5))+'stage-discharge'!D17*'field data'!$C$4*'field data'!$C$12*((9.81*'field data'!$C$11*'stage-discharge'!D17)^0.5)-B17</f>
        <v>2.044005855168507E-4</v>
      </c>
    </row>
    <row r="18" spans="2:5" x14ac:dyDescent="0.45">
      <c r="B18" s="1">
        <v>4450</v>
      </c>
      <c r="C18" s="3">
        <v>7.7970849989590612</v>
      </c>
      <c r="D18" s="3">
        <f>IF(C18&gt;'field data'!$C$6,'stage-discharge'!C18-'field data'!$C$6,0)</f>
        <v>3.2970849989590612</v>
      </c>
      <c r="E18" s="3">
        <f>(C18*'field data'!$C$5*'field data'!$C$9*((9.81*'field data'!$C$7*'stage-discharge'!C18)^0.5))+'stage-discharge'!D18*'field data'!$C$4*'field data'!$C$12*((9.81*'field data'!$C$11*'stage-discharge'!D18)^0.5)-B18</f>
        <v>2.2668073142995127E-5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data</vt:lpstr>
      <vt:lpstr>stage-discharge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Viparelli, Enrica</dc:creator>
  <cp:lastModifiedBy>Viparelli, Enrica</cp:lastModifiedBy>
  <dcterms:created xsi:type="dcterms:W3CDTF">2026-08-05T00:32:26Z</dcterms:created>
  <dcterms:modified xsi:type="dcterms:W3CDTF">2026-08-05T01:31:25Z</dcterms:modified>
</cp:coreProperties>
</file>