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viparell_cec_sc_edu/Documents/"/>
    </mc:Choice>
  </mc:AlternateContent>
  <xr:revisionPtr revIDLastSave="10" documentId="8_{4C3F2347-6347-4BA6-9312-E891685C7450}" xr6:coauthVersionLast="47" xr6:coauthVersionMax="47" xr10:uidLastSave="{4A5ADE90-F647-49DC-AAE7-67FDEEC6302A}"/>
  <bookViews>
    <workbookView xWindow="240" yWindow="1103" windowWidth="18960" windowHeight="10620" activeTab="1" xr2:uid="{AA1939BC-8354-4D11-977F-1BE5174A33E7}"/>
  </bookViews>
  <sheets>
    <sheet name="MPM" sheetId="1" r:id="rId1"/>
    <sheet name="Gilbe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1" i="2" l="1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B27" i="2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H26" i="2"/>
  <c r="H25" i="2"/>
  <c r="B25" i="2"/>
  <c r="H24" i="2"/>
  <c r="H23" i="2"/>
  <c r="B23" i="2"/>
  <c r="H22" i="2"/>
  <c r="H21" i="2"/>
  <c r="H20" i="2"/>
  <c r="H19" i="2"/>
  <c r="H18" i="2"/>
  <c r="H17" i="2"/>
  <c r="H16" i="2"/>
  <c r="H15" i="2"/>
  <c r="B15" i="2"/>
  <c r="B16" i="2" s="1"/>
  <c r="B17" i="2" s="1"/>
  <c r="B18" i="2" s="1"/>
  <c r="B19" i="2" s="1"/>
  <c r="B20" i="2" s="1"/>
  <c r="B21" i="2" s="1"/>
  <c r="H14" i="2"/>
  <c r="H13" i="2"/>
  <c r="H12" i="2"/>
  <c r="H11" i="2"/>
  <c r="H10" i="2"/>
  <c r="H9" i="2"/>
  <c r="H8" i="2"/>
  <c r="H7" i="2"/>
  <c r="B7" i="2"/>
  <c r="B8" i="2" s="1"/>
  <c r="B9" i="2" s="1"/>
  <c r="B10" i="2" s="1"/>
  <c r="B11" i="2" s="1"/>
  <c r="B12" i="2" s="1"/>
  <c r="B13" i="2" s="1"/>
  <c r="H6" i="2"/>
  <c r="B61" i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Wong</author>
  </authors>
  <commentList>
    <comment ref="C4" authorId="0" shapeId="0" xr:uid="{552127F2-2913-4DD6-B463-8B516E5BFF26}">
      <text>
        <r>
          <rPr>
            <b/>
            <sz val="12"/>
            <color indexed="81"/>
            <rFont val="Tahoma"/>
            <family val="2"/>
          </rPr>
          <t>Discharge</t>
        </r>
      </text>
    </comment>
    <comment ref="D4" authorId="0" shapeId="0" xr:uid="{5F14AFC5-9007-4AE0-BE39-B4A52E03FBAA}">
      <text>
        <r>
          <rPr>
            <b/>
            <sz val="12"/>
            <color indexed="81"/>
            <rFont val="Tahoma"/>
            <family val="2"/>
          </rPr>
          <t>Channel width</t>
        </r>
      </text>
    </comment>
    <comment ref="E4" authorId="0" shapeId="0" xr:uid="{7DD0C912-A75E-42F2-93BD-74F3484702BF}">
      <text>
        <r>
          <rPr>
            <b/>
            <sz val="12"/>
            <color indexed="81"/>
            <rFont val="Tahoma"/>
            <family val="2"/>
          </rPr>
          <t>Water depth</t>
        </r>
      </text>
    </comment>
    <comment ref="F4" authorId="0" shapeId="0" xr:uid="{AEF0CD1B-44B5-4418-8AF0-755A8AB0C9A7}">
      <text>
        <r>
          <rPr>
            <b/>
            <sz val="12"/>
            <color indexed="81"/>
            <rFont val="Tahoma"/>
            <family val="2"/>
          </rPr>
          <t>Slope</t>
        </r>
      </text>
    </comment>
    <comment ref="G4" authorId="0" shapeId="0" xr:uid="{14BBC2C3-2823-40A7-BBC0-AB9843866BC3}">
      <text>
        <r>
          <rPr>
            <b/>
            <sz val="12"/>
            <color indexed="81"/>
            <rFont val="Tahoma"/>
            <family val="2"/>
          </rPr>
          <t>Arithmetic mean diameter</t>
        </r>
      </text>
    </comment>
    <comment ref="I4" authorId="0" shapeId="0" xr:uid="{F99B14F8-CC75-4420-B4B4-2A62B09E9DB3}">
      <text>
        <r>
          <rPr>
            <b/>
            <sz val="12"/>
            <color indexed="81"/>
            <rFont val="Tahoma"/>
            <family val="2"/>
          </rPr>
          <t>Geometric-like
standard deviation</t>
        </r>
      </text>
    </comment>
    <comment ref="J4" authorId="0" shapeId="0" xr:uid="{042B629B-51C6-4FFA-8C0A-AC1484FAA1AC}">
      <text>
        <r>
          <rPr>
            <b/>
            <sz val="12"/>
            <color indexed="81"/>
            <rFont val="Tahoma"/>
            <family val="2"/>
          </rPr>
          <t>Specific gravity</t>
        </r>
      </text>
    </comment>
    <comment ref="K4" authorId="0" shapeId="0" xr:uid="{7E3EDDD4-763A-4332-8740-2A7FC88A69D6}">
      <text>
        <r>
          <rPr>
            <b/>
            <sz val="12"/>
            <color indexed="81"/>
            <rFont val="Tahoma"/>
            <family val="2"/>
          </rPr>
          <t>Weight bedload transport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Wong</author>
  </authors>
  <commentList>
    <comment ref="C4" authorId="0" shapeId="0" xr:uid="{E231A494-AC32-4672-A0A7-392B1459FCF7}">
      <text>
        <r>
          <rPr>
            <b/>
            <sz val="12"/>
            <color indexed="81"/>
            <rFont val="Tahoma"/>
            <family val="2"/>
          </rPr>
          <t>Discharge</t>
        </r>
      </text>
    </comment>
    <comment ref="D4" authorId="0" shapeId="0" xr:uid="{C13ACCF4-D5C6-40AA-AEB8-C9E280BA0BF2}">
      <text>
        <r>
          <rPr>
            <b/>
            <sz val="12"/>
            <color indexed="81"/>
            <rFont val="Tahoma"/>
            <family val="2"/>
          </rPr>
          <t>Channel width</t>
        </r>
      </text>
    </comment>
    <comment ref="E4" authorId="0" shapeId="0" xr:uid="{4F61051A-CBCF-4F94-AAE2-4B78DEFE60D5}">
      <text>
        <r>
          <rPr>
            <b/>
            <sz val="12"/>
            <color indexed="81"/>
            <rFont val="Tahoma"/>
            <family val="2"/>
          </rPr>
          <t>Water depth</t>
        </r>
      </text>
    </comment>
    <comment ref="F4" authorId="0" shapeId="0" xr:uid="{29B01F83-2402-4BD9-BF24-D69BE67919F3}">
      <text>
        <r>
          <rPr>
            <b/>
            <sz val="12"/>
            <color indexed="81"/>
            <rFont val="Tahoma"/>
            <family val="2"/>
          </rPr>
          <t>Slope</t>
        </r>
      </text>
    </comment>
    <comment ref="G4" authorId="0" shapeId="0" xr:uid="{D0A9D49C-579C-4EBE-BC0B-12CB07D8C697}">
      <text>
        <r>
          <rPr>
            <b/>
            <sz val="12"/>
            <color indexed="81"/>
            <rFont val="Tahoma"/>
            <family val="2"/>
          </rPr>
          <t>Arithmetic mean diameter</t>
        </r>
      </text>
    </comment>
    <comment ref="I4" authorId="0" shapeId="0" xr:uid="{A8032115-BB7E-4EFD-8C3C-A76809E4207E}">
      <text>
        <r>
          <rPr>
            <b/>
            <sz val="12"/>
            <color indexed="81"/>
            <rFont val="Tahoma"/>
            <family val="2"/>
          </rPr>
          <t>Geometric-like
standard deviation</t>
        </r>
      </text>
    </comment>
    <comment ref="J4" authorId="0" shapeId="0" xr:uid="{5D72C294-45F2-4D8B-A285-84A9F19AFE85}">
      <text>
        <r>
          <rPr>
            <b/>
            <sz val="12"/>
            <color indexed="81"/>
            <rFont val="Tahoma"/>
            <family val="2"/>
          </rPr>
          <t>Specific gravity</t>
        </r>
      </text>
    </comment>
    <comment ref="K4" authorId="0" shapeId="0" xr:uid="{8DA51FBB-001E-4529-B3D0-D17832F5F4A7}">
      <text>
        <r>
          <rPr>
            <b/>
            <sz val="12"/>
            <color indexed="81"/>
            <rFont val="Tahoma"/>
            <family val="2"/>
          </rPr>
          <t>Weight bedload transport</t>
        </r>
      </text>
    </comment>
  </commentList>
</comments>
</file>

<file path=xl/sharedStrings.xml><?xml version="1.0" encoding="utf-8"?>
<sst xmlns="http://schemas.openxmlformats.org/spreadsheetml/2006/main" count="36" uniqueCount="17">
  <si>
    <t>Data of Meyer-Peter, E. and Muller, R. (1948), as per Smart and Jaeggi (1983)</t>
  </si>
  <si>
    <t>ID</t>
  </si>
  <si>
    <t>Q</t>
  </si>
  <si>
    <t>B</t>
  </si>
  <si>
    <t>H</t>
  </si>
  <si>
    <t>S</t>
  </si>
  <si>
    <r>
      <t>D</t>
    </r>
    <r>
      <rPr>
        <b/>
        <vertAlign val="subscript"/>
        <sz val="16"/>
        <color indexed="10"/>
        <rFont val="Times New Roman"/>
        <family val="1"/>
      </rPr>
      <t>m</t>
    </r>
  </si>
  <si>
    <r>
      <t>D</t>
    </r>
    <r>
      <rPr>
        <b/>
        <vertAlign val="subscript"/>
        <sz val="16"/>
        <color indexed="10"/>
        <rFont val="Times New Roman"/>
        <family val="1"/>
      </rPr>
      <t>90</t>
    </r>
  </si>
  <si>
    <r>
      <t>s</t>
    </r>
    <r>
      <rPr>
        <b/>
        <vertAlign val="subscript"/>
        <sz val="16"/>
        <color indexed="10"/>
        <rFont val="Times New Roman"/>
        <family val="1"/>
      </rPr>
      <t>g</t>
    </r>
  </si>
  <si>
    <r>
      <t>G</t>
    </r>
    <r>
      <rPr>
        <b/>
        <vertAlign val="subscript"/>
        <sz val="16"/>
        <color indexed="10"/>
        <rFont val="Times New Roman"/>
        <family val="1"/>
      </rPr>
      <t>b</t>
    </r>
  </si>
  <si>
    <t>N°</t>
  </si>
  <si>
    <t>L/s</t>
  </si>
  <si>
    <t>m</t>
  </si>
  <si>
    <t>mm</t>
  </si>
  <si>
    <t>g/s</t>
  </si>
  <si>
    <t>Data of Gilbert (1914), as per Brownlie (1981)</t>
  </si>
  <si>
    <t>R+1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</si>
</sst>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"/>
    <numFmt numFmtId="165" formatCode="0.000"/>
    <numFmt numFmtId="166" formatCode="0.0000"/>
    <numFmt numFmtId="167" formatCode="0.000000"/>
    <numFmt numFmtId="168" formatCode="#,##0.0000"/>
    <numFmt numFmtId="169" formatCode="#,##0.0"/>
    <numFmt numFmtId="170" formatCode="0.0"/>
  </numFmts>
  <fonts count="10" x14ac:knownFonts="1">
    <font>
      <sz val="11"/>
      <color theme="1"/>
      <name val="Aptos Narrow"/>
      <family val="2"/>
      <scheme val="minor"/>
    </font>
    <font>
      <b/>
      <u/>
      <sz val="16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16"/>
      <color indexed="10"/>
      <name val="Times New Roman"/>
      <family val="1"/>
    </font>
    <font>
      <b/>
      <vertAlign val="subscript"/>
      <sz val="16"/>
      <color indexed="10"/>
      <name val="Times New Roman"/>
      <family val="1"/>
    </font>
    <font>
      <b/>
      <sz val="16"/>
      <color indexed="10"/>
      <name val="Symbol"/>
      <family val="1"/>
      <charset val="2"/>
    </font>
    <font>
      <sz val="14"/>
      <name val="Times New Roman"/>
      <family val="1"/>
    </font>
    <font>
      <b/>
      <sz val="12"/>
      <color indexed="81"/>
      <name val="Tahoma"/>
      <family val="2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0" xfId="0" applyFont="1" applyFill="1"/>
    <xf numFmtId="169" fontId="7" fillId="0" borderId="0" xfId="0" applyNumberFormat="1" applyFont="1" applyFill="1"/>
    <xf numFmtId="165" fontId="7" fillId="0" borderId="0" xfId="0" applyNumberFormat="1" applyFont="1" applyFill="1"/>
    <xf numFmtId="166" fontId="7" fillId="0" borderId="0" xfId="0" applyNumberFormat="1" applyFont="1" applyFill="1"/>
    <xf numFmtId="2" fontId="7" fillId="0" borderId="0" xfId="0" applyNumberFormat="1" applyFont="1" applyFill="1" applyAlignment="1">
      <alignment horizontal="right"/>
    </xf>
    <xf numFmtId="2" fontId="7" fillId="0" borderId="0" xfId="0" applyNumberFormat="1" applyFont="1" applyFill="1" applyAlignment="1">
      <alignment horizontal="left"/>
    </xf>
    <xf numFmtId="2" fontId="7" fillId="0" borderId="0" xfId="0" applyNumberFormat="1" applyFont="1" applyFill="1"/>
    <xf numFmtId="0" fontId="0" fillId="0" borderId="0" xfId="0" applyFill="1"/>
    <xf numFmtId="0" fontId="1" fillId="0" borderId="0" xfId="0" applyFont="1" applyFill="1"/>
    <xf numFmtId="0" fontId="3" fillId="0" borderId="0" xfId="0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165" fontId="4" fillId="0" borderId="0" xfId="0" applyNumberFormat="1" applyFont="1" applyFill="1" applyAlignment="1">
      <alignment horizontal="right"/>
    </xf>
    <xf numFmtId="166" fontId="4" fillId="0" borderId="0" xfId="0" applyNumberFormat="1" applyFont="1" applyFill="1" applyAlignment="1">
      <alignment horizontal="right"/>
    </xf>
    <xf numFmtId="2" fontId="4" fillId="0" borderId="0" xfId="0" applyNumberFormat="1" applyFont="1" applyFill="1" applyAlignment="1">
      <alignment horizontal="right"/>
    </xf>
    <xf numFmtId="2" fontId="6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165" fontId="3" fillId="0" borderId="0" xfId="0" applyNumberFormat="1" applyFont="1" applyFill="1" applyAlignment="1">
      <alignment horizontal="right"/>
    </xf>
    <xf numFmtId="166" fontId="3" fillId="0" borderId="0" xfId="0" applyNumberFormat="1" applyFont="1" applyFill="1" applyAlignment="1">
      <alignment horizontal="right"/>
    </xf>
    <xf numFmtId="167" fontId="3" fillId="0" borderId="0" xfId="0" applyNumberFormat="1" applyFont="1" applyFill="1" applyAlignment="1">
      <alignment horizontal="right"/>
    </xf>
    <xf numFmtId="2" fontId="3" fillId="0" borderId="0" xfId="0" applyNumberFormat="1" applyFont="1" applyFill="1" applyAlignment="1">
      <alignment horizontal="right"/>
    </xf>
    <xf numFmtId="168" fontId="3" fillId="0" borderId="0" xfId="0" applyNumberFormat="1" applyFont="1" applyFill="1" applyAlignment="1">
      <alignment horizontal="right"/>
    </xf>
    <xf numFmtId="168" fontId="7" fillId="0" borderId="0" xfId="0" applyNumberFormat="1" applyFont="1" applyFill="1"/>
    <xf numFmtId="164" fontId="2" fillId="0" borderId="0" xfId="0" applyNumberFormat="1" applyFont="1" applyFill="1"/>
    <xf numFmtId="165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 applyFill="1"/>
    <xf numFmtId="2" fontId="2" fillId="0" borderId="0" xfId="0" applyNumberFormat="1" applyFont="1" applyFill="1"/>
    <xf numFmtId="0" fontId="2" fillId="0" borderId="0" xfId="0" applyFont="1" applyFill="1"/>
    <xf numFmtId="168" fontId="2" fillId="0" borderId="0" xfId="0" applyNumberFormat="1" applyFont="1" applyFill="1"/>
    <xf numFmtId="0" fontId="9" fillId="0" borderId="0" xfId="0" applyFont="1" applyFill="1"/>
    <xf numFmtId="169" fontId="9" fillId="0" borderId="0" xfId="0" applyNumberFormat="1" applyFont="1" applyFill="1"/>
    <xf numFmtId="2" fontId="9" fillId="0" borderId="0" xfId="0" applyNumberFormat="1" applyFont="1" applyFill="1"/>
    <xf numFmtId="165" fontId="9" fillId="0" borderId="0" xfId="0" applyNumberFormat="1" applyFont="1" applyFill="1"/>
    <xf numFmtId="166" fontId="9" fillId="0" borderId="0" xfId="0" applyNumberFormat="1" applyFont="1" applyFill="1"/>
    <xf numFmtId="4" fontId="9" fillId="0" borderId="0" xfId="0" applyNumberFormat="1" applyFont="1" applyFill="1"/>
    <xf numFmtId="170" fontId="9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80E0-A5BF-44C2-9CDB-DDCCE18EC05D}">
  <dimension ref="B2:K189"/>
  <sheetViews>
    <sheetView workbookViewId="0">
      <selection activeCell="B6" sqref="B6:K142"/>
    </sheetView>
  </sheetViews>
  <sheetFormatPr defaultRowHeight="14.25" x14ac:dyDescent="0.45"/>
  <cols>
    <col min="1" max="16384" width="9.06640625" style="8"/>
  </cols>
  <sheetData>
    <row r="2" spans="2:11" ht="19.899999999999999" x14ac:dyDescent="0.5">
      <c r="B2" s="9" t="s">
        <v>0</v>
      </c>
      <c r="C2" s="24"/>
      <c r="D2" s="25"/>
      <c r="E2" s="26"/>
      <c r="F2" s="27"/>
      <c r="G2" s="28"/>
      <c r="H2" s="28"/>
      <c r="I2" s="28"/>
      <c r="J2" s="29"/>
      <c r="K2" s="30"/>
    </row>
    <row r="3" spans="2:11" ht="15.4" x14ac:dyDescent="0.45">
      <c r="B3" s="29"/>
      <c r="C3" s="24"/>
      <c r="D3" s="25"/>
      <c r="E3" s="26"/>
      <c r="F3" s="27"/>
      <c r="G3" s="28"/>
      <c r="H3" s="28"/>
      <c r="I3" s="28"/>
      <c r="J3" s="29"/>
      <c r="K3" s="30"/>
    </row>
    <row r="4" spans="2:11" ht="23.65" x14ac:dyDescent="0.75">
      <c r="B4" s="10" t="s">
        <v>1</v>
      </c>
      <c r="C4" s="11" t="s">
        <v>2</v>
      </c>
      <c r="D4" s="12" t="s">
        <v>3</v>
      </c>
      <c r="E4" s="13" t="s">
        <v>4</v>
      </c>
      <c r="F4" s="12" t="s">
        <v>5</v>
      </c>
      <c r="G4" s="14" t="s">
        <v>6</v>
      </c>
      <c r="H4" s="14" t="s">
        <v>7</v>
      </c>
      <c r="I4" s="15" t="s">
        <v>8</v>
      </c>
      <c r="J4" s="16" t="s">
        <v>16</v>
      </c>
      <c r="K4" s="16" t="s">
        <v>9</v>
      </c>
    </row>
    <row r="5" spans="2:11" ht="19.899999999999999" x14ac:dyDescent="0.5">
      <c r="B5" s="10" t="s">
        <v>10</v>
      </c>
      <c r="C5" s="17" t="s">
        <v>11</v>
      </c>
      <c r="D5" s="18" t="s">
        <v>12</v>
      </c>
      <c r="E5" s="19" t="s">
        <v>12</v>
      </c>
      <c r="F5" s="20"/>
      <c r="G5" s="21" t="s">
        <v>13</v>
      </c>
      <c r="H5" s="21" t="s">
        <v>13</v>
      </c>
      <c r="I5" s="21"/>
      <c r="J5" s="10"/>
      <c r="K5" s="22" t="s">
        <v>14</v>
      </c>
    </row>
    <row r="6" spans="2:11" ht="17.649999999999999" x14ac:dyDescent="0.5">
      <c r="B6" s="31">
        <v>1</v>
      </c>
      <c r="C6" s="32">
        <v>1641</v>
      </c>
      <c r="D6" s="33">
        <v>2</v>
      </c>
      <c r="E6" s="34">
        <v>0.38700000000000001</v>
      </c>
      <c r="F6" s="35">
        <v>1.0699999999999999E-2</v>
      </c>
      <c r="G6" s="33">
        <v>28.65</v>
      </c>
      <c r="H6" s="33">
        <v>28.65</v>
      </c>
      <c r="I6" s="33">
        <v>1</v>
      </c>
      <c r="J6" s="31">
        <v>2.68</v>
      </c>
      <c r="K6" s="32">
        <v>1815.1</v>
      </c>
    </row>
    <row r="7" spans="2:11" ht="17.649999999999999" x14ac:dyDescent="0.5">
      <c r="B7" s="31">
        <f>+B6+1</f>
        <v>2</v>
      </c>
      <c r="C7" s="32">
        <v>1641</v>
      </c>
      <c r="D7" s="33">
        <v>2</v>
      </c>
      <c r="E7" s="34">
        <v>0.44400000000000001</v>
      </c>
      <c r="F7" s="35">
        <v>6.5399999999999998E-3</v>
      </c>
      <c r="G7" s="33">
        <v>28.65</v>
      </c>
      <c r="H7" s="33">
        <v>28.65</v>
      </c>
      <c r="I7" s="33">
        <v>1</v>
      </c>
      <c r="J7" s="31">
        <v>2.68</v>
      </c>
      <c r="K7" s="32">
        <v>45.9</v>
      </c>
    </row>
    <row r="8" spans="2:11" ht="17.649999999999999" x14ac:dyDescent="0.5">
      <c r="B8" s="31">
        <f>+B7+1</f>
        <v>3</v>
      </c>
      <c r="C8" s="32">
        <v>1641</v>
      </c>
      <c r="D8" s="33">
        <v>2</v>
      </c>
      <c r="E8" s="34">
        <v>0.39700000000000002</v>
      </c>
      <c r="F8" s="35">
        <v>9.1999999999999998E-3</v>
      </c>
      <c r="G8" s="33">
        <v>28.65</v>
      </c>
      <c r="H8" s="33">
        <v>28.65</v>
      </c>
      <c r="I8" s="33">
        <v>1</v>
      </c>
      <c r="J8" s="31">
        <v>2.68</v>
      </c>
      <c r="K8" s="32">
        <v>990.5</v>
      </c>
    </row>
    <row r="9" spans="2:11" ht="17.649999999999999" x14ac:dyDescent="0.5">
      <c r="B9" s="31">
        <f>+B8+1</f>
        <v>4</v>
      </c>
      <c r="C9" s="32">
        <v>1641</v>
      </c>
      <c r="D9" s="33">
        <v>2</v>
      </c>
      <c r="E9" s="34">
        <v>0.39900000000000002</v>
      </c>
      <c r="F9" s="35">
        <v>9.2800000000000001E-3</v>
      </c>
      <c r="G9" s="33">
        <v>28.65</v>
      </c>
      <c r="H9" s="33">
        <v>28.65</v>
      </c>
      <c r="I9" s="33">
        <v>1</v>
      </c>
      <c r="J9" s="31">
        <v>2.68</v>
      </c>
      <c r="K9" s="32">
        <v>982.5</v>
      </c>
    </row>
    <row r="10" spans="2:11" ht="17.649999999999999" x14ac:dyDescent="0.5">
      <c r="B10" s="31">
        <f>+B9+1</f>
        <v>5</v>
      </c>
      <c r="C10" s="32">
        <v>1641</v>
      </c>
      <c r="D10" s="33">
        <v>2</v>
      </c>
      <c r="E10" s="34">
        <v>0.39900000000000002</v>
      </c>
      <c r="F10" s="35">
        <v>9.2300000000000004E-3</v>
      </c>
      <c r="G10" s="33">
        <v>28.65</v>
      </c>
      <c r="H10" s="33">
        <v>28.65</v>
      </c>
      <c r="I10" s="33">
        <v>1</v>
      </c>
      <c r="J10" s="31">
        <v>2.68</v>
      </c>
      <c r="K10" s="32">
        <v>979.3</v>
      </c>
    </row>
    <row r="11" spans="2:11" ht="17.649999999999999" x14ac:dyDescent="0.5">
      <c r="B11" s="31">
        <f>+B10+1</f>
        <v>6</v>
      </c>
      <c r="C11" s="32">
        <v>1641</v>
      </c>
      <c r="D11" s="33">
        <v>2</v>
      </c>
      <c r="E11" s="34">
        <v>0.39900000000000002</v>
      </c>
      <c r="F11" s="35">
        <v>9.1500000000000001E-3</v>
      </c>
      <c r="G11" s="33">
        <v>28.65</v>
      </c>
      <c r="H11" s="33">
        <v>28.65</v>
      </c>
      <c r="I11" s="33">
        <v>1</v>
      </c>
      <c r="J11" s="31">
        <v>2.68</v>
      </c>
      <c r="K11" s="32">
        <v>1012.8</v>
      </c>
    </row>
    <row r="12" spans="2:11" ht="17.649999999999999" x14ac:dyDescent="0.5">
      <c r="B12" s="31">
        <f>+B11+1</f>
        <v>7</v>
      </c>
      <c r="C12" s="32">
        <v>1641</v>
      </c>
      <c r="D12" s="33">
        <v>2</v>
      </c>
      <c r="E12" s="34">
        <v>0.39800000000000002</v>
      </c>
      <c r="F12" s="35">
        <v>9.1599999999999997E-3</v>
      </c>
      <c r="G12" s="33">
        <v>28.65</v>
      </c>
      <c r="H12" s="33">
        <v>28.65</v>
      </c>
      <c r="I12" s="33">
        <v>1</v>
      </c>
      <c r="J12" s="31">
        <v>2.68</v>
      </c>
      <c r="K12" s="32">
        <v>988.9</v>
      </c>
    </row>
    <row r="13" spans="2:11" ht="17.649999999999999" x14ac:dyDescent="0.5">
      <c r="B13" s="31">
        <f>+B12+1</f>
        <v>8</v>
      </c>
      <c r="C13" s="32">
        <v>1641</v>
      </c>
      <c r="D13" s="33">
        <v>2</v>
      </c>
      <c r="E13" s="34">
        <v>0.36799999999999999</v>
      </c>
      <c r="F13" s="35">
        <v>1.3730000000000001E-2</v>
      </c>
      <c r="G13" s="33">
        <v>28.65</v>
      </c>
      <c r="H13" s="33">
        <v>28.65</v>
      </c>
      <c r="I13" s="33">
        <v>1</v>
      </c>
      <c r="J13" s="31">
        <v>2.68</v>
      </c>
      <c r="K13" s="32">
        <v>3828</v>
      </c>
    </row>
    <row r="14" spans="2:11" ht="17.649999999999999" x14ac:dyDescent="0.5">
      <c r="B14" s="31">
        <f>+B13+1</f>
        <v>9</v>
      </c>
      <c r="C14" s="32">
        <v>1641</v>
      </c>
      <c r="D14" s="33">
        <v>2</v>
      </c>
      <c r="E14" s="34">
        <v>0.41299999999999998</v>
      </c>
      <c r="F14" s="35">
        <v>8.199999999999999E-3</v>
      </c>
      <c r="G14" s="33">
        <v>28.65</v>
      </c>
      <c r="H14" s="33">
        <v>28.65</v>
      </c>
      <c r="I14" s="33">
        <v>1</v>
      </c>
      <c r="J14" s="31">
        <v>2.68</v>
      </c>
      <c r="K14" s="32">
        <v>496</v>
      </c>
    </row>
    <row r="15" spans="2:11" ht="17.649999999999999" x14ac:dyDescent="0.5">
      <c r="B15" s="31">
        <f>+B14+1</f>
        <v>10</v>
      </c>
      <c r="C15" s="32">
        <v>1641</v>
      </c>
      <c r="D15" s="33">
        <v>2</v>
      </c>
      <c r="E15" s="34">
        <v>0.41799999999999998</v>
      </c>
      <c r="F15" s="35">
        <v>7.6100000000000004E-3</v>
      </c>
      <c r="G15" s="33">
        <v>28.65</v>
      </c>
      <c r="H15" s="33">
        <v>28.65</v>
      </c>
      <c r="I15" s="33">
        <v>1</v>
      </c>
      <c r="J15" s="31">
        <v>2.68</v>
      </c>
      <c r="K15" s="32">
        <v>320.5</v>
      </c>
    </row>
    <row r="16" spans="2:11" ht="17.649999999999999" x14ac:dyDescent="0.5">
      <c r="B16" s="31">
        <f>+B15+1</f>
        <v>11</v>
      </c>
      <c r="C16" s="32">
        <v>1641</v>
      </c>
      <c r="D16" s="33">
        <v>2</v>
      </c>
      <c r="E16" s="34">
        <v>0.45500000000000002</v>
      </c>
      <c r="F16" s="35">
        <v>5.6100000000000004E-3</v>
      </c>
      <c r="G16" s="33">
        <v>28.65</v>
      </c>
      <c r="H16" s="33">
        <v>28.65</v>
      </c>
      <c r="I16" s="33">
        <v>1</v>
      </c>
      <c r="J16" s="31">
        <v>2.68</v>
      </c>
      <c r="K16" s="32">
        <v>31.9</v>
      </c>
    </row>
    <row r="17" spans="2:11" ht="17.649999999999999" x14ac:dyDescent="0.5">
      <c r="B17" s="31">
        <f>+B16+1</f>
        <v>12</v>
      </c>
      <c r="C17" s="32">
        <v>1641</v>
      </c>
      <c r="D17" s="33">
        <v>2</v>
      </c>
      <c r="E17" s="34">
        <v>0.34200000000000003</v>
      </c>
      <c r="F17" s="35">
        <v>1.7690000000000001E-2</v>
      </c>
      <c r="G17" s="33">
        <v>28.65</v>
      </c>
      <c r="H17" s="33">
        <v>28.65</v>
      </c>
      <c r="I17" s="33">
        <v>1</v>
      </c>
      <c r="J17" s="31">
        <v>2.68</v>
      </c>
      <c r="K17" s="32">
        <v>8373.7999999999993</v>
      </c>
    </row>
    <row r="18" spans="2:11" ht="17.649999999999999" x14ac:dyDescent="0.5">
      <c r="B18" s="31">
        <f>+B17+1</f>
        <v>13</v>
      </c>
      <c r="C18" s="32">
        <v>3271</v>
      </c>
      <c r="D18" s="33">
        <v>2</v>
      </c>
      <c r="E18" s="34">
        <v>0.59699999999999998</v>
      </c>
      <c r="F18" s="35">
        <v>1.2189999999999999E-2</v>
      </c>
      <c r="G18" s="33">
        <v>28.65</v>
      </c>
      <c r="H18" s="33">
        <v>28.65</v>
      </c>
      <c r="I18" s="33">
        <v>1</v>
      </c>
      <c r="J18" s="31">
        <v>2.68</v>
      </c>
      <c r="K18" s="32">
        <v>8469.5</v>
      </c>
    </row>
    <row r="19" spans="2:11" ht="17.649999999999999" x14ac:dyDescent="0.5">
      <c r="B19" s="31">
        <f>+B18+1</f>
        <v>14</v>
      </c>
      <c r="C19" s="32">
        <v>3271</v>
      </c>
      <c r="D19" s="33">
        <v>2</v>
      </c>
      <c r="E19" s="34">
        <v>0.65300000000000002</v>
      </c>
      <c r="F19" s="35">
        <v>8.4799999999999997E-3</v>
      </c>
      <c r="G19" s="33">
        <v>28.65</v>
      </c>
      <c r="H19" s="33">
        <v>28.65</v>
      </c>
      <c r="I19" s="33">
        <v>1</v>
      </c>
      <c r="J19" s="31">
        <v>2.68</v>
      </c>
      <c r="K19" s="32">
        <v>3844</v>
      </c>
    </row>
    <row r="20" spans="2:11" ht="17.649999999999999" x14ac:dyDescent="0.5">
      <c r="B20" s="31">
        <f>+B19+1</f>
        <v>15</v>
      </c>
      <c r="C20" s="32">
        <v>3271</v>
      </c>
      <c r="D20" s="33">
        <v>2</v>
      </c>
      <c r="E20" s="34">
        <v>0.69399999999999995</v>
      </c>
      <c r="F20" s="35">
        <v>7.0699999999999999E-3</v>
      </c>
      <c r="G20" s="33">
        <v>28.65</v>
      </c>
      <c r="H20" s="33">
        <v>28.65</v>
      </c>
      <c r="I20" s="33">
        <v>1</v>
      </c>
      <c r="J20" s="31">
        <v>2.68</v>
      </c>
      <c r="K20" s="32">
        <v>1915.6</v>
      </c>
    </row>
    <row r="21" spans="2:11" ht="17.649999999999999" x14ac:dyDescent="0.5">
      <c r="B21" s="31">
        <f>+B20+1</f>
        <v>16</v>
      </c>
      <c r="C21" s="32">
        <v>3271</v>
      </c>
      <c r="D21" s="33">
        <v>2</v>
      </c>
      <c r="E21" s="34">
        <v>0.72199999999999998</v>
      </c>
      <c r="F21" s="35">
        <v>5.9199999999999999E-3</v>
      </c>
      <c r="G21" s="33">
        <v>28.65</v>
      </c>
      <c r="H21" s="33">
        <v>28.65</v>
      </c>
      <c r="I21" s="33">
        <v>1</v>
      </c>
      <c r="J21" s="31">
        <v>2.68</v>
      </c>
      <c r="K21" s="32">
        <v>965</v>
      </c>
    </row>
    <row r="22" spans="2:11" ht="17.649999999999999" x14ac:dyDescent="0.5">
      <c r="B22" s="31">
        <f>+B21+1</f>
        <v>17</v>
      </c>
      <c r="C22" s="32">
        <v>3271</v>
      </c>
      <c r="D22" s="33">
        <v>2</v>
      </c>
      <c r="E22" s="34">
        <v>0.72899999999999998</v>
      </c>
      <c r="F22" s="35">
        <v>5.7800000000000004E-3</v>
      </c>
      <c r="G22" s="33">
        <v>28.65</v>
      </c>
      <c r="H22" s="33">
        <v>28.65</v>
      </c>
      <c r="I22" s="33">
        <v>1</v>
      </c>
      <c r="J22" s="31">
        <v>2.68</v>
      </c>
      <c r="K22" s="32">
        <v>963.4</v>
      </c>
    </row>
    <row r="23" spans="2:11" ht="17.649999999999999" x14ac:dyDescent="0.5">
      <c r="B23" s="31">
        <f>+B22+1</f>
        <v>18</v>
      </c>
      <c r="C23" s="32">
        <v>3271</v>
      </c>
      <c r="D23" s="33">
        <v>2</v>
      </c>
      <c r="E23" s="34">
        <v>0.83499999999999996</v>
      </c>
      <c r="F23" s="35">
        <v>3.5200000000000001E-3</v>
      </c>
      <c r="G23" s="33">
        <v>28.65</v>
      </c>
      <c r="H23" s="33">
        <v>28.65</v>
      </c>
      <c r="I23" s="33">
        <v>1</v>
      </c>
      <c r="J23" s="31">
        <v>2.68</v>
      </c>
      <c r="K23" s="32">
        <v>32.9</v>
      </c>
    </row>
    <row r="24" spans="2:11" ht="17.649999999999999" x14ac:dyDescent="0.5">
      <c r="B24" s="31">
        <f>+B23+1</f>
        <v>19</v>
      </c>
      <c r="C24" s="32">
        <v>3271</v>
      </c>
      <c r="D24" s="33">
        <v>2</v>
      </c>
      <c r="E24" s="34">
        <v>0.85299999999999998</v>
      </c>
      <c r="F24" s="35">
        <v>3.4500000000000004E-3</v>
      </c>
      <c r="G24" s="33">
        <v>28.65</v>
      </c>
      <c r="H24" s="33">
        <v>28.65</v>
      </c>
      <c r="I24" s="33">
        <v>1</v>
      </c>
      <c r="J24" s="31">
        <v>2.68</v>
      </c>
      <c r="K24" s="32">
        <v>26.2</v>
      </c>
    </row>
    <row r="25" spans="2:11" ht="17.649999999999999" x14ac:dyDescent="0.5">
      <c r="B25" s="31">
        <f>+B24+1</f>
        <v>20</v>
      </c>
      <c r="C25" s="32">
        <v>3271</v>
      </c>
      <c r="D25" s="33">
        <v>2</v>
      </c>
      <c r="E25" s="34">
        <v>0.6</v>
      </c>
      <c r="F25" s="35">
        <v>1.2410000000000001E-2</v>
      </c>
      <c r="G25" s="33">
        <v>28.65</v>
      </c>
      <c r="H25" s="33">
        <v>28.65</v>
      </c>
      <c r="I25" s="33">
        <v>1</v>
      </c>
      <c r="J25" s="31">
        <v>2.68</v>
      </c>
      <c r="K25" s="32">
        <v>8469.5</v>
      </c>
    </row>
    <row r="26" spans="2:11" ht="17.649999999999999" x14ac:dyDescent="0.5">
      <c r="B26" s="31">
        <f>+B25+1</f>
        <v>21</v>
      </c>
      <c r="C26" s="32">
        <v>4614</v>
      </c>
      <c r="D26" s="33">
        <v>2</v>
      </c>
      <c r="E26" s="34">
        <v>0.80100000000000005</v>
      </c>
      <c r="F26" s="35">
        <v>1.0869999999999999E-2</v>
      </c>
      <c r="G26" s="33">
        <v>28.65</v>
      </c>
      <c r="H26" s="33">
        <v>28.65</v>
      </c>
      <c r="I26" s="33">
        <v>1</v>
      </c>
      <c r="J26" s="31">
        <v>2.68</v>
      </c>
      <c r="K26" s="32">
        <v>8437.6</v>
      </c>
    </row>
    <row r="27" spans="2:11" ht="17.649999999999999" x14ac:dyDescent="0.5">
      <c r="B27" s="31">
        <f>+B26+1</f>
        <v>22</v>
      </c>
      <c r="C27" s="32">
        <v>4483</v>
      </c>
      <c r="D27" s="33">
        <v>2</v>
      </c>
      <c r="E27" s="34">
        <v>0.78100000000000003</v>
      </c>
      <c r="F27" s="35">
        <v>1.0670000000000001E-2</v>
      </c>
      <c r="G27" s="33">
        <v>28.65</v>
      </c>
      <c r="H27" s="33">
        <v>28.65</v>
      </c>
      <c r="I27" s="33">
        <v>1</v>
      </c>
      <c r="J27" s="31">
        <v>2.68</v>
      </c>
      <c r="K27" s="32">
        <v>8501.4</v>
      </c>
    </row>
    <row r="28" spans="2:11" ht="17.649999999999999" x14ac:dyDescent="0.5">
      <c r="B28" s="31">
        <f>+B27+1</f>
        <v>23</v>
      </c>
      <c r="C28" s="32">
        <v>4578</v>
      </c>
      <c r="D28" s="33">
        <v>2</v>
      </c>
      <c r="E28" s="34">
        <v>0.86099999999999999</v>
      </c>
      <c r="F28" s="35">
        <v>7.3899999999999999E-3</v>
      </c>
      <c r="G28" s="33">
        <v>28.65</v>
      </c>
      <c r="H28" s="33">
        <v>28.65</v>
      </c>
      <c r="I28" s="33">
        <v>1</v>
      </c>
      <c r="J28" s="31">
        <v>2.68</v>
      </c>
      <c r="K28" s="32">
        <v>3818.4</v>
      </c>
    </row>
    <row r="29" spans="2:11" ht="17.649999999999999" x14ac:dyDescent="0.5">
      <c r="B29" s="31">
        <f>+B28+1</f>
        <v>24</v>
      </c>
      <c r="C29" s="32">
        <v>4554</v>
      </c>
      <c r="D29" s="33">
        <v>2</v>
      </c>
      <c r="E29" s="34">
        <v>0.85199999999999998</v>
      </c>
      <c r="F29" s="35">
        <v>7.3699999999999998E-3</v>
      </c>
      <c r="G29" s="33">
        <v>28.65</v>
      </c>
      <c r="H29" s="33">
        <v>28.65</v>
      </c>
      <c r="I29" s="33">
        <v>1</v>
      </c>
      <c r="J29" s="31">
        <v>2.68</v>
      </c>
      <c r="K29" s="32">
        <v>3796.1</v>
      </c>
    </row>
    <row r="30" spans="2:11" ht="17.649999999999999" x14ac:dyDescent="0.5">
      <c r="B30" s="31">
        <f>+B29+1</f>
        <v>25</v>
      </c>
      <c r="C30" s="32">
        <v>4583</v>
      </c>
      <c r="D30" s="33">
        <v>2</v>
      </c>
      <c r="E30" s="34">
        <v>0.90800000000000003</v>
      </c>
      <c r="F30" s="35">
        <v>5.7800000000000004E-3</v>
      </c>
      <c r="G30" s="33">
        <v>28.65</v>
      </c>
      <c r="H30" s="33">
        <v>28.65</v>
      </c>
      <c r="I30" s="33">
        <v>1</v>
      </c>
      <c r="J30" s="31">
        <v>2.68</v>
      </c>
      <c r="K30" s="32">
        <v>1930</v>
      </c>
    </row>
    <row r="31" spans="2:11" ht="17.649999999999999" x14ac:dyDescent="0.5">
      <c r="B31" s="31">
        <f>+B30+1</f>
        <v>26</v>
      </c>
      <c r="C31" s="32">
        <v>4609</v>
      </c>
      <c r="D31" s="33">
        <v>2</v>
      </c>
      <c r="E31" s="34">
        <v>0.92500000000000004</v>
      </c>
      <c r="F31" s="35">
        <v>5.7499999999999999E-3</v>
      </c>
      <c r="G31" s="33">
        <v>28.65</v>
      </c>
      <c r="H31" s="33">
        <v>28.65</v>
      </c>
      <c r="I31" s="33">
        <v>1</v>
      </c>
      <c r="J31" s="31">
        <v>2.68</v>
      </c>
      <c r="K31" s="32">
        <v>1915.6</v>
      </c>
    </row>
    <row r="32" spans="2:11" ht="17.649999999999999" x14ac:dyDescent="0.5">
      <c r="B32" s="31">
        <f>+B31+1</f>
        <v>27</v>
      </c>
      <c r="C32" s="32">
        <v>4600</v>
      </c>
      <c r="D32" s="33">
        <v>2</v>
      </c>
      <c r="E32" s="34">
        <v>0.97299999999999998</v>
      </c>
      <c r="F32" s="35">
        <v>4.79E-3</v>
      </c>
      <c r="G32" s="33">
        <v>28.65</v>
      </c>
      <c r="H32" s="33">
        <v>28.65</v>
      </c>
      <c r="I32" s="33">
        <v>1</v>
      </c>
      <c r="J32" s="31">
        <v>2.68</v>
      </c>
      <c r="K32" s="32">
        <v>960.2</v>
      </c>
    </row>
    <row r="33" spans="2:11" ht="17.649999999999999" x14ac:dyDescent="0.5">
      <c r="B33" s="31">
        <f>+B32+1</f>
        <v>28</v>
      </c>
      <c r="C33" s="32">
        <v>4600</v>
      </c>
      <c r="D33" s="33">
        <v>2</v>
      </c>
      <c r="E33" s="34">
        <v>0.96099999999999997</v>
      </c>
      <c r="F33" s="35">
        <v>5.0199999999999993E-3</v>
      </c>
      <c r="G33" s="33">
        <v>28.65</v>
      </c>
      <c r="H33" s="33">
        <v>28.65</v>
      </c>
      <c r="I33" s="33">
        <v>1</v>
      </c>
      <c r="J33" s="31">
        <v>2.68</v>
      </c>
      <c r="K33" s="32">
        <v>955.4</v>
      </c>
    </row>
    <row r="34" spans="2:11" ht="17.649999999999999" x14ac:dyDescent="0.5">
      <c r="B34" s="31">
        <f>+B33+1</f>
        <v>29</v>
      </c>
      <c r="C34" s="32">
        <v>4600</v>
      </c>
      <c r="D34" s="33">
        <v>2</v>
      </c>
      <c r="E34" s="34">
        <v>1.018</v>
      </c>
      <c r="F34" s="35">
        <v>3.96E-3</v>
      </c>
      <c r="G34" s="33">
        <v>28.65</v>
      </c>
      <c r="H34" s="33">
        <v>28.65</v>
      </c>
      <c r="I34" s="33">
        <v>1</v>
      </c>
      <c r="J34" s="31">
        <v>2.68</v>
      </c>
      <c r="K34" s="32">
        <v>2599.9</v>
      </c>
    </row>
    <row r="35" spans="2:11" ht="17.649999999999999" x14ac:dyDescent="0.5">
      <c r="B35" s="31">
        <f>+B34+1</f>
        <v>30</v>
      </c>
      <c r="C35" s="32">
        <v>4600</v>
      </c>
      <c r="D35" s="33">
        <v>2</v>
      </c>
      <c r="E35" s="34">
        <v>1.026</v>
      </c>
      <c r="F35" s="35">
        <v>4.0000000000000001E-3</v>
      </c>
      <c r="G35" s="33">
        <v>28.65</v>
      </c>
      <c r="H35" s="33">
        <v>28.65</v>
      </c>
      <c r="I35" s="33">
        <v>1</v>
      </c>
      <c r="J35" s="31">
        <v>2.68</v>
      </c>
      <c r="K35" s="32">
        <v>2654.1</v>
      </c>
    </row>
    <row r="36" spans="2:11" ht="17.649999999999999" x14ac:dyDescent="0.5">
      <c r="B36" s="31">
        <f>+B35+1</f>
        <v>31</v>
      </c>
      <c r="C36" s="32">
        <v>4600</v>
      </c>
      <c r="D36" s="33">
        <v>2</v>
      </c>
      <c r="E36" s="34">
        <v>1.0920000000000001</v>
      </c>
      <c r="F36" s="35">
        <v>3.1700000000000001E-3</v>
      </c>
      <c r="G36" s="33">
        <v>28.65</v>
      </c>
      <c r="H36" s="33">
        <v>28.65</v>
      </c>
      <c r="I36" s="33">
        <v>1</v>
      </c>
      <c r="J36" s="31">
        <v>2.68</v>
      </c>
      <c r="K36" s="32">
        <v>29.7</v>
      </c>
    </row>
    <row r="37" spans="2:11" ht="17.649999999999999" x14ac:dyDescent="0.5">
      <c r="B37" s="31">
        <f>+B36+1</f>
        <v>32</v>
      </c>
      <c r="C37" s="32">
        <v>4600</v>
      </c>
      <c r="D37" s="33">
        <v>2</v>
      </c>
      <c r="E37" s="34">
        <v>1.0920000000000001</v>
      </c>
      <c r="F37" s="35">
        <v>3.2400000000000003E-3</v>
      </c>
      <c r="G37" s="33">
        <v>28.65</v>
      </c>
      <c r="H37" s="33">
        <v>28.65</v>
      </c>
      <c r="I37" s="33">
        <v>1</v>
      </c>
      <c r="J37" s="31">
        <v>2.68</v>
      </c>
      <c r="K37" s="32">
        <v>31.3</v>
      </c>
    </row>
    <row r="38" spans="2:11" ht="17.649999999999999" x14ac:dyDescent="0.5">
      <c r="B38" s="31">
        <f>+B37+1</f>
        <v>33</v>
      </c>
      <c r="C38" s="32">
        <v>1641</v>
      </c>
      <c r="D38" s="33">
        <v>2</v>
      </c>
      <c r="E38" s="34">
        <v>0.35099999999999998</v>
      </c>
      <c r="F38" s="35">
        <v>1.762E-2</v>
      </c>
      <c r="G38" s="33">
        <v>28.65</v>
      </c>
      <c r="H38" s="33">
        <v>28.65</v>
      </c>
      <c r="I38" s="33">
        <v>1</v>
      </c>
      <c r="J38" s="31">
        <v>2.68</v>
      </c>
      <c r="K38" s="32">
        <v>8485.4</v>
      </c>
    </row>
    <row r="39" spans="2:11" ht="17.649999999999999" x14ac:dyDescent="0.5">
      <c r="B39" s="31">
        <f>+B38+1</f>
        <v>34</v>
      </c>
      <c r="C39" s="32">
        <v>3271</v>
      </c>
      <c r="D39" s="33">
        <v>2</v>
      </c>
      <c r="E39" s="34">
        <v>0.82199999999999995</v>
      </c>
      <c r="F39" s="35">
        <v>3.8999999999999998E-3</v>
      </c>
      <c r="G39" s="33">
        <v>28.65</v>
      </c>
      <c r="H39" s="33">
        <v>28.65</v>
      </c>
      <c r="I39" s="33">
        <v>1</v>
      </c>
      <c r="J39" s="31">
        <v>2.68</v>
      </c>
      <c r="K39" s="32">
        <v>31.9</v>
      </c>
    </row>
    <row r="40" spans="2:11" ht="17.649999999999999" x14ac:dyDescent="0.5">
      <c r="B40" s="31">
        <f>+B39+1</f>
        <v>35</v>
      </c>
      <c r="C40" s="32">
        <v>21.7</v>
      </c>
      <c r="D40" s="34">
        <v>0.35399999999999998</v>
      </c>
      <c r="E40" s="34">
        <v>0.06</v>
      </c>
      <c r="F40" s="35">
        <v>2.2699999999999998E-2</v>
      </c>
      <c r="G40" s="33">
        <v>5.21</v>
      </c>
      <c r="H40" s="33">
        <v>5.21</v>
      </c>
      <c r="I40" s="33">
        <v>1</v>
      </c>
      <c r="J40" s="31">
        <v>2.68</v>
      </c>
      <c r="K40" s="32">
        <v>149.6</v>
      </c>
    </row>
    <row r="41" spans="2:11" ht="17.649999999999999" x14ac:dyDescent="0.5">
      <c r="B41" s="31">
        <f>+B40+1</f>
        <v>36</v>
      </c>
      <c r="C41" s="32">
        <v>21.7</v>
      </c>
      <c r="D41" s="34">
        <v>0.35399999999999998</v>
      </c>
      <c r="E41" s="34">
        <v>7.0999999999999994E-2</v>
      </c>
      <c r="F41" s="35">
        <v>9.640000000000001E-3</v>
      </c>
      <c r="G41" s="33">
        <v>5.21</v>
      </c>
      <c r="H41" s="33">
        <v>5.21</v>
      </c>
      <c r="I41" s="33">
        <v>1</v>
      </c>
      <c r="J41" s="31">
        <v>2.68</v>
      </c>
      <c r="K41" s="32">
        <v>13</v>
      </c>
    </row>
    <row r="42" spans="2:11" ht="17.649999999999999" x14ac:dyDescent="0.5">
      <c r="B42" s="31">
        <f>+B41+1</f>
        <v>37</v>
      </c>
      <c r="C42" s="32">
        <v>21.7</v>
      </c>
      <c r="D42" s="34">
        <v>0.35399999999999998</v>
      </c>
      <c r="E42" s="34">
        <v>7.8E-2</v>
      </c>
      <c r="F42" s="35">
        <v>6.94E-3</v>
      </c>
      <c r="G42" s="33">
        <v>5.21</v>
      </c>
      <c r="H42" s="33">
        <v>5.21</v>
      </c>
      <c r="I42" s="33">
        <v>1</v>
      </c>
      <c r="J42" s="31">
        <v>2.68</v>
      </c>
      <c r="K42" s="32">
        <v>1.2</v>
      </c>
    </row>
    <row r="43" spans="2:11" ht="17.649999999999999" x14ac:dyDescent="0.5">
      <c r="B43" s="31">
        <f>+B42+1</f>
        <v>38</v>
      </c>
      <c r="C43" s="32">
        <v>21.7</v>
      </c>
      <c r="D43" s="34">
        <v>0.35399999999999998</v>
      </c>
      <c r="E43" s="34">
        <v>6.7000000000000004E-2</v>
      </c>
      <c r="F43" s="35">
        <v>1.2670000000000001E-2</v>
      </c>
      <c r="G43" s="33">
        <v>5.21</v>
      </c>
      <c r="H43" s="33">
        <v>5.21</v>
      </c>
      <c r="I43" s="33">
        <v>1</v>
      </c>
      <c r="J43" s="31">
        <v>2.68</v>
      </c>
      <c r="K43" s="32">
        <v>37.799999999999997</v>
      </c>
    </row>
    <row r="44" spans="2:11" ht="17.649999999999999" x14ac:dyDescent="0.5">
      <c r="B44" s="31">
        <f>+B43+1</f>
        <v>39</v>
      </c>
      <c r="C44" s="32">
        <v>21.7</v>
      </c>
      <c r="D44" s="34">
        <v>0.35399999999999998</v>
      </c>
      <c r="E44" s="34">
        <v>6.0999999999999999E-2</v>
      </c>
      <c r="F44" s="35">
        <v>1.7600000000000001E-2</v>
      </c>
      <c r="G44" s="33">
        <v>5.21</v>
      </c>
      <c r="H44" s="33">
        <v>5.21</v>
      </c>
      <c r="I44" s="33">
        <v>1</v>
      </c>
      <c r="J44" s="31">
        <v>2.68</v>
      </c>
      <c r="K44" s="32">
        <v>88.7</v>
      </c>
    </row>
    <row r="45" spans="2:11" ht="17.649999999999999" x14ac:dyDescent="0.5">
      <c r="B45" s="31">
        <f>+B44+1</f>
        <v>40</v>
      </c>
      <c r="C45" s="32">
        <v>21.7</v>
      </c>
      <c r="D45" s="34">
        <v>0.35399999999999998</v>
      </c>
      <c r="E45" s="34">
        <v>5.8000000000000003E-2</v>
      </c>
      <c r="F45" s="35">
        <v>2.2260000000000002E-2</v>
      </c>
      <c r="G45" s="33">
        <v>5.21</v>
      </c>
      <c r="H45" s="33">
        <v>5.21</v>
      </c>
      <c r="I45" s="33">
        <v>1</v>
      </c>
      <c r="J45" s="31">
        <v>2.68</v>
      </c>
      <c r="K45" s="32">
        <v>151.9</v>
      </c>
    </row>
    <row r="46" spans="2:11" ht="17.649999999999999" x14ac:dyDescent="0.5">
      <c r="B46" s="31">
        <f>+B45+1</f>
        <v>41</v>
      </c>
      <c r="C46" s="32">
        <v>60.8</v>
      </c>
      <c r="D46" s="34">
        <v>0.35399999999999998</v>
      </c>
      <c r="E46" s="34">
        <v>0.13600000000000001</v>
      </c>
      <c r="F46" s="35">
        <v>1.12E-2</v>
      </c>
      <c r="G46" s="33">
        <v>5.21</v>
      </c>
      <c r="H46" s="33">
        <v>5.21</v>
      </c>
      <c r="I46" s="33">
        <v>1</v>
      </c>
      <c r="J46" s="31">
        <v>2.68</v>
      </c>
      <c r="K46" s="32">
        <v>154.19999999999999</v>
      </c>
    </row>
    <row r="47" spans="2:11" ht="17.649999999999999" x14ac:dyDescent="0.5">
      <c r="B47" s="31">
        <f>+B46+1</f>
        <v>42</v>
      </c>
      <c r="C47" s="32">
        <v>60.8</v>
      </c>
      <c r="D47" s="34">
        <v>0.35399999999999998</v>
      </c>
      <c r="E47" s="34">
        <v>0.14799999999999999</v>
      </c>
      <c r="F47" s="35">
        <v>8.8800000000000007E-3</v>
      </c>
      <c r="G47" s="33">
        <v>5.21</v>
      </c>
      <c r="H47" s="33">
        <v>5.21</v>
      </c>
      <c r="I47" s="33">
        <v>1</v>
      </c>
      <c r="J47" s="31">
        <v>2.68</v>
      </c>
      <c r="K47" s="32">
        <v>89.2</v>
      </c>
    </row>
    <row r="48" spans="2:11" ht="17.649999999999999" x14ac:dyDescent="0.5">
      <c r="B48" s="31">
        <f>+B47+1</f>
        <v>43</v>
      </c>
      <c r="C48" s="32">
        <v>60.8</v>
      </c>
      <c r="D48" s="34">
        <v>0.35399999999999998</v>
      </c>
      <c r="E48" s="34">
        <v>0.16</v>
      </c>
      <c r="F48" s="35">
        <v>6.2199999999999998E-3</v>
      </c>
      <c r="G48" s="33">
        <v>5.21</v>
      </c>
      <c r="H48" s="33">
        <v>5.21</v>
      </c>
      <c r="I48" s="33">
        <v>1</v>
      </c>
      <c r="J48" s="31">
        <v>2.68</v>
      </c>
      <c r="K48" s="32">
        <v>38.4</v>
      </c>
    </row>
    <row r="49" spans="2:11" ht="17.649999999999999" x14ac:dyDescent="0.5">
      <c r="B49" s="31">
        <f>+B48+1</f>
        <v>44</v>
      </c>
      <c r="C49" s="32">
        <v>60.8</v>
      </c>
      <c r="D49" s="34">
        <v>0.35399999999999998</v>
      </c>
      <c r="E49" s="34">
        <v>0.16</v>
      </c>
      <c r="F49" s="35">
        <v>6.3299999999999997E-3</v>
      </c>
      <c r="G49" s="33">
        <v>5.21</v>
      </c>
      <c r="H49" s="33">
        <v>5.21</v>
      </c>
      <c r="I49" s="33">
        <v>1</v>
      </c>
      <c r="J49" s="31">
        <v>2.68</v>
      </c>
      <c r="K49" s="32">
        <v>38.4</v>
      </c>
    </row>
    <row r="50" spans="2:11" ht="17.649999999999999" x14ac:dyDescent="0.5">
      <c r="B50" s="31">
        <f>+B49+1</f>
        <v>45</v>
      </c>
      <c r="C50" s="32">
        <v>43.4</v>
      </c>
      <c r="D50" s="34">
        <v>0.35399999999999998</v>
      </c>
      <c r="E50" s="34">
        <v>0.12</v>
      </c>
      <c r="F50" s="35">
        <v>7.5499999999999994E-3</v>
      </c>
      <c r="G50" s="33">
        <v>5.21</v>
      </c>
      <c r="H50" s="33">
        <v>5.21</v>
      </c>
      <c r="I50" s="33">
        <v>1</v>
      </c>
      <c r="J50" s="31">
        <v>2.68</v>
      </c>
      <c r="K50" s="32">
        <v>45.7</v>
      </c>
    </row>
    <row r="51" spans="2:11" ht="17.649999999999999" x14ac:dyDescent="0.5">
      <c r="B51" s="31">
        <f>+B50+1</f>
        <v>46</v>
      </c>
      <c r="C51" s="32">
        <v>60.8</v>
      </c>
      <c r="D51" s="34">
        <v>0.35399999999999998</v>
      </c>
      <c r="E51" s="34">
        <v>0.17499999999999999</v>
      </c>
      <c r="F51" s="35">
        <v>4.6699999999999997E-3</v>
      </c>
      <c r="G51" s="33">
        <v>5.21</v>
      </c>
      <c r="H51" s="33">
        <v>5.21</v>
      </c>
      <c r="I51" s="33">
        <v>1</v>
      </c>
      <c r="J51" s="31">
        <v>2.68</v>
      </c>
      <c r="K51" s="32">
        <v>13.6</v>
      </c>
    </row>
    <row r="52" spans="2:11" ht="17.649999999999999" x14ac:dyDescent="0.5">
      <c r="B52" s="31">
        <f>+B51+1</f>
        <v>47</v>
      </c>
      <c r="C52" s="32">
        <v>60.8</v>
      </c>
      <c r="D52" s="34">
        <v>0.35399999999999998</v>
      </c>
      <c r="E52" s="34">
        <v>0.19800000000000001</v>
      </c>
      <c r="F52" s="35">
        <v>3.1900000000000001E-3</v>
      </c>
      <c r="G52" s="33">
        <v>5.21</v>
      </c>
      <c r="H52" s="33">
        <v>5.21</v>
      </c>
      <c r="I52" s="33">
        <v>1</v>
      </c>
      <c r="J52" s="31">
        <v>2.68</v>
      </c>
      <c r="K52" s="32">
        <v>1.2</v>
      </c>
    </row>
    <row r="53" spans="2:11" ht="17.649999999999999" x14ac:dyDescent="0.5">
      <c r="B53" s="31">
        <f>+B52+1</f>
        <v>48</v>
      </c>
      <c r="C53" s="32">
        <v>60.8</v>
      </c>
      <c r="D53" s="34">
        <v>0.35399999999999998</v>
      </c>
      <c r="E53" s="34">
        <v>0.19500000000000001</v>
      </c>
      <c r="F53" s="35">
        <v>3.29E-3</v>
      </c>
      <c r="G53" s="33">
        <v>5.21</v>
      </c>
      <c r="H53" s="33">
        <v>5.21</v>
      </c>
      <c r="I53" s="33">
        <v>1</v>
      </c>
      <c r="J53" s="31">
        <v>2.68</v>
      </c>
      <c r="K53" s="32">
        <v>1.2</v>
      </c>
    </row>
    <row r="54" spans="2:11" ht="17.649999999999999" x14ac:dyDescent="0.5">
      <c r="B54" s="31">
        <f>+B53+1</f>
        <v>49</v>
      </c>
      <c r="C54" s="32">
        <v>43.4</v>
      </c>
      <c r="D54" s="34">
        <v>0.35399999999999998</v>
      </c>
      <c r="E54" s="34">
        <v>0.14499999999999999</v>
      </c>
      <c r="F54" s="35">
        <v>3.7200000000000002E-3</v>
      </c>
      <c r="G54" s="33">
        <v>5.21</v>
      </c>
      <c r="H54" s="33">
        <v>5.21</v>
      </c>
      <c r="I54" s="33">
        <v>1</v>
      </c>
      <c r="J54" s="31">
        <v>2.68</v>
      </c>
      <c r="K54" s="32">
        <v>1.2</v>
      </c>
    </row>
    <row r="55" spans="2:11" ht="17.649999999999999" x14ac:dyDescent="0.5">
      <c r="B55" s="31">
        <f>+B54+1</f>
        <v>50</v>
      </c>
      <c r="C55" s="32">
        <v>43.4</v>
      </c>
      <c r="D55" s="34">
        <v>0.35399999999999998</v>
      </c>
      <c r="E55" s="34">
        <v>0.10100000000000001</v>
      </c>
      <c r="F55" s="35">
        <v>1.307E-2</v>
      </c>
      <c r="G55" s="33">
        <v>5.21</v>
      </c>
      <c r="H55" s="33">
        <v>5.21</v>
      </c>
      <c r="I55" s="33">
        <v>1</v>
      </c>
      <c r="J55" s="31">
        <v>2.68</v>
      </c>
      <c r="K55" s="32">
        <v>154.69999999999999</v>
      </c>
    </row>
    <row r="56" spans="2:11" ht="17.649999999999999" x14ac:dyDescent="0.5">
      <c r="B56" s="31">
        <f>+B55+1</f>
        <v>51</v>
      </c>
      <c r="C56" s="32">
        <v>43.4</v>
      </c>
      <c r="D56" s="34">
        <v>0.35399999999999998</v>
      </c>
      <c r="E56" s="34">
        <v>0.13</v>
      </c>
      <c r="F56" s="35">
        <v>5.62E-3</v>
      </c>
      <c r="G56" s="33">
        <v>5.21</v>
      </c>
      <c r="H56" s="33">
        <v>5.21</v>
      </c>
      <c r="I56" s="33">
        <v>1</v>
      </c>
      <c r="J56" s="31">
        <v>2.68</v>
      </c>
      <c r="K56" s="32">
        <v>13.5</v>
      </c>
    </row>
    <row r="57" spans="2:11" ht="17.649999999999999" x14ac:dyDescent="0.5">
      <c r="B57" s="31">
        <f>+B56+1</f>
        <v>52</v>
      </c>
      <c r="C57" s="32">
        <v>82.1</v>
      </c>
      <c r="D57" s="34">
        <v>0.35399999999999998</v>
      </c>
      <c r="E57" s="34">
        <v>0.182</v>
      </c>
      <c r="F57" s="35">
        <v>9.8300000000000002E-3</v>
      </c>
      <c r="G57" s="33">
        <v>5.21</v>
      </c>
      <c r="H57" s="33">
        <v>5.21</v>
      </c>
      <c r="I57" s="33">
        <v>1</v>
      </c>
      <c r="J57" s="31">
        <v>2.68</v>
      </c>
      <c r="K57" s="32">
        <v>154.69999999999999</v>
      </c>
    </row>
    <row r="58" spans="2:11" ht="17.649999999999999" x14ac:dyDescent="0.5">
      <c r="B58" s="31">
        <f>+B57+1</f>
        <v>53</v>
      </c>
      <c r="C58" s="32">
        <v>82.1</v>
      </c>
      <c r="D58" s="34">
        <v>0.35399999999999998</v>
      </c>
      <c r="E58" s="34">
        <v>0.21299999999999999</v>
      </c>
      <c r="F58" s="35">
        <v>5.3800000000000002E-3</v>
      </c>
      <c r="G58" s="33">
        <v>5.21</v>
      </c>
      <c r="H58" s="33">
        <v>5.21</v>
      </c>
      <c r="I58" s="33">
        <v>1</v>
      </c>
      <c r="J58" s="31">
        <v>2.68</v>
      </c>
      <c r="K58" s="32">
        <v>38.4</v>
      </c>
    </row>
    <row r="59" spans="2:11" ht="17.649999999999999" x14ac:dyDescent="0.5">
      <c r="B59" s="31">
        <f>+B58+1</f>
        <v>54</v>
      </c>
      <c r="C59" s="32">
        <v>82.1</v>
      </c>
      <c r="D59" s="34">
        <v>0.35399999999999998</v>
      </c>
      <c r="E59" s="34">
        <v>0.248</v>
      </c>
      <c r="F59" s="35">
        <v>3.1800000000000001E-3</v>
      </c>
      <c r="G59" s="33">
        <v>5.21</v>
      </c>
      <c r="H59" s="33">
        <v>5.21</v>
      </c>
      <c r="I59" s="33">
        <v>1</v>
      </c>
      <c r="J59" s="31">
        <v>2.68</v>
      </c>
      <c r="K59" s="32">
        <v>3.8</v>
      </c>
    </row>
    <row r="60" spans="2:11" ht="17.649999999999999" x14ac:dyDescent="0.5">
      <c r="B60" s="31">
        <v>55</v>
      </c>
      <c r="C60" s="32">
        <v>10</v>
      </c>
      <c r="D60" s="34">
        <v>0.35399999999999998</v>
      </c>
      <c r="E60" s="34">
        <v>7.6999999999999999E-2</v>
      </c>
      <c r="F60" s="35">
        <v>1.75E-3</v>
      </c>
      <c r="G60" s="33">
        <v>5.21</v>
      </c>
      <c r="H60" s="33">
        <v>5.21</v>
      </c>
      <c r="I60" s="33">
        <v>1</v>
      </c>
      <c r="J60" s="31">
        <v>1.25</v>
      </c>
      <c r="K60" s="36">
        <v>4.2</v>
      </c>
    </row>
    <row r="61" spans="2:11" ht="17.649999999999999" x14ac:dyDescent="0.5">
      <c r="B61" s="31">
        <f t="shared" ref="B61:B124" si="0">+B60+1</f>
        <v>56</v>
      </c>
      <c r="C61" s="32">
        <v>10</v>
      </c>
      <c r="D61" s="34">
        <v>0.35399999999999998</v>
      </c>
      <c r="E61" s="34">
        <v>6.3E-2</v>
      </c>
      <c r="F61" s="35">
        <v>3.2599999999999999E-3</v>
      </c>
      <c r="G61" s="33">
        <v>5.21</v>
      </c>
      <c r="H61" s="33">
        <v>5.21</v>
      </c>
      <c r="I61" s="33">
        <v>1</v>
      </c>
      <c r="J61" s="31">
        <v>1.25</v>
      </c>
      <c r="K61" s="36">
        <v>27.3</v>
      </c>
    </row>
    <row r="62" spans="2:11" ht="17.649999999999999" x14ac:dyDescent="0.5">
      <c r="B62" s="31">
        <f t="shared" si="0"/>
        <v>57</v>
      </c>
      <c r="C62" s="32">
        <v>10</v>
      </c>
      <c r="D62" s="34">
        <v>0.35399999999999998</v>
      </c>
      <c r="E62" s="34">
        <v>5.8000000000000003E-2</v>
      </c>
      <c r="F62" s="35">
        <v>4.2699999999999995E-3</v>
      </c>
      <c r="G62" s="33">
        <v>5.21</v>
      </c>
      <c r="H62" s="33">
        <v>5.21</v>
      </c>
      <c r="I62" s="33">
        <v>1</v>
      </c>
      <c r="J62" s="31">
        <v>1.25</v>
      </c>
      <c r="K62" s="36">
        <v>48.1</v>
      </c>
    </row>
    <row r="63" spans="2:11" ht="17.649999999999999" x14ac:dyDescent="0.5">
      <c r="B63" s="31">
        <f t="shared" si="0"/>
        <v>58</v>
      </c>
      <c r="C63" s="32">
        <v>5</v>
      </c>
      <c r="D63" s="34">
        <v>0.35399999999999998</v>
      </c>
      <c r="E63" s="34">
        <v>3.3000000000000002E-2</v>
      </c>
      <c r="F63" s="35">
        <v>6.9699999999999996E-3</v>
      </c>
      <c r="G63" s="33">
        <v>5.21</v>
      </c>
      <c r="H63" s="33">
        <v>5.21</v>
      </c>
      <c r="I63" s="33">
        <v>1</v>
      </c>
      <c r="J63" s="31">
        <v>1.25</v>
      </c>
      <c r="K63" s="36">
        <v>48.5</v>
      </c>
    </row>
    <row r="64" spans="2:11" ht="17.649999999999999" x14ac:dyDescent="0.5">
      <c r="B64" s="31">
        <f t="shared" si="0"/>
        <v>59</v>
      </c>
      <c r="C64" s="32">
        <v>21.6</v>
      </c>
      <c r="D64" s="34">
        <v>0.35399999999999998</v>
      </c>
      <c r="E64" s="34">
        <v>0.11700000000000001</v>
      </c>
      <c r="F64" s="35">
        <v>2.8E-3</v>
      </c>
      <c r="G64" s="33">
        <v>5.21</v>
      </c>
      <c r="H64" s="33">
        <v>5.21</v>
      </c>
      <c r="I64" s="33">
        <v>1</v>
      </c>
      <c r="J64" s="31">
        <v>1.25</v>
      </c>
      <c r="K64" s="36">
        <v>49.4</v>
      </c>
    </row>
    <row r="65" spans="2:11" ht="17.649999999999999" x14ac:dyDescent="0.5">
      <c r="B65" s="31">
        <f t="shared" si="0"/>
        <v>60</v>
      </c>
      <c r="C65" s="32">
        <v>5</v>
      </c>
      <c r="D65" s="34">
        <v>0.35399999999999998</v>
      </c>
      <c r="E65" s="34">
        <v>4.5999999999999999E-2</v>
      </c>
      <c r="F65" s="35">
        <v>2.1700000000000001E-3</v>
      </c>
      <c r="G65" s="33">
        <v>5.21</v>
      </c>
      <c r="H65" s="33">
        <v>5.21</v>
      </c>
      <c r="I65" s="33">
        <v>1</v>
      </c>
      <c r="J65" s="31">
        <v>1.25</v>
      </c>
      <c r="K65" s="36">
        <v>1.1000000000000001</v>
      </c>
    </row>
    <row r="66" spans="2:11" ht="17.649999999999999" x14ac:dyDescent="0.5">
      <c r="B66" s="31">
        <f t="shared" si="0"/>
        <v>61</v>
      </c>
      <c r="C66" s="32">
        <v>10</v>
      </c>
      <c r="D66" s="34">
        <v>0.35399999999999998</v>
      </c>
      <c r="E66" s="34">
        <v>8.2000000000000003E-2</v>
      </c>
      <c r="F66" s="35">
        <v>1.2800000000000001E-3</v>
      </c>
      <c r="G66" s="33">
        <v>5.21</v>
      </c>
      <c r="H66" s="33">
        <v>5.21</v>
      </c>
      <c r="I66" s="33">
        <v>1</v>
      </c>
      <c r="J66" s="31">
        <v>1.25</v>
      </c>
      <c r="K66" s="36">
        <v>1.1000000000000001</v>
      </c>
    </row>
    <row r="67" spans="2:11" ht="17.649999999999999" x14ac:dyDescent="0.5">
      <c r="B67" s="31">
        <f t="shared" si="0"/>
        <v>62</v>
      </c>
      <c r="C67" s="32">
        <v>10</v>
      </c>
      <c r="D67" s="34">
        <v>0.35399999999999998</v>
      </c>
      <c r="E67" s="34">
        <v>5.0999999999999997E-2</v>
      </c>
      <c r="F67" s="35">
        <v>6.3800000000000003E-3</v>
      </c>
      <c r="G67" s="33">
        <v>5.21</v>
      </c>
      <c r="H67" s="33">
        <v>5.21</v>
      </c>
      <c r="I67" s="33">
        <v>1</v>
      </c>
      <c r="J67" s="31">
        <v>1.25</v>
      </c>
      <c r="K67" s="36">
        <v>106.7</v>
      </c>
    </row>
    <row r="68" spans="2:11" ht="17.649999999999999" x14ac:dyDescent="0.5">
      <c r="B68" s="31">
        <f t="shared" si="0"/>
        <v>63</v>
      </c>
      <c r="C68" s="32">
        <v>21.6</v>
      </c>
      <c r="D68" s="34">
        <v>0.35399999999999998</v>
      </c>
      <c r="E68" s="34">
        <v>9.8000000000000004E-2</v>
      </c>
      <c r="F68" s="35">
        <v>3.9100000000000003E-3</v>
      </c>
      <c r="G68" s="33">
        <v>5.21</v>
      </c>
      <c r="H68" s="33">
        <v>5.21</v>
      </c>
      <c r="I68" s="33">
        <v>1</v>
      </c>
      <c r="J68" s="31">
        <v>1.25</v>
      </c>
      <c r="K68" s="36">
        <v>109</v>
      </c>
    </row>
    <row r="69" spans="2:11" ht="17.649999999999999" x14ac:dyDescent="0.5">
      <c r="B69" s="31">
        <f t="shared" si="0"/>
        <v>64</v>
      </c>
      <c r="C69" s="32">
        <v>2.1</v>
      </c>
      <c r="D69" s="34">
        <v>0.35399999999999998</v>
      </c>
      <c r="E69" s="34">
        <v>2.4E-2</v>
      </c>
      <c r="F69" s="35">
        <v>5.7199999999999994E-3</v>
      </c>
      <c r="G69" s="33">
        <v>5.21</v>
      </c>
      <c r="H69" s="33">
        <v>5.21</v>
      </c>
      <c r="I69" s="33">
        <v>1</v>
      </c>
      <c r="J69" s="31">
        <v>1.25</v>
      </c>
      <c r="K69" s="36">
        <v>4.4000000000000004</v>
      </c>
    </row>
    <row r="70" spans="2:11" ht="17.649999999999999" x14ac:dyDescent="0.5">
      <c r="B70" s="31">
        <f t="shared" si="0"/>
        <v>65</v>
      </c>
      <c r="C70" s="32">
        <v>1.1000000000000001</v>
      </c>
      <c r="D70" s="34">
        <v>0.35399999999999998</v>
      </c>
      <c r="E70" s="34">
        <v>1.2999999999999999E-2</v>
      </c>
      <c r="F70" s="35">
        <v>7.9100000000000004E-3</v>
      </c>
      <c r="G70" s="33">
        <v>5.21</v>
      </c>
      <c r="H70" s="33">
        <v>5.21</v>
      </c>
      <c r="I70" s="33">
        <v>1</v>
      </c>
      <c r="J70" s="31">
        <v>1.25</v>
      </c>
      <c r="K70" s="36">
        <v>4.4000000000000004</v>
      </c>
    </row>
    <row r="71" spans="2:11" ht="17.649999999999999" x14ac:dyDescent="0.5">
      <c r="B71" s="31">
        <f t="shared" si="0"/>
        <v>66</v>
      </c>
      <c r="C71" s="32">
        <v>0.8</v>
      </c>
      <c r="D71" s="34">
        <v>0.35399999999999998</v>
      </c>
      <c r="E71" s="34">
        <v>8.0000000000000002E-3</v>
      </c>
      <c r="F71" s="35">
        <v>1.0630000000000001E-2</v>
      </c>
      <c r="G71" s="33">
        <v>5.21</v>
      </c>
      <c r="H71" s="33">
        <v>5.21</v>
      </c>
      <c r="I71" s="33">
        <v>1</v>
      </c>
      <c r="J71" s="31">
        <v>1.25</v>
      </c>
      <c r="K71" s="36">
        <v>4.4000000000000004</v>
      </c>
    </row>
    <row r="72" spans="2:11" ht="17.649999999999999" x14ac:dyDescent="0.5">
      <c r="B72" s="31">
        <f t="shared" si="0"/>
        <v>67</v>
      </c>
      <c r="C72" s="32">
        <v>550</v>
      </c>
      <c r="D72" s="34">
        <v>2</v>
      </c>
      <c r="E72" s="34">
        <v>0.49</v>
      </c>
      <c r="F72" s="35">
        <v>5.0000000000000001E-4</v>
      </c>
      <c r="G72" s="33">
        <v>0.41</v>
      </c>
      <c r="H72" s="33">
        <v>0.7</v>
      </c>
      <c r="I72" s="33">
        <v>3.5</v>
      </c>
      <c r="J72" s="31">
        <v>2.68</v>
      </c>
      <c r="K72" s="36">
        <v>17.399999999999999</v>
      </c>
    </row>
    <row r="73" spans="2:11" ht="17.649999999999999" x14ac:dyDescent="0.5">
      <c r="B73" s="31">
        <f t="shared" si="0"/>
        <v>68</v>
      </c>
      <c r="C73" s="32">
        <v>300</v>
      </c>
      <c r="D73" s="34">
        <v>2</v>
      </c>
      <c r="E73" s="34">
        <v>0.35199999999999998</v>
      </c>
      <c r="F73" s="35">
        <v>4.1999999999999996E-4</v>
      </c>
      <c r="G73" s="33">
        <v>0.4</v>
      </c>
      <c r="H73" s="33">
        <v>0.7</v>
      </c>
      <c r="I73" s="33">
        <v>3.5</v>
      </c>
      <c r="J73" s="31">
        <v>2.68</v>
      </c>
      <c r="K73" s="36">
        <v>4.3</v>
      </c>
    </row>
    <row r="74" spans="2:11" ht="17.649999999999999" x14ac:dyDescent="0.5">
      <c r="B74" s="31">
        <f t="shared" si="0"/>
        <v>69</v>
      </c>
      <c r="C74" s="32">
        <v>400</v>
      </c>
      <c r="D74" s="34">
        <v>2</v>
      </c>
      <c r="E74" s="34">
        <v>0.4</v>
      </c>
      <c r="F74" s="35">
        <v>4.7999999999999996E-4</v>
      </c>
      <c r="G74" s="33">
        <v>0.38</v>
      </c>
      <c r="H74" s="33">
        <v>0.7</v>
      </c>
      <c r="I74" s="33">
        <v>3.5</v>
      </c>
      <c r="J74" s="31">
        <v>2.68</v>
      </c>
      <c r="K74" s="36">
        <v>14.2</v>
      </c>
    </row>
    <row r="75" spans="2:11" ht="17.649999999999999" x14ac:dyDescent="0.5">
      <c r="B75" s="31">
        <f t="shared" si="0"/>
        <v>70</v>
      </c>
      <c r="C75" s="32">
        <v>200</v>
      </c>
      <c r="D75" s="34">
        <v>2</v>
      </c>
      <c r="E75" s="34">
        <v>0.28499999999999998</v>
      </c>
      <c r="F75" s="35">
        <v>4.0000000000000002E-4</v>
      </c>
      <c r="G75" s="33">
        <v>0.39</v>
      </c>
      <c r="H75" s="33">
        <v>0.7</v>
      </c>
      <c r="I75" s="33">
        <v>3.5</v>
      </c>
      <c r="J75" s="31">
        <v>2.68</v>
      </c>
      <c r="K75" s="36">
        <v>1.4</v>
      </c>
    </row>
    <row r="76" spans="2:11" ht="17.649999999999999" x14ac:dyDescent="0.5">
      <c r="B76" s="31">
        <f t="shared" si="0"/>
        <v>71</v>
      </c>
      <c r="C76" s="32">
        <v>350</v>
      </c>
      <c r="D76" s="34">
        <v>2</v>
      </c>
      <c r="E76" s="34">
        <v>0.372</v>
      </c>
      <c r="F76" s="35">
        <v>4.4999999999999999E-4</v>
      </c>
      <c r="G76" s="33">
        <v>0.4</v>
      </c>
      <c r="H76" s="33">
        <v>0.7</v>
      </c>
      <c r="I76" s="33">
        <v>3.5</v>
      </c>
      <c r="J76" s="31">
        <v>2.68</v>
      </c>
      <c r="K76" s="36">
        <v>9</v>
      </c>
    </row>
    <row r="77" spans="2:11" ht="17.649999999999999" x14ac:dyDescent="0.5">
      <c r="B77" s="31">
        <f t="shared" si="0"/>
        <v>72</v>
      </c>
      <c r="C77" s="32">
        <v>180</v>
      </c>
      <c r="D77" s="34">
        <v>2</v>
      </c>
      <c r="E77" s="34">
        <v>0.191</v>
      </c>
      <c r="F77" s="35">
        <v>1E-3</v>
      </c>
      <c r="G77" s="33">
        <v>1.03</v>
      </c>
      <c r="H77" s="33">
        <v>1.35</v>
      </c>
      <c r="I77" s="33">
        <v>1.93</v>
      </c>
      <c r="J77" s="31">
        <v>2.68</v>
      </c>
      <c r="K77" s="36">
        <v>16.899999999999999</v>
      </c>
    </row>
    <row r="78" spans="2:11" ht="17.649999999999999" x14ac:dyDescent="0.5">
      <c r="B78" s="31">
        <f t="shared" si="0"/>
        <v>73</v>
      </c>
      <c r="C78" s="32">
        <v>140</v>
      </c>
      <c r="D78" s="34">
        <v>2</v>
      </c>
      <c r="E78" s="34">
        <v>0.152</v>
      </c>
      <c r="F78" s="35">
        <v>1.0400000000000001E-3</v>
      </c>
      <c r="G78" s="33">
        <v>1</v>
      </c>
      <c r="H78" s="33">
        <v>1.35</v>
      </c>
      <c r="I78" s="33">
        <v>1.93</v>
      </c>
      <c r="J78" s="31">
        <v>2.68</v>
      </c>
      <c r="K78" s="36">
        <v>13.3</v>
      </c>
    </row>
    <row r="79" spans="2:11" ht="17.649999999999999" x14ac:dyDescent="0.5">
      <c r="B79" s="31">
        <f t="shared" si="0"/>
        <v>74</v>
      </c>
      <c r="C79" s="32">
        <v>100</v>
      </c>
      <c r="D79" s="34">
        <v>2</v>
      </c>
      <c r="E79" s="34">
        <v>0.112</v>
      </c>
      <c r="F79" s="35">
        <v>1.07E-3</v>
      </c>
      <c r="G79" s="33">
        <v>0.97</v>
      </c>
      <c r="H79" s="33">
        <v>1.35</v>
      </c>
      <c r="I79" s="33">
        <v>1.93</v>
      </c>
      <c r="J79" s="31">
        <v>2.68</v>
      </c>
      <c r="K79" s="36">
        <v>10.9</v>
      </c>
    </row>
    <row r="80" spans="2:11" ht="17.649999999999999" x14ac:dyDescent="0.5">
      <c r="B80" s="31">
        <f t="shared" si="0"/>
        <v>75</v>
      </c>
      <c r="C80" s="32">
        <v>150</v>
      </c>
      <c r="D80" s="34">
        <v>2</v>
      </c>
      <c r="E80" s="34">
        <v>0.11</v>
      </c>
      <c r="F80" s="35">
        <v>2.3999999999999998E-3</v>
      </c>
      <c r="G80" s="33">
        <v>1.7</v>
      </c>
      <c r="H80" s="33">
        <v>4</v>
      </c>
      <c r="I80" s="33">
        <v>5.71</v>
      </c>
      <c r="J80" s="31">
        <v>2.68</v>
      </c>
      <c r="K80" s="37">
        <v>87.1</v>
      </c>
    </row>
    <row r="81" spans="2:11" ht="17.649999999999999" x14ac:dyDescent="0.5">
      <c r="B81" s="31">
        <f t="shared" si="0"/>
        <v>76</v>
      </c>
      <c r="C81" s="32">
        <v>100</v>
      </c>
      <c r="D81" s="34">
        <v>2</v>
      </c>
      <c r="E81" s="34">
        <v>7.8E-2</v>
      </c>
      <c r="F81" s="35">
        <v>2.5000000000000001E-3</v>
      </c>
      <c r="G81" s="33">
        <v>1.59</v>
      </c>
      <c r="H81" s="33">
        <v>4</v>
      </c>
      <c r="I81" s="33">
        <v>5.71</v>
      </c>
      <c r="J81" s="31">
        <v>2.68</v>
      </c>
      <c r="K81" s="37">
        <v>24.6</v>
      </c>
    </row>
    <row r="82" spans="2:11" ht="17.649999999999999" x14ac:dyDescent="0.5">
      <c r="B82" s="31">
        <f t="shared" si="0"/>
        <v>77</v>
      </c>
      <c r="C82" s="32">
        <v>100</v>
      </c>
      <c r="D82" s="34">
        <v>2</v>
      </c>
      <c r="E82" s="34">
        <v>7.9000000000000001E-2</v>
      </c>
      <c r="F82" s="35">
        <v>2.5499999999999997E-3</v>
      </c>
      <c r="G82" s="33">
        <v>1.63</v>
      </c>
      <c r="H82" s="33">
        <v>4</v>
      </c>
      <c r="I82" s="33">
        <v>5.71</v>
      </c>
      <c r="J82" s="31">
        <v>2.68</v>
      </c>
      <c r="K82" s="37">
        <v>28.3</v>
      </c>
    </row>
    <row r="83" spans="2:11" ht="17.649999999999999" x14ac:dyDescent="0.5">
      <c r="B83" s="31">
        <f t="shared" si="0"/>
        <v>78</v>
      </c>
      <c r="C83" s="32">
        <v>70</v>
      </c>
      <c r="D83" s="34">
        <v>2</v>
      </c>
      <c r="E83" s="34">
        <v>5.6000000000000001E-2</v>
      </c>
      <c r="F83" s="35">
        <v>2.5899999999999999E-3</v>
      </c>
      <c r="G83" s="33">
        <v>1.68</v>
      </c>
      <c r="H83" s="33">
        <v>4</v>
      </c>
      <c r="I83" s="33">
        <v>5.71</v>
      </c>
      <c r="J83" s="31">
        <v>2.68</v>
      </c>
      <c r="K83" s="37">
        <v>9</v>
      </c>
    </row>
    <row r="84" spans="2:11" ht="17.649999999999999" x14ac:dyDescent="0.5">
      <c r="B84" s="31">
        <f t="shared" si="0"/>
        <v>79</v>
      </c>
      <c r="C84" s="32">
        <v>120</v>
      </c>
      <c r="D84" s="34">
        <v>2</v>
      </c>
      <c r="E84" s="34">
        <v>9.5000000000000001E-2</v>
      </c>
      <c r="F84" s="35">
        <v>2.4399999999999999E-3</v>
      </c>
      <c r="G84" s="33">
        <v>1.64</v>
      </c>
      <c r="H84" s="33">
        <v>4</v>
      </c>
      <c r="I84" s="33">
        <v>5.71</v>
      </c>
      <c r="J84" s="31">
        <v>2.68</v>
      </c>
      <c r="K84" s="37">
        <v>47.4</v>
      </c>
    </row>
    <row r="85" spans="2:11" ht="17.649999999999999" x14ac:dyDescent="0.5">
      <c r="B85" s="31">
        <f t="shared" si="0"/>
        <v>80</v>
      </c>
      <c r="C85" s="32">
        <v>225</v>
      </c>
      <c r="D85" s="34">
        <v>2</v>
      </c>
      <c r="E85" s="34">
        <v>0.15</v>
      </c>
      <c r="F85" s="35">
        <v>2.4199999999999998E-3</v>
      </c>
      <c r="G85" s="33">
        <v>1.89</v>
      </c>
      <c r="H85" s="33">
        <v>4</v>
      </c>
      <c r="I85" s="33">
        <v>5.71</v>
      </c>
      <c r="J85" s="31">
        <v>2.68</v>
      </c>
      <c r="K85" s="37">
        <v>156.4</v>
      </c>
    </row>
    <row r="86" spans="2:11" ht="17.649999999999999" x14ac:dyDescent="0.5">
      <c r="B86" s="31">
        <f t="shared" si="0"/>
        <v>81</v>
      </c>
      <c r="C86" s="32">
        <v>180</v>
      </c>
      <c r="D86" s="34">
        <v>2</v>
      </c>
      <c r="E86" s="34">
        <v>0.123</v>
      </c>
      <c r="F86" s="35">
        <v>2.65E-3</v>
      </c>
      <c r="G86" s="33">
        <v>1.86</v>
      </c>
      <c r="H86" s="33">
        <v>4</v>
      </c>
      <c r="I86" s="33">
        <v>5.71</v>
      </c>
      <c r="J86" s="31">
        <v>2.68</v>
      </c>
      <c r="K86" s="37">
        <v>133.5</v>
      </c>
    </row>
    <row r="87" spans="2:11" ht="17.649999999999999" x14ac:dyDescent="0.5">
      <c r="B87" s="31">
        <f t="shared" si="0"/>
        <v>82</v>
      </c>
      <c r="C87" s="32">
        <v>330</v>
      </c>
      <c r="D87" s="34">
        <v>2</v>
      </c>
      <c r="E87" s="34">
        <v>0.187</v>
      </c>
      <c r="F87" s="35">
        <v>2.9399999999999999E-3</v>
      </c>
      <c r="G87" s="33">
        <v>1.97</v>
      </c>
      <c r="H87" s="33">
        <v>4</v>
      </c>
      <c r="I87" s="33">
        <v>5.71</v>
      </c>
      <c r="J87" s="31">
        <v>2.68</v>
      </c>
      <c r="K87" s="37">
        <v>29.4</v>
      </c>
    </row>
    <row r="88" spans="2:11" ht="17.649999999999999" x14ac:dyDescent="0.5">
      <c r="B88" s="31">
        <f t="shared" si="0"/>
        <v>83</v>
      </c>
      <c r="C88" s="32">
        <v>330</v>
      </c>
      <c r="D88" s="34">
        <v>2</v>
      </c>
      <c r="E88" s="34">
        <v>0.20399999999999999</v>
      </c>
      <c r="F88" s="35">
        <v>2.48E-3</v>
      </c>
      <c r="G88" s="33">
        <v>1.99</v>
      </c>
      <c r="H88" s="33">
        <v>4</v>
      </c>
      <c r="I88" s="33">
        <v>5.71</v>
      </c>
      <c r="J88" s="31">
        <v>2.68</v>
      </c>
      <c r="K88" s="37">
        <v>187</v>
      </c>
    </row>
    <row r="89" spans="2:11" ht="17.649999999999999" x14ac:dyDescent="0.5">
      <c r="B89" s="31">
        <f t="shared" si="0"/>
        <v>84</v>
      </c>
      <c r="C89" s="32">
        <v>330</v>
      </c>
      <c r="D89" s="34">
        <v>2</v>
      </c>
      <c r="E89" s="34">
        <v>0.20300000000000001</v>
      </c>
      <c r="F89" s="35">
        <v>2.4100000000000002E-3</v>
      </c>
      <c r="G89" s="33">
        <v>1.97</v>
      </c>
      <c r="H89" s="33">
        <v>4</v>
      </c>
      <c r="I89" s="33">
        <v>5.71</v>
      </c>
      <c r="J89" s="31">
        <v>2.68</v>
      </c>
      <c r="K89" s="37">
        <v>211.2</v>
      </c>
    </row>
    <row r="90" spans="2:11" ht="17.649999999999999" x14ac:dyDescent="0.5">
      <c r="B90" s="31">
        <f t="shared" si="0"/>
        <v>85</v>
      </c>
      <c r="C90" s="32">
        <v>330</v>
      </c>
      <c r="D90" s="34">
        <v>2</v>
      </c>
      <c r="E90" s="34">
        <v>0.20699999999999999</v>
      </c>
      <c r="F90" s="35">
        <v>2.3900000000000002E-3</v>
      </c>
      <c r="G90" s="33">
        <v>1.98</v>
      </c>
      <c r="H90" s="33">
        <v>4</v>
      </c>
      <c r="I90" s="33">
        <v>5.71</v>
      </c>
      <c r="J90" s="31">
        <v>2.68</v>
      </c>
      <c r="K90" s="37">
        <v>206.7</v>
      </c>
    </row>
    <row r="91" spans="2:11" ht="17.649999999999999" x14ac:dyDescent="0.5">
      <c r="B91" s="31">
        <f t="shared" si="0"/>
        <v>86</v>
      </c>
      <c r="C91" s="32">
        <v>330</v>
      </c>
      <c r="D91" s="34">
        <v>2</v>
      </c>
      <c r="E91" s="34">
        <v>0.19800000000000001</v>
      </c>
      <c r="F91" s="35">
        <v>2.7499999999999998E-3</v>
      </c>
      <c r="G91" s="33">
        <v>2.04</v>
      </c>
      <c r="H91" s="33">
        <v>4</v>
      </c>
      <c r="I91" s="33">
        <v>5.71</v>
      </c>
      <c r="J91" s="31">
        <v>2.68</v>
      </c>
      <c r="K91" s="37">
        <v>255.9</v>
      </c>
    </row>
    <row r="92" spans="2:11" ht="17.649999999999999" x14ac:dyDescent="0.5">
      <c r="B92" s="31">
        <f t="shared" si="0"/>
        <v>87</v>
      </c>
      <c r="C92" s="32">
        <v>330</v>
      </c>
      <c r="D92" s="34">
        <v>2</v>
      </c>
      <c r="E92" s="34">
        <v>0.19800000000000001</v>
      </c>
      <c r="F92" s="35">
        <v>2.6099999999999999E-3</v>
      </c>
      <c r="G92" s="33">
        <v>2.06</v>
      </c>
      <c r="H92" s="33">
        <v>4</v>
      </c>
      <c r="I92" s="33">
        <v>5.71</v>
      </c>
      <c r="J92" s="31">
        <v>2.68</v>
      </c>
      <c r="K92" s="37">
        <v>235.5</v>
      </c>
    </row>
    <row r="93" spans="2:11" ht="17.649999999999999" x14ac:dyDescent="0.5">
      <c r="B93" s="31">
        <f t="shared" si="0"/>
        <v>88</v>
      </c>
      <c r="C93" s="32">
        <v>260</v>
      </c>
      <c r="D93" s="34">
        <v>2</v>
      </c>
      <c r="E93" s="34">
        <v>0.16600000000000001</v>
      </c>
      <c r="F93" s="35">
        <v>2.4500000000000004E-3</v>
      </c>
      <c r="G93" s="33">
        <v>1.98</v>
      </c>
      <c r="H93" s="33">
        <v>4</v>
      </c>
      <c r="I93" s="33">
        <v>5.71</v>
      </c>
      <c r="J93" s="31">
        <v>2.68</v>
      </c>
      <c r="K93" s="37">
        <v>190.2</v>
      </c>
    </row>
    <row r="94" spans="2:11" ht="17.649999999999999" x14ac:dyDescent="0.5">
      <c r="B94" s="31">
        <f t="shared" si="0"/>
        <v>89</v>
      </c>
      <c r="C94" s="32">
        <v>260</v>
      </c>
      <c r="D94" s="34">
        <v>2</v>
      </c>
      <c r="E94" s="34">
        <v>0.17</v>
      </c>
      <c r="F94" s="35">
        <v>2.2499999999999998E-3</v>
      </c>
      <c r="G94" s="33">
        <v>1.99</v>
      </c>
      <c r="H94" s="33">
        <v>4</v>
      </c>
      <c r="I94" s="33">
        <v>5.71</v>
      </c>
      <c r="J94" s="31">
        <v>2.68</v>
      </c>
      <c r="K94" s="37">
        <v>142.6</v>
      </c>
    </row>
    <row r="95" spans="2:11" ht="17.649999999999999" x14ac:dyDescent="0.5">
      <c r="B95" s="31">
        <f t="shared" si="0"/>
        <v>90</v>
      </c>
      <c r="C95" s="32">
        <v>150</v>
      </c>
      <c r="D95" s="34">
        <v>2</v>
      </c>
      <c r="E95" s="34">
        <v>0.115</v>
      </c>
      <c r="F95" s="35">
        <v>2.3999999999999998E-3</v>
      </c>
      <c r="G95" s="33">
        <v>1.84</v>
      </c>
      <c r="H95" s="33">
        <v>4</v>
      </c>
      <c r="I95" s="33">
        <v>5.71</v>
      </c>
      <c r="J95" s="31">
        <v>2.68</v>
      </c>
      <c r="K95" s="37">
        <v>57.1</v>
      </c>
    </row>
    <row r="96" spans="2:11" ht="17.649999999999999" x14ac:dyDescent="0.5">
      <c r="B96" s="31">
        <f t="shared" si="0"/>
        <v>91</v>
      </c>
      <c r="C96" s="32">
        <v>190</v>
      </c>
      <c r="D96" s="34">
        <v>2</v>
      </c>
      <c r="E96" s="34">
        <v>0.13500000000000001</v>
      </c>
      <c r="F96" s="35">
        <v>2.3500000000000001E-3</v>
      </c>
      <c r="G96" s="33">
        <v>2.04</v>
      </c>
      <c r="H96" s="33">
        <v>4</v>
      </c>
      <c r="I96" s="33">
        <v>5.71</v>
      </c>
      <c r="J96" s="31">
        <v>2.68</v>
      </c>
      <c r="K96" s="37">
        <v>90.6</v>
      </c>
    </row>
    <row r="97" spans="2:11" ht="17.649999999999999" x14ac:dyDescent="0.5">
      <c r="B97" s="31">
        <f t="shared" si="0"/>
        <v>92</v>
      </c>
      <c r="C97" s="32">
        <v>67.5</v>
      </c>
      <c r="D97" s="34">
        <v>0.42</v>
      </c>
      <c r="E97" s="34">
        <v>0.2</v>
      </c>
      <c r="F97" s="35">
        <v>2.6800000000000001E-3</v>
      </c>
      <c r="G97" s="33">
        <v>3.3</v>
      </c>
      <c r="H97" s="33">
        <v>6.5</v>
      </c>
      <c r="I97" s="33">
        <v>3.82</v>
      </c>
      <c r="J97" s="31">
        <v>2.68</v>
      </c>
      <c r="K97" s="36">
        <v>3.8</v>
      </c>
    </row>
    <row r="98" spans="2:11" ht="17.649999999999999" x14ac:dyDescent="0.5">
      <c r="B98" s="31">
        <f t="shared" si="0"/>
        <v>93</v>
      </c>
      <c r="C98" s="32">
        <v>60.7</v>
      </c>
      <c r="D98" s="34">
        <v>0.42</v>
      </c>
      <c r="E98" s="34">
        <v>0.185</v>
      </c>
      <c r="F98" s="35">
        <v>2.7000000000000001E-3</v>
      </c>
      <c r="G98" s="33">
        <v>3.3</v>
      </c>
      <c r="H98" s="33">
        <v>6.5</v>
      </c>
      <c r="I98" s="33">
        <v>3.82</v>
      </c>
      <c r="J98" s="31">
        <v>2.68</v>
      </c>
      <c r="K98" s="36">
        <v>3.1</v>
      </c>
    </row>
    <row r="99" spans="2:11" ht="17.649999999999999" x14ac:dyDescent="0.5">
      <c r="B99" s="31">
        <f t="shared" si="0"/>
        <v>94</v>
      </c>
      <c r="C99" s="32">
        <v>54.1</v>
      </c>
      <c r="D99" s="34">
        <v>0.42</v>
      </c>
      <c r="E99" s="34">
        <v>0.17100000000000001</v>
      </c>
      <c r="F99" s="35">
        <v>2.7499999999999998E-3</v>
      </c>
      <c r="G99" s="33">
        <v>3.3</v>
      </c>
      <c r="H99" s="33">
        <v>6.5</v>
      </c>
      <c r="I99" s="33">
        <v>3.82</v>
      </c>
      <c r="J99" s="31">
        <v>2.68</v>
      </c>
      <c r="K99" s="36">
        <v>2</v>
      </c>
    </row>
    <row r="100" spans="2:11" ht="17.649999999999999" x14ac:dyDescent="0.5">
      <c r="B100" s="31">
        <f t="shared" si="0"/>
        <v>95</v>
      </c>
      <c r="C100" s="32">
        <v>43.9</v>
      </c>
      <c r="D100" s="34">
        <v>0.42</v>
      </c>
      <c r="E100" s="34">
        <v>0.14899999999999999</v>
      </c>
      <c r="F100" s="35">
        <v>2.7400000000000002E-3</v>
      </c>
      <c r="G100" s="33">
        <v>3.3</v>
      </c>
      <c r="H100" s="33">
        <v>6.5</v>
      </c>
      <c r="I100" s="33">
        <v>3.82</v>
      </c>
      <c r="J100" s="31">
        <v>2.68</v>
      </c>
      <c r="K100" s="36">
        <v>0.5</v>
      </c>
    </row>
    <row r="101" spans="2:11" ht="17.649999999999999" x14ac:dyDescent="0.5">
      <c r="B101" s="31">
        <f t="shared" si="0"/>
        <v>96</v>
      </c>
      <c r="C101" s="32">
        <v>35</v>
      </c>
      <c r="D101" s="34">
        <v>0.42</v>
      </c>
      <c r="E101" s="34">
        <v>0.128</v>
      </c>
      <c r="F101" s="35">
        <v>2.7499999999999998E-3</v>
      </c>
      <c r="G101" s="33">
        <v>3.3</v>
      </c>
      <c r="H101" s="33">
        <v>6.5</v>
      </c>
      <c r="I101" s="33">
        <v>3.82</v>
      </c>
      <c r="J101" s="31">
        <v>2.68</v>
      </c>
      <c r="K101" s="36">
        <v>0.1</v>
      </c>
    </row>
    <row r="102" spans="2:11" ht="17.649999999999999" x14ac:dyDescent="0.5">
      <c r="B102" s="31">
        <f t="shared" si="0"/>
        <v>97</v>
      </c>
      <c r="C102" s="32">
        <v>60.7</v>
      </c>
      <c r="D102" s="34">
        <v>0.42</v>
      </c>
      <c r="E102" s="34">
        <v>0.185</v>
      </c>
      <c r="F102" s="35">
        <v>2.7699999999999999E-3</v>
      </c>
      <c r="G102" s="33">
        <v>3.3</v>
      </c>
      <c r="H102" s="33">
        <v>6.5</v>
      </c>
      <c r="I102" s="33">
        <v>3.82</v>
      </c>
      <c r="J102" s="31">
        <v>2.68</v>
      </c>
      <c r="K102" s="36">
        <v>3.2</v>
      </c>
    </row>
    <row r="103" spans="2:11" ht="17.649999999999999" x14ac:dyDescent="0.5">
      <c r="B103" s="31">
        <f t="shared" si="0"/>
        <v>98</v>
      </c>
      <c r="C103" s="32">
        <v>90.6</v>
      </c>
      <c r="D103" s="34">
        <v>0.42</v>
      </c>
      <c r="E103" s="34">
        <v>0.24299999999999999</v>
      </c>
      <c r="F103" s="35">
        <v>2.7299999999999998E-3</v>
      </c>
      <c r="G103" s="33">
        <v>3.3</v>
      </c>
      <c r="H103" s="33">
        <v>6.5</v>
      </c>
      <c r="I103" s="33">
        <v>3.82</v>
      </c>
      <c r="J103" s="31">
        <v>2.68</v>
      </c>
      <c r="K103" s="36">
        <v>23.5</v>
      </c>
    </row>
    <row r="104" spans="2:11" ht="17.649999999999999" x14ac:dyDescent="0.5">
      <c r="B104" s="31">
        <f t="shared" si="0"/>
        <v>99</v>
      </c>
      <c r="C104" s="32">
        <v>60.7</v>
      </c>
      <c r="D104" s="34">
        <v>0.42</v>
      </c>
      <c r="E104" s="34">
        <v>0.185</v>
      </c>
      <c r="F104" s="35">
        <v>2.7499999999999998E-3</v>
      </c>
      <c r="G104" s="33">
        <v>3.3</v>
      </c>
      <c r="H104" s="33">
        <v>6.5</v>
      </c>
      <c r="I104" s="33">
        <v>3.82</v>
      </c>
      <c r="J104" s="31">
        <v>2.68</v>
      </c>
      <c r="K104" s="36">
        <v>5.8</v>
      </c>
    </row>
    <row r="105" spans="2:11" ht="17.649999999999999" x14ac:dyDescent="0.5">
      <c r="B105" s="31">
        <f t="shared" si="0"/>
        <v>100</v>
      </c>
      <c r="C105" s="32">
        <v>90.6</v>
      </c>
      <c r="D105" s="34">
        <v>0.42</v>
      </c>
      <c r="E105" s="34">
        <v>0.24199999999999999</v>
      </c>
      <c r="F105" s="35">
        <v>2.7699999999999999E-3</v>
      </c>
      <c r="G105" s="33">
        <v>3.3</v>
      </c>
      <c r="H105" s="33">
        <v>6.5</v>
      </c>
      <c r="I105" s="33">
        <v>3.82</v>
      </c>
      <c r="J105" s="31">
        <v>2.68</v>
      </c>
      <c r="K105" s="36">
        <v>29.1</v>
      </c>
    </row>
    <row r="106" spans="2:11" ht="17.649999999999999" x14ac:dyDescent="0.5">
      <c r="B106" s="31">
        <f t="shared" si="0"/>
        <v>101</v>
      </c>
      <c r="C106" s="32">
        <v>85</v>
      </c>
      <c r="D106" s="34">
        <v>0.42</v>
      </c>
      <c r="E106" s="34">
        <v>0.23</v>
      </c>
      <c r="F106" s="35">
        <v>2.82E-3</v>
      </c>
      <c r="G106" s="33">
        <v>3.3</v>
      </c>
      <c r="H106" s="33">
        <v>6.5</v>
      </c>
      <c r="I106" s="33">
        <v>3.82</v>
      </c>
      <c r="J106" s="31">
        <v>2.68</v>
      </c>
      <c r="K106" s="36">
        <v>27.4</v>
      </c>
    </row>
    <row r="107" spans="2:11" ht="17.649999999999999" x14ac:dyDescent="0.5">
      <c r="B107" s="31">
        <f t="shared" si="0"/>
        <v>102</v>
      </c>
      <c r="C107" s="32">
        <v>74.8</v>
      </c>
      <c r="D107" s="34">
        <v>0.42</v>
      </c>
      <c r="E107" s="34">
        <v>0.21099999999999999</v>
      </c>
      <c r="F107" s="35">
        <v>2.7699999999999999E-3</v>
      </c>
      <c r="G107" s="33">
        <v>3.3</v>
      </c>
      <c r="H107" s="33">
        <v>6.5</v>
      </c>
      <c r="I107" s="33">
        <v>3.82</v>
      </c>
      <c r="J107" s="31">
        <v>2.68</v>
      </c>
      <c r="K107" s="36">
        <v>18.100000000000001</v>
      </c>
    </row>
    <row r="108" spans="2:11" ht="17.649999999999999" x14ac:dyDescent="0.5">
      <c r="B108" s="31">
        <f t="shared" si="0"/>
        <v>103</v>
      </c>
      <c r="C108" s="32">
        <v>67.8</v>
      </c>
      <c r="D108" s="34">
        <v>0.42</v>
      </c>
      <c r="E108" s="34">
        <v>0.19900000000000001</v>
      </c>
      <c r="F108" s="35">
        <v>2.7599999999999999E-3</v>
      </c>
      <c r="G108" s="33">
        <v>3.3</v>
      </c>
      <c r="H108" s="33">
        <v>6.5</v>
      </c>
      <c r="I108" s="33">
        <v>3.82</v>
      </c>
      <c r="J108" s="31">
        <v>2.68</v>
      </c>
      <c r="K108" s="36">
        <v>12.5</v>
      </c>
    </row>
    <row r="109" spans="2:11" ht="17.649999999999999" x14ac:dyDescent="0.5">
      <c r="B109" s="31">
        <f t="shared" si="0"/>
        <v>104</v>
      </c>
      <c r="C109" s="32">
        <v>60.7</v>
      </c>
      <c r="D109" s="34">
        <v>0.42</v>
      </c>
      <c r="E109" s="34">
        <v>0.185</v>
      </c>
      <c r="F109" s="35">
        <v>2.7299999999999998E-3</v>
      </c>
      <c r="G109" s="33">
        <v>3.3</v>
      </c>
      <c r="H109" s="33">
        <v>6.5</v>
      </c>
      <c r="I109" s="33">
        <v>3.82</v>
      </c>
      <c r="J109" s="31">
        <v>2.68</v>
      </c>
      <c r="K109" s="36">
        <v>9.1999999999999993</v>
      </c>
    </row>
    <row r="110" spans="2:11" ht="17.649999999999999" x14ac:dyDescent="0.5">
      <c r="B110" s="31">
        <f t="shared" si="0"/>
        <v>105</v>
      </c>
      <c r="C110" s="32">
        <v>50</v>
      </c>
      <c r="D110" s="34">
        <v>0.42</v>
      </c>
      <c r="E110" s="34">
        <v>0.16300000000000001</v>
      </c>
      <c r="F110" s="35">
        <v>2.7200000000000002E-3</v>
      </c>
      <c r="G110" s="33">
        <v>3.3</v>
      </c>
      <c r="H110" s="33">
        <v>6.5</v>
      </c>
      <c r="I110" s="33">
        <v>3.82</v>
      </c>
      <c r="J110" s="31">
        <v>2.68</v>
      </c>
      <c r="K110" s="36">
        <v>3.7</v>
      </c>
    </row>
    <row r="111" spans="2:11" ht="17.649999999999999" x14ac:dyDescent="0.5">
      <c r="B111" s="31">
        <f t="shared" si="0"/>
        <v>106</v>
      </c>
      <c r="C111" s="32">
        <v>40</v>
      </c>
      <c r="D111" s="34">
        <v>0.42</v>
      </c>
      <c r="E111" s="34">
        <v>0.14000000000000001</v>
      </c>
      <c r="F111" s="35">
        <v>2.7400000000000002E-3</v>
      </c>
      <c r="G111" s="33">
        <v>3.3</v>
      </c>
      <c r="H111" s="33">
        <v>6.5</v>
      </c>
      <c r="I111" s="33">
        <v>3.82</v>
      </c>
      <c r="J111" s="31">
        <v>2.68</v>
      </c>
      <c r="K111" s="36">
        <v>1.5</v>
      </c>
    </row>
    <row r="112" spans="2:11" ht="17.649999999999999" x14ac:dyDescent="0.5">
      <c r="B112" s="31">
        <f t="shared" si="0"/>
        <v>107</v>
      </c>
      <c r="C112" s="32">
        <v>60.7</v>
      </c>
      <c r="D112" s="34">
        <v>0.42</v>
      </c>
      <c r="E112" s="34">
        <v>0.184</v>
      </c>
      <c r="F112" s="35">
        <v>2.7100000000000002E-3</v>
      </c>
      <c r="G112" s="33">
        <v>3.3</v>
      </c>
      <c r="H112" s="33">
        <v>6.5</v>
      </c>
      <c r="I112" s="33">
        <v>3.82</v>
      </c>
      <c r="J112" s="31">
        <v>2.68</v>
      </c>
      <c r="K112" s="36">
        <v>8.1999999999999993</v>
      </c>
    </row>
    <row r="113" spans="2:11" ht="17.649999999999999" x14ac:dyDescent="0.5">
      <c r="B113" s="31">
        <f t="shared" si="0"/>
        <v>108</v>
      </c>
      <c r="C113" s="32">
        <v>41.1</v>
      </c>
      <c r="D113" s="34">
        <v>0.42</v>
      </c>
      <c r="E113" s="34">
        <v>0.14000000000000001</v>
      </c>
      <c r="F113" s="35">
        <v>2.7299999999999998E-3</v>
      </c>
      <c r="G113" s="33">
        <v>2.7</v>
      </c>
      <c r="H113" s="33">
        <v>6</v>
      </c>
      <c r="I113" s="33">
        <v>3.53</v>
      </c>
      <c r="J113" s="31">
        <v>2.68</v>
      </c>
      <c r="K113" s="36">
        <v>4.9000000000000004</v>
      </c>
    </row>
    <row r="114" spans="2:11" ht="17.649999999999999" x14ac:dyDescent="0.5">
      <c r="B114" s="31">
        <f t="shared" si="0"/>
        <v>109</v>
      </c>
      <c r="C114" s="32">
        <v>62.1</v>
      </c>
      <c r="D114" s="34">
        <v>0.42</v>
      </c>
      <c r="E114" s="34">
        <v>0.188</v>
      </c>
      <c r="F114" s="35">
        <v>2.7100000000000002E-3</v>
      </c>
      <c r="G114" s="33">
        <v>4.03</v>
      </c>
      <c r="H114" s="33">
        <v>7.8</v>
      </c>
      <c r="I114" s="33">
        <v>4.59</v>
      </c>
      <c r="J114" s="31">
        <v>2.68</v>
      </c>
      <c r="K114" s="36">
        <v>3</v>
      </c>
    </row>
    <row r="115" spans="2:11" ht="17.649999999999999" x14ac:dyDescent="0.5">
      <c r="B115" s="31">
        <f t="shared" si="0"/>
        <v>110</v>
      </c>
      <c r="C115" s="32">
        <v>43.1</v>
      </c>
      <c r="D115" s="34">
        <v>0.42</v>
      </c>
      <c r="E115" s="34">
        <v>0.14699999999999999</v>
      </c>
      <c r="F115" s="35">
        <v>2.66E-3</v>
      </c>
      <c r="G115" s="33">
        <v>4.03</v>
      </c>
      <c r="H115" s="33">
        <v>7.8</v>
      </c>
      <c r="I115" s="33">
        <v>4.59</v>
      </c>
      <c r="J115" s="31">
        <v>2.68</v>
      </c>
      <c r="K115" s="36">
        <v>0.2</v>
      </c>
    </row>
    <row r="116" spans="2:11" ht="17.649999999999999" x14ac:dyDescent="0.5">
      <c r="B116" s="31">
        <f t="shared" si="0"/>
        <v>111</v>
      </c>
      <c r="C116" s="32">
        <v>92.6</v>
      </c>
      <c r="D116" s="34">
        <v>0.42</v>
      </c>
      <c r="E116" s="34">
        <v>0.24399999999999999</v>
      </c>
      <c r="F116" s="35">
        <v>2.81E-3</v>
      </c>
      <c r="G116" s="33">
        <v>4.03</v>
      </c>
      <c r="H116" s="33">
        <v>7.8</v>
      </c>
      <c r="I116" s="33">
        <v>4.59</v>
      </c>
      <c r="J116" s="31">
        <v>2.68</v>
      </c>
      <c r="K116" s="36">
        <v>17.3</v>
      </c>
    </row>
    <row r="117" spans="2:11" ht="17.649999999999999" x14ac:dyDescent="0.5">
      <c r="B117" s="31">
        <f t="shared" si="0"/>
        <v>112</v>
      </c>
      <c r="C117" s="32">
        <v>50</v>
      </c>
      <c r="D117" s="34">
        <v>0.42</v>
      </c>
      <c r="E117" s="34">
        <v>0.16400000000000001</v>
      </c>
      <c r="F117" s="35">
        <v>2.6700000000000001E-3</v>
      </c>
      <c r="G117" s="33">
        <v>4.03</v>
      </c>
      <c r="H117" s="33">
        <v>7.8</v>
      </c>
      <c r="I117" s="33">
        <v>4.59</v>
      </c>
      <c r="J117" s="31">
        <v>2.68</v>
      </c>
      <c r="K117" s="36">
        <v>0.5</v>
      </c>
    </row>
    <row r="118" spans="2:11" ht="17.649999999999999" x14ac:dyDescent="0.5">
      <c r="B118" s="31">
        <f t="shared" si="0"/>
        <v>113</v>
      </c>
      <c r="C118" s="32">
        <v>21.4</v>
      </c>
      <c r="D118" s="34">
        <v>0.35399999999999998</v>
      </c>
      <c r="E118" s="34">
        <v>5.5E-2</v>
      </c>
      <c r="F118" s="35">
        <v>1.84E-2</v>
      </c>
      <c r="G118" s="33">
        <v>5.21</v>
      </c>
      <c r="H118" s="33">
        <v>5.21</v>
      </c>
      <c r="I118" s="33">
        <v>1</v>
      </c>
      <c r="J118" s="31">
        <v>4.22</v>
      </c>
      <c r="K118" s="36">
        <v>7</v>
      </c>
    </row>
    <row r="119" spans="2:11" ht="17.649999999999999" x14ac:dyDescent="0.5">
      <c r="B119" s="31">
        <f t="shared" si="0"/>
        <v>114</v>
      </c>
      <c r="C119" s="32">
        <v>21.4</v>
      </c>
      <c r="D119" s="34">
        <v>0.35399999999999998</v>
      </c>
      <c r="E119" s="34">
        <v>5.8000000000000003E-2</v>
      </c>
      <c r="F119" s="35">
        <v>1.601E-2</v>
      </c>
      <c r="G119" s="33">
        <v>5.21</v>
      </c>
      <c r="H119" s="33">
        <v>5.21</v>
      </c>
      <c r="I119" s="33">
        <v>1</v>
      </c>
      <c r="J119" s="31">
        <v>4.22</v>
      </c>
      <c r="K119" s="36">
        <v>1.8</v>
      </c>
    </row>
    <row r="120" spans="2:11" ht="17.649999999999999" x14ac:dyDescent="0.5">
      <c r="B120" s="31">
        <f t="shared" si="0"/>
        <v>115</v>
      </c>
      <c r="C120" s="32">
        <v>21.4</v>
      </c>
      <c r="D120" s="34">
        <v>0.35399999999999998</v>
      </c>
      <c r="E120" s="34">
        <v>5.2999999999999999E-2</v>
      </c>
      <c r="F120" s="35">
        <v>2.2699999999999998E-2</v>
      </c>
      <c r="G120" s="33">
        <v>5.21</v>
      </c>
      <c r="H120" s="33">
        <v>5.21</v>
      </c>
      <c r="I120" s="33">
        <v>1</v>
      </c>
      <c r="J120" s="31">
        <v>4.22</v>
      </c>
      <c r="K120" s="36">
        <v>22.4</v>
      </c>
    </row>
    <row r="121" spans="2:11" ht="17.649999999999999" x14ac:dyDescent="0.5">
      <c r="B121" s="31">
        <f t="shared" si="0"/>
        <v>116</v>
      </c>
      <c r="C121" s="32">
        <v>60.8</v>
      </c>
      <c r="D121" s="34">
        <v>0.35399999999999998</v>
      </c>
      <c r="E121" s="34">
        <v>0.14199999999999999</v>
      </c>
      <c r="F121" s="35">
        <v>8.2300000000000012E-3</v>
      </c>
      <c r="G121" s="33">
        <v>5.21</v>
      </c>
      <c r="H121" s="33">
        <v>5.21</v>
      </c>
      <c r="I121" s="33">
        <v>1</v>
      </c>
      <c r="J121" s="31">
        <v>4.22</v>
      </c>
      <c r="K121" s="36">
        <v>7.5</v>
      </c>
    </row>
    <row r="122" spans="2:11" ht="17.649999999999999" x14ac:dyDescent="0.5">
      <c r="B122" s="31">
        <f t="shared" si="0"/>
        <v>117</v>
      </c>
      <c r="C122" s="32">
        <v>60.8</v>
      </c>
      <c r="D122" s="34">
        <v>0.35399999999999998</v>
      </c>
      <c r="E122" s="34">
        <v>0.11700000000000001</v>
      </c>
      <c r="F122" s="35">
        <v>1.6539999999999999E-2</v>
      </c>
      <c r="G122" s="33">
        <v>5.21</v>
      </c>
      <c r="H122" s="33">
        <v>5.21</v>
      </c>
      <c r="I122" s="33">
        <v>1</v>
      </c>
      <c r="J122" s="31">
        <v>4.22</v>
      </c>
      <c r="K122" s="36">
        <v>125.3</v>
      </c>
    </row>
    <row r="123" spans="2:11" ht="17.649999999999999" x14ac:dyDescent="0.5">
      <c r="B123" s="31">
        <f t="shared" si="0"/>
        <v>118</v>
      </c>
      <c r="C123" s="32">
        <v>60.8</v>
      </c>
      <c r="D123" s="34">
        <v>0.35399999999999998</v>
      </c>
      <c r="E123" s="34">
        <v>0.124</v>
      </c>
      <c r="F123" s="35">
        <v>1.268E-2</v>
      </c>
      <c r="G123" s="33">
        <v>5.21</v>
      </c>
      <c r="H123" s="33">
        <v>5.21</v>
      </c>
      <c r="I123" s="33">
        <v>1</v>
      </c>
      <c r="J123" s="31">
        <v>4.22</v>
      </c>
      <c r="K123" s="36">
        <v>63.2</v>
      </c>
    </row>
    <row r="124" spans="2:11" ht="17.649999999999999" x14ac:dyDescent="0.5">
      <c r="B124" s="31">
        <f t="shared" si="0"/>
        <v>119</v>
      </c>
      <c r="C124" s="32">
        <v>82.1</v>
      </c>
      <c r="D124" s="34">
        <v>0.35399999999999998</v>
      </c>
      <c r="E124" s="34">
        <v>0.19800000000000001</v>
      </c>
      <c r="F124" s="35">
        <v>5.7800000000000004E-3</v>
      </c>
      <c r="G124" s="33">
        <v>5.21</v>
      </c>
      <c r="H124" s="33">
        <v>5.21</v>
      </c>
      <c r="I124" s="33">
        <v>1</v>
      </c>
      <c r="J124" s="31">
        <v>4.22</v>
      </c>
      <c r="K124" s="36">
        <v>2</v>
      </c>
    </row>
    <row r="125" spans="2:11" ht="17.649999999999999" x14ac:dyDescent="0.5">
      <c r="B125" s="31">
        <f t="shared" ref="B125:B142" si="1">+B124+1</f>
        <v>120</v>
      </c>
      <c r="C125" s="32">
        <v>82.1</v>
      </c>
      <c r="D125" s="34">
        <v>0.35399999999999998</v>
      </c>
      <c r="E125" s="34">
        <v>0.16600000000000001</v>
      </c>
      <c r="F125" s="35">
        <v>1.102E-2</v>
      </c>
      <c r="G125" s="33">
        <v>5.21</v>
      </c>
      <c r="H125" s="33">
        <v>5.21</v>
      </c>
      <c r="I125" s="33">
        <v>1</v>
      </c>
      <c r="J125" s="31">
        <v>4.22</v>
      </c>
      <c r="K125" s="36">
        <v>64.2</v>
      </c>
    </row>
    <row r="126" spans="2:11" ht="17.649999999999999" x14ac:dyDescent="0.5">
      <c r="B126" s="31">
        <f t="shared" si="1"/>
        <v>121</v>
      </c>
      <c r="C126" s="32">
        <v>20</v>
      </c>
      <c r="D126" s="34">
        <v>0.65</v>
      </c>
      <c r="E126" s="34">
        <v>6.3E-2</v>
      </c>
      <c r="F126" s="35">
        <v>2.8300000000000001E-3</v>
      </c>
      <c r="G126" s="33">
        <v>1.34</v>
      </c>
      <c r="H126" s="33">
        <v>2.8</v>
      </c>
      <c r="I126" s="33">
        <v>4</v>
      </c>
      <c r="J126" s="31">
        <v>2.68</v>
      </c>
      <c r="K126" s="36">
        <v>5.9</v>
      </c>
    </row>
    <row r="127" spans="2:11" ht="17.649999999999999" x14ac:dyDescent="0.5">
      <c r="B127" s="31">
        <f t="shared" si="1"/>
        <v>122</v>
      </c>
      <c r="C127" s="32">
        <v>36.700000000000003</v>
      </c>
      <c r="D127" s="34">
        <v>0.65</v>
      </c>
      <c r="E127" s="34">
        <v>9.0999999999999998E-2</v>
      </c>
      <c r="F127" s="35">
        <v>3.2499999999999999E-3</v>
      </c>
      <c r="G127" s="33">
        <v>1.43</v>
      </c>
      <c r="H127" s="33">
        <v>2.8</v>
      </c>
      <c r="I127" s="33">
        <v>4</v>
      </c>
      <c r="J127" s="31">
        <v>2.68</v>
      </c>
      <c r="K127" s="36">
        <v>28.3</v>
      </c>
    </row>
    <row r="128" spans="2:11" ht="17.649999999999999" x14ac:dyDescent="0.5">
      <c r="B128" s="31">
        <f t="shared" si="1"/>
        <v>123</v>
      </c>
      <c r="C128" s="32">
        <v>14.5</v>
      </c>
      <c r="D128" s="34">
        <v>0.65</v>
      </c>
      <c r="E128" s="34">
        <v>5.1999999999999998E-2</v>
      </c>
      <c r="F128" s="35">
        <v>2.3599999999999997E-3</v>
      </c>
      <c r="G128" s="33">
        <v>1.17</v>
      </c>
      <c r="H128" s="33">
        <v>2.8</v>
      </c>
      <c r="I128" s="33">
        <v>4</v>
      </c>
      <c r="J128" s="31">
        <v>2.68</v>
      </c>
      <c r="K128" s="36">
        <v>1.5</v>
      </c>
    </row>
    <row r="129" spans="2:11" ht="17.649999999999999" x14ac:dyDescent="0.5">
      <c r="B129" s="31">
        <f t="shared" si="1"/>
        <v>124</v>
      </c>
      <c r="C129" s="32">
        <v>26.5</v>
      </c>
      <c r="D129" s="34">
        <v>0.65</v>
      </c>
      <c r="E129" s="34">
        <v>7.4999999999999997E-2</v>
      </c>
      <c r="F129" s="35">
        <v>2.6700000000000001E-3</v>
      </c>
      <c r="G129" s="33">
        <v>1.34</v>
      </c>
      <c r="H129" s="33">
        <v>2.8</v>
      </c>
      <c r="I129" s="33">
        <v>4</v>
      </c>
      <c r="J129" s="31">
        <v>2.68</v>
      </c>
      <c r="K129" s="36">
        <v>13.9</v>
      </c>
    </row>
    <row r="130" spans="2:11" ht="17.649999999999999" x14ac:dyDescent="0.5">
      <c r="B130" s="31">
        <f t="shared" si="1"/>
        <v>125</v>
      </c>
      <c r="C130" s="32">
        <v>28.6</v>
      </c>
      <c r="D130" s="34">
        <v>0.65</v>
      </c>
      <c r="E130" s="34">
        <v>7.6999999999999999E-2</v>
      </c>
      <c r="F130" s="35">
        <v>3.0400000000000002E-3</v>
      </c>
      <c r="G130" s="33">
        <v>1.4</v>
      </c>
      <c r="H130" s="33">
        <v>2.8</v>
      </c>
      <c r="I130" s="33">
        <v>4</v>
      </c>
      <c r="J130" s="31">
        <v>2.68</v>
      </c>
      <c r="K130" s="36">
        <v>21</v>
      </c>
    </row>
    <row r="131" spans="2:11" ht="17.649999999999999" x14ac:dyDescent="0.5">
      <c r="B131" s="31">
        <f t="shared" si="1"/>
        <v>126</v>
      </c>
      <c r="C131" s="32">
        <v>58.5</v>
      </c>
      <c r="D131" s="34">
        <v>0.65</v>
      </c>
      <c r="E131" s="34">
        <v>0.13200000000000001</v>
      </c>
      <c r="F131" s="35">
        <v>4.0700000000000007E-3</v>
      </c>
      <c r="G131" s="33">
        <v>1.38</v>
      </c>
      <c r="H131" s="33">
        <v>2.8</v>
      </c>
      <c r="I131" s="33">
        <v>4</v>
      </c>
      <c r="J131" s="31">
        <v>2.68</v>
      </c>
      <c r="K131" s="36">
        <v>63.8</v>
      </c>
    </row>
    <row r="132" spans="2:11" ht="17.649999999999999" x14ac:dyDescent="0.5">
      <c r="B132" s="31">
        <f t="shared" si="1"/>
        <v>127</v>
      </c>
      <c r="C132" s="32">
        <v>2.6</v>
      </c>
      <c r="D132" s="34">
        <v>0.65</v>
      </c>
      <c r="E132" s="34">
        <v>8.9999999999999993E-3</v>
      </c>
      <c r="F132" s="35">
        <v>1.6E-2</v>
      </c>
      <c r="G132" s="33">
        <v>1.53</v>
      </c>
      <c r="H132" s="33">
        <v>2.8</v>
      </c>
      <c r="I132" s="33">
        <v>4</v>
      </c>
      <c r="J132" s="31">
        <v>2.68</v>
      </c>
      <c r="K132" s="36">
        <v>12.8</v>
      </c>
    </row>
    <row r="133" spans="2:11" ht="17.649999999999999" x14ac:dyDescent="0.5">
      <c r="B133" s="31">
        <f t="shared" si="1"/>
        <v>128</v>
      </c>
      <c r="C133" s="32">
        <v>1.2</v>
      </c>
      <c r="D133" s="34">
        <v>0.3</v>
      </c>
      <c r="E133" s="34">
        <v>0.01</v>
      </c>
      <c r="F133" s="35">
        <v>1.6500000000000001E-2</v>
      </c>
      <c r="G133" s="33">
        <v>1.4</v>
      </c>
      <c r="H133" s="33">
        <v>2.8</v>
      </c>
      <c r="I133" s="33">
        <v>4</v>
      </c>
      <c r="J133" s="31">
        <v>2.68</v>
      </c>
      <c r="K133" s="36">
        <v>7.2</v>
      </c>
    </row>
    <row r="134" spans="2:11" ht="17.649999999999999" x14ac:dyDescent="0.5">
      <c r="B134" s="31">
        <f t="shared" si="1"/>
        <v>129</v>
      </c>
      <c r="C134" s="32">
        <v>0.6</v>
      </c>
      <c r="D134" s="34">
        <v>0.15</v>
      </c>
      <c r="E134" s="34">
        <v>0.01</v>
      </c>
      <c r="F134" s="35">
        <v>1.992E-2</v>
      </c>
      <c r="G134" s="33">
        <v>1.45</v>
      </c>
      <c r="H134" s="33">
        <v>2.8</v>
      </c>
      <c r="I134" s="33">
        <v>4</v>
      </c>
      <c r="J134" s="31">
        <v>2.68</v>
      </c>
      <c r="K134" s="36">
        <v>3.8</v>
      </c>
    </row>
    <row r="135" spans="2:11" ht="17.649999999999999" x14ac:dyDescent="0.5">
      <c r="B135" s="31">
        <f t="shared" si="1"/>
        <v>130</v>
      </c>
      <c r="C135" s="32">
        <v>1</v>
      </c>
      <c r="D135" s="34">
        <v>0.15</v>
      </c>
      <c r="E135" s="34">
        <v>1.4E-2</v>
      </c>
      <c r="F135" s="35">
        <v>2.07E-2</v>
      </c>
      <c r="G135" s="33">
        <v>1.6</v>
      </c>
      <c r="H135" s="33">
        <v>2.8</v>
      </c>
      <c r="I135" s="33">
        <v>4</v>
      </c>
      <c r="J135" s="31">
        <v>2.68</v>
      </c>
      <c r="K135" s="36">
        <v>0.6</v>
      </c>
    </row>
    <row r="136" spans="2:11" ht="17.649999999999999" x14ac:dyDescent="0.5">
      <c r="B136" s="31">
        <f t="shared" si="1"/>
        <v>131</v>
      </c>
      <c r="C136" s="32">
        <v>160</v>
      </c>
      <c r="D136" s="34">
        <v>2</v>
      </c>
      <c r="E136" s="34">
        <v>8.6999999999999994E-2</v>
      </c>
      <c r="F136" s="35">
        <v>8.2699999999999996E-3</v>
      </c>
      <c r="G136" s="33">
        <v>4.46</v>
      </c>
      <c r="H136" s="33">
        <v>9.4</v>
      </c>
      <c r="I136" s="33">
        <v>5.22</v>
      </c>
      <c r="J136" s="31">
        <v>2.68</v>
      </c>
      <c r="K136" s="36">
        <v>360.5</v>
      </c>
    </row>
    <row r="137" spans="2:11" ht="17.649999999999999" x14ac:dyDescent="0.5">
      <c r="B137" s="31">
        <f t="shared" si="1"/>
        <v>132</v>
      </c>
      <c r="C137" s="32">
        <v>220</v>
      </c>
      <c r="D137" s="34">
        <v>2</v>
      </c>
      <c r="E137" s="34">
        <v>0.108</v>
      </c>
      <c r="F137" s="35">
        <v>8.0099999999999998E-3</v>
      </c>
      <c r="G137" s="33">
        <v>4.43</v>
      </c>
      <c r="H137" s="33">
        <v>9.4</v>
      </c>
      <c r="I137" s="33">
        <v>5.22</v>
      </c>
      <c r="J137" s="31">
        <v>2.68</v>
      </c>
      <c r="K137" s="36">
        <v>663.6</v>
      </c>
    </row>
    <row r="138" spans="2:11" ht="17.649999999999999" x14ac:dyDescent="0.5">
      <c r="B138" s="31">
        <f t="shared" si="1"/>
        <v>133</v>
      </c>
      <c r="C138" s="32">
        <v>220</v>
      </c>
      <c r="D138" s="34">
        <v>2</v>
      </c>
      <c r="E138" s="34">
        <v>0.106</v>
      </c>
      <c r="F138" s="35">
        <v>8.1099999999999992E-3</v>
      </c>
      <c r="G138" s="33">
        <v>4.43</v>
      </c>
      <c r="H138" s="33">
        <v>9.4</v>
      </c>
      <c r="I138" s="33">
        <v>5.22</v>
      </c>
      <c r="J138" s="31">
        <v>2.68</v>
      </c>
      <c r="K138" s="36">
        <v>644.5</v>
      </c>
    </row>
    <row r="139" spans="2:11" ht="17.649999999999999" x14ac:dyDescent="0.5">
      <c r="B139" s="31">
        <f t="shared" si="1"/>
        <v>134</v>
      </c>
      <c r="C139" s="32">
        <v>250</v>
      </c>
      <c r="D139" s="34">
        <v>2</v>
      </c>
      <c r="E139" s="34">
        <v>0.106</v>
      </c>
      <c r="F139" s="35">
        <v>8.0999999999999996E-3</v>
      </c>
      <c r="G139" s="33">
        <v>4.4400000000000004</v>
      </c>
      <c r="H139" s="33">
        <v>9.4</v>
      </c>
      <c r="I139" s="33">
        <v>5.22</v>
      </c>
      <c r="J139" s="31">
        <v>2.68</v>
      </c>
      <c r="K139" s="36">
        <v>794.4</v>
      </c>
    </row>
    <row r="140" spans="2:11" ht="17.649999999999999" x14ac:dyDescent="0.5">
      <c r="B140" s="31">
        <f t="shared" si="1"/>
        <v>135</v>
      </c>
      <c r="C140" s="32">
        <v>195</v>
      </c>
      <c r="D140" s="34">
        <v>2</v>
      </c>
      <c r="E140" s="34">
        <v>9.9000000000000005E-2</v>
      </c>
      <c r="F140" s="35">
        <v>8.1300000000000001E-3</v>
      </c>
      <c r="G140" s="33">
        <v>4.4000000000000004</v>
      </c>
      <c r="H140" s="33">
        <v>9.4</v>
      </c>
      <c r="I140" s="33">
        <v>5.22</v>
      </c>
      <c r="J140" s="31">
        <v>2.68</v>
      </c>
      <c r="K140" s="36">
        <v>516.9</v>
      </c>
    </row>
    <row r="141" spans="2:11" ht="17.649999999999999" x14ac:dyDescent="0.5">
      <c r="B141" s="31">
        <f t="shared" si="1"/>
        <v>136</v>
      </c>
      <c r="C141" s="32">
        <v>140</v>
      </c>
      <c r="D141" s="34">
        <v>2</v>
      </c>
      <c r="E141" s="34">
        <v>8.5999999999999993E-2</v>
      </c>
      <c r="F141" s="35">
        <v>8.1899999999999994E-3</v>
      </c>
      <c r="G141" s="33">
        <v>4.51</v>
      </c>
      <c r="H141" s="33">
        <v>9.4</v>
      </c>
      <c r="I141" s="33">
        <v>5.22</v>
      </c>
      <c r="J141" s="31">
        <v>2.68</v>
      </c>
      <c r="K141" s="36">
        <v>271.2</v>
      </c>
    </row>
    <row r="142" spans="2:11" ht="17.649999999999999" x14ac:dyDescent="0.5">
      <c r="B142" s="31">
        <f t="shared" si="1"/>
        <v>137</v>
      </c>
      <c r="C142" s="32">
        <v>100</v>
      </c>
      <c r="D142" s="34">
        <v>2</v>
      </c>
      <c r="E142" s="34">
        <v>6.8000000000000005E-2</v>
      </c>
      <c r="F142" s="35">
        <v>8.1199999999999987E-3</v>
      </c>
      <c r="G142" s="33">
        <v>4.62</v>
      </c>
      <c r="H142" s="33">
        <v>9.4</v>
      </c>
      <c r="I142" s="33">
        <v>5.22</v>
      </c>
      <c r="J142" s="31">
        <v>2.68</v>
      </c>
      <c r="K142" s="36">
        <v>118.7</v>
      </c>
    </row>
    <row r="182" spans="2:11" ht="17.649999999999999" x14ac:dyDescent="0.5">
      <c r="B182" s="1"/>
      <c r="C182" s="2"/>
      <c r="D182" s="3"/>
      <c r="E182" s="4"/>
      <c r="F182" s="4"/>
      <c r="G182" s="7"/>
      <c r="H182" s="7"/>
      <c r="I182" s="7"/>
      <c r="J182" s="1"/>
      <c r="K182" s="23"/>
    </row>
    <row r="183" spans="2:11" ht="17.649999999999999" x14ac:dyDescent="0.5">
      <c r="B183" s="1"/>
      <c r="C183" s="2"/>
      <c r="D183" s="3"/>
      <c r="E183" s="4"/>
      <c r="F183" s="4"/>
      <c r="G183" s="7"/>
      <c r="H183" s="7"/>
      <c r="I183" s="7"/>
      <c r="J183" s="1"/>
      <c r="K183" s="23"/>
    </row>
    <row r="184" spans="2:11" ht="17.649999999999999" x14ac:dyDescent="0.5">
      <c r="B184" s="1"/>
      <c r="C184" s="2"/>
      <c r="D184" s="3"/>
      <c r="E184" s="4"/>
      <c r="F184" s="4"/>
      <c r="G184" s="7"/>
      <c r="H184" s="7"/>
      <c r="I184" s="7"/>
      <c r="J184" s="1"/>
      <c r="K184" s="23"/>
    </row>
    <row r="185" spans="2:11" ht="17.649999999999999" x14ac:dyDescent="0.5">
      <c r="B185" s="1"/>
      <c r="C185" s="2"/>
      <c r="D185" s="3"/>
      <c r="E185" s="4"/>
      <c r="F185" s="4"/>
      <c r="G185" s="7"/>
      <c r="H185" s="7"/>
      <c r="I185" s="7"/>
      <c r="J185" s="1"/>
      <c r="K185" s="23"/>
    </row>
    <row r="186" spans="2:11" ht="17.649999999999999" x14ac:dyDescent="0.5">
      <c r="B186" s="1"/>
      <c r="C186" s="2"/>
      <c r="D186" s="3"/>
      <c r="E186" s="4"/>
      <c r="F186" s="4"/>
      <c r="G186" s="7"/>
      <c r="H186" s="7"/>
      <c r="I186" s="7"/>
      <c r="J186" s="1"/>
      <c r="K186" s="23"/>
    </row>
    <row r="187" spans="2:11" ht="19.899999999999999" x14ac:dyDescent="0.5">
      <c r="B187" s="9"/>
      <c r="C187" s="2"/>
      <c r="D187" s="3"/>
      <c r="E187" s="4"/>
      <c r="F187" s="4"/>
      <c r="G187" s="7"/>
      <c r="H187" s="7"/>
      <c r="I187" s="7"/>
      <c r="J187" s="1"/>
      <c r="K187" s="23"/>
    </row>
    <row r="188" spans="2:11" ht="17.649999999999999" x14ac:dyDescent="0.5">
      <c r="B188" s="1"/>
      <c r="C188" s="2"/>
      <c r="D188" s="3"/>
      <c r="E188" s="4"/>
      <c r="F188" s="4"/>
      <c r="G188" s="7"/>
      <c r="H188" s="7"/>
      <c r="I188" s="7"/>
      <c r="J188" s="1"/>
      <c r="K188" s="23"/>
    </row>
    <row r="189" spans="2:11" ht="19.899999999999999" x14ac:dyDescent="0.5">
      <c r="B189" s="10"/>
      <c r="C189" s="17"/>
      <c r="D189" s="18"/>
      <c r="E189" s="19"/>
      <c r="F189" s="20"/>
      <c r="G189" s="21"/>
      <c r="H189" s="21"/>
      <c r="I189" s="21"/>
      <c r="J189" s="10"/>
      <c r="K189" s="2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4C69-B14D-4487-B9F7-1C49439E23CC}">
  <dimension ref="B2:K122"/>
  <sheetViews>
    <sheetView tabSelected="1" workbookViewId="0">
      <selection activeCell="H12" sqref="H12"/>
    </sheetView>
  </sheetViews>
  <sheetFormatPr defaultRowHeight="14.25" x14ac:dyDescent="0.45"/>
  <cols>
    <col min="1" max="16384" width="9.06640625" style="8"/>
  </cols>
  <sheetData>
    <row r="2" spans="2:11" ht="19.899999999999999" x14ac:dyDescent="0.5">
      <c r="B2" s="9" t="s">
        <v>15</v>
      </c>
      <c r="C2" s="2"/>
      <c r="D2" s="3"/>
      <c r="E2" s="4"/>
      <c r="F2" s="4"/>
      <c r="G2" s="7"/>
      <c r="H2" s="7"/>
      <c r="I2" s="7"/>
      <c r="J2" s="1"/>
      <c r="K2" s="2"/>
    </row>
    <row r="3" spans="2:11" ht="17.649999999999999" x14ac:dyDescent="0.5">
      <c r="B3" s="1"/>
      <c r="C3" s="2"/>
      <c r="D3" s="3"/>
      <c r="E3" s="4"/>
      <c r="F3" s="4"/>
      <c r="G3" s="5"/>
      <c r="H3" s="6"/>
      <c r="I3" s="7"/>
      <c r="J3" s="1"/>
      <c r="K3" s="2"/>
    </row>
    <row r="4" spans="2:11" ht="23.65" x14ac:dyDescent="0.75">
      <c r="B4" s="10" t="s">
        <v>1</v>
      </c>
      <c r="C4" s="11" t="s">
        <v>2</v>
      </c>
      <c r="D4" s="12" t="s">
        <v>3</v>
      </c>
      <c r="E4" s="13" t="s">
        <v>4</v>
      </c>
      <c r="F4" s="12" t="s">
        <v>5</v>
      </c>
      <c r="G4" s="14" t="s">
        <v>6</v>
      </c>
      <c r="H4" s="14" t="s">
        <v>7</v>
      </c>
      <c r="I4" s="15" t="s">
        <v>8</v>
      </c>
      <c r="J4" s="16" t="s">
        <v>16</v>
      </c>
      <c r="K4" s="16" t="s">
        <v>9</v>
      </c>
    </row>
    <row r="5" spans="2:11" ht="19.899999999999999" x14ac:dyDescent="0.5">
      <c r="B5" s="10" t="s">
        <v>10</v>
      </c>
      <c r="C5" s="17" t="s">
        <v>11</v>
      </c>
      <c r="D5" s="18" t="s">
        <v>12</v>
      </c>
      <c r="E5" s="19" t="s">
        <v>12</v>
      </c>
      <c r="F5" s="20"/>
      <c r="G5" s="21" t="s">
        <v>13</v>
      </c>
      <c r="H5" s="21" t="s">
        <v>13</v>
      </c>
      <c r="I5" s="21"/>
      <c r="J5" s="10"/>
      <c r="K5" s="22" t="s">
        <v>14</v>
      </c>
    </row>
    <row r="6" spans="2:11" ht="17.649999999999999" x14ac:dyDescent="0.5">
      <c r="B6" s="31">
        <v>670</v>
      </c>
      <c r="C6" s="32">
        <v>5.1539999999999999</v>
      </c>
      <c r="D6" s="34">
        <v>0.20100000000000001</v>
      </c>
      <c r="E6" s="35">
        <v>3.5999999999999997E-2</v>
      </c>
      <c r="F6" s="35">
        <v>1.29E-2</v>
      </c>
      <c r="G6" s="33">
        <v>3.17</v>
      </c>
      <c r="H6" s="33">
        <f>+I6^$G$2*G6</f>
        <v>3.17</v>
      </c>
      <c r="I6" s="33">
        <v>1.1299999999999999</v>
      </c>
      <c r="J6" s="31">
        <v>2.65</v>
      </c>
      <c r="K6" s="32">
        <v>11.001453095092547</v>
      </c>
    </row>
    <row r="7" spans="2:11" ht="17.649999999999999" x14ac:dyDescent="0.5">
      <c r="B7" s="31">
        <f>+B6+1</f>
        <v>671</v>
      </c>
      <c r="C7" s="32">
        <v>5.1539999999999999</v>
      </c>
      <c r="D7" s="34">
        <v>0.20100000000000001</v>
      </c>
      <c r="E7" s="35">
        <v>3.9300000000000002E-2</v>
      </c>
      <c r="F7" s="35">
        <v>1.3099999999999999E-2</v>
      </c>
      <c r="G7" s="33">
        <v>3.17</v>
      </c>
      <c r="H7" s="33">
        <f>+I7^$G$2*G7</f>
        <v>3.17</v>
      </c>
      <c r="I7" s="33">
        <v>1.1299999999999999</v>
      </c>
      <c r="J7" s="31">
        <v>2.65</v>
      </c>
      <c r="K7" s="32">
        <v>11.519107609970231</v>
      </c>
    </row>
    <row r="8" spans="2:11" ht="17.649999999999999" x14ac:dyDescent="0.5">
      <c r="B8" s="31">
        <f>+B7+1</f>
        <v>672</v>
      </c>
      <c r="C8" s="32">
        <v>5.1539999999999999</v>
      </c>
      <c r="D8" s="34">
        <v>0.20100000000000001</v>
      </c>
      <c r="E8" s="35">
        <v>3.1099999999999999E-2</v>
      </c>
      <c r="F8" s="35">
        <v>2.5100000000000001E-2</v>
      </c>
      <c r="G8" s="33">
        <v>3.17</v>
      </c>
      <c r="H8" s="33">
        <f>+I8^$G$2*G8</f>
        <v>3.17</v>
      </c>
      <c r="I8" s="33">
        <v>1.1299999999999999</v>
      </c>
      <c r="J8" s="31">
        <v>2.65</v>
      </c>
      <c r="K8" s="32">
        <v>55.744263620741933</v>
      </c>
    </row>
    <row r="9" spans="2:11" ht="17.649999999999999" x14ac:dyDescent="0.5">
      <c r="B9" s="31">
        <f>+B8+1</f>
        <v>673</v>
      </c>
      <c r="C9" s="32">
        <v>5.1539999999999999</v>
      </c>
      <c r="D9" s="34">
        <v>0.20100000000000001</v>
      </c>
      <c r="E9" s="35">
        <v>3.2300000000000002E-2</v>
      </c>
      <c r="F9" s="35">
        <v>2.5000000000000001E-2</v>
      </c>
      <c r="G9" s="33">
        <v>3.17</v>
      </c>
      <c r="H9" s="33">
        <f>+I9^$G$2*G9</f>
        <v>3.17</v>
      </c>
      <c r="I9" s="33">
        <v>1.1299999999999999</v>
      </c>
      <c r="J9" s="31">
        <v>2.65</v>
      </c>
      <c r="K9" s="32">
        <v>55.744263620741933</v>
      </c>
    </row>
    <row r="10" spans="2:11" ht="17.649999999999999" x14ac:dyDescent="0.5">
      <c r="B10" s="31">
        <f>+B9+1</f>
        <v>674</v>
      </c>
      <c r="C10" s="32">
        <v>10.279</v>
      </c>
      <c r="D10" s="34">
        <v>0.20100000000000001</v>
      </c>
      <c r="E10" s="35">
        <v>6.3100000000000003E-2</v>
      </c>
      <c r="F10" s="35">
        <v>1.12E-2</v>
      </c>
      <c r="G10" s="33">
        <v>3.17</v>
      </c>
      <c r="H10" s="33">
        <f>+I10^$G$2*G10</f>
        <v>3.17</v>
      </c>
      <c r="I10" s="33">
        <v>1.1299999999999999</v>
      </c>
      <c r="J10" s="31">
        <v>2.65</v>
      </c>
      <c r="K10" s="32">
        <v>26.071831734287745</v>
      </c>
    </row>
    <row r="11" spans="2:11" ht="17.649999999999999" x14ac:dyDescent="0.5">
      <c r="B11" s="31">
        <f>+B10+1</f>
        <v>675</v>
      </c>
      <c r="C11" s="32">
        <v>10.279</v>
      </c>
      <c r="D11" s="34">
        <v>0.20100000000000001</v>
      </c>
      <c r="E11" s="35">
        <v>6.2199999999999998E-2</v>
      </c>
      <c r="F11" s="35">
        <v>1.1300000000000001E-2</v>
      </c>
      <c r="G11" s="33">
        <v>3.17</v>
      </c>
      <c r="H11" s="33">
        <f>+I11^$G$2*G11</f>
        <v>3.17</v>
      </c>
      <c r="I11" s="33">
        <v>1.1299999999999999</v>
      </c>
      <c r="J11" s="31">
        <v>2.65</v>
      </c>
      <c r="K11" s="32">
        <v>26.071831734287745</v>
      </c>
    </row>
    <row r="12" spans="2:11" ht="17.649999999999999" x14ac:dyDescent="0.5">
      <c r="B12" s="31">
        <f>+B11+1</f>
        <v>676</v>
      </c>
      <c r="C12" s="32">
        <v>10.279</v>
      </c>
      <c r="D12" s="34">
        <v>0.20100000000000001</v>
      </c>
      <c r="E12" s="35">
        <v>5.3600000000000002E-2</v>
      </c>
      <c r="F12" s="35">
        <v>1.89E-2</v>
      </c>
      <c r="G12" s="33">
        <v>3.17</v>
      </c>
      <c r="H12" s="33">
        <f>+I12^$G$2*G12</f>
        <v>3.17</v>
      </c>
      <c r="I12" s="33">
        <v>1.1299999999999999</v>
      </c>
      <c r="J12" s="31">
        <v>2.65</v>
      </c>
      <c r="K12" s="32">
        <v>75.588496020952959</v>
      </c>
    </row>
    <row r="13" spans="2:11" ht="17.649999999999999" x14ac:dyDescent="0.5">
      <c r="B13" s="31">
        <f>+B12+1</f>
        <v>677</v>
      </c>
      <c r="C13" s="32">
        <v>10.279</v>
      </c>
      <c r="D13" s="34">
        <v>0.20100000000000001</v>
      </c>
      <c r="E13" s="35">
        <v>5.1799999999999999E-2</v>
      </c>
      <c r="F13" s="35">
        <v>1.9600000000000003E-2</v>
      </c>
      <c r="G13" s="33">
        <v>3.17</v>
      </c>
      <c r="H13" s="33">
        <f>+I13^$G$2*G13</f>
        <v>3.17</v>
      </c>
      <c r="I13" s="33">
        <v>1.1299999999999999</v>
      </c>
      <c r="J13" s="31">
        <v>2.65</v>
      </c>
      <c r="K13" s="32">
        <v>71.417883395428461</v>
      </c>
    </row>
    <row r="14" spans="2:11" ht="17.649999999999999" x14ac:dyDescent="0.5">
      <c r="B14" s="31">
        <v>680</v>
      </c>
      <c r="C14" s="32">
        <v>5.1539999999999999</v>
      </c>
      <c r="D14" s="34">
        <v>0.30499999999999999</v>
      </c>
      <c r="E14" s="35">
        <v>2.7400000000000001E-2</v>
      </c>
      <c r="F14" s="35">
        <v>1.3599999999999999E-2</v>
      </c>
      <c r="G14" s="33">
        <v>3.17</v>
      </c>
      <c r="H14" s="33">
        <f>+I14^$G$2*G14</f>
        <v>3.17</v>
      </c>
      <c r="I14" s="33">
        <v>1.1299999999999999</v>
      </c>
      <c r="J14" s="31">
        <v>2.65</v>
      </c>
      <c r="K14" s="32">
        <v>6.8122721993030808</v>
      </c>
    </row>
    <row r="15" spans="2:11" ht="17.649999999999999" x14ac:dyDescent="0.5">
      <c r="B15" s="31">
        <f>+B14+1</f>
        <v>681</v>
      </c>
      <c r="C15" s="32">
        <v>5.1539999999999999</v>
      </c>
      <c r="D15" s="34">
        <v>0.30499999999999999</v>
      </c>
      <c r="E15" s="35">
        <v>2.3800000000000002E-2</v>
      </c>
      <c r="F15" s="35">
        <v>2.4899999999999999E-2</v>
      </c>
      <c r="G15" s="33">
        <v>3.17</v>
      </c>
      <c r="H15" s="33">
        <f>+I15^$G$2*G15</f>
        <v>3.17</v>
      </c>
      <c r="I15" s="33">
        <v>1.1299999999999999</v>
      </c>
      <c r="J15" s="31">
        <v>2.65</v>
      </c>
      <c r="K15" s="32">
        <v>41.82640254045063</v>
      </c>
    </row>
    <row r="16" spans="2:11" ht="17.649999999999999" x14ac:dyDescent="0.5">
      <c r="B16" s="31">
        <f>+B15+1</f>
        <v>682</v>
      </c>
      <c r="C16" s="32">
        <v>5.1539999999999999</v>
      </c>
      <c r="D16" s="34">
        <v>0.30499999999999999</v>
      </c>
      <c r="E16" s="35">
        <v>2.4400000000000002E-2</v>
      </c>
      <c r="F16" s="35">
        <v>2.53E-2</v>
      </c>
      <c r="G16" s="33">
        <v>3.17</v>
      </c>
      <c r="H16" s="33">
        <f>+I16^$G$2*G16</f>
        <v>3.17</v>
      </c>
      <c r="I16" s="33">
        <v>1.1299999999999999</v>
      </c>
      <c r="J16" s="31">
        <v>2.65</v>
      </c>
      <c r="K16" s="32">
        <v>42.874212251071341</v>
      </c>
    </row>
    <row r="17" spans="2:11" ht="17.649999999999999" x14ac:dyDescent="0.5">
      <c r="B17" s="31">
        <f>+B16+1</f>
        <v>683</v>
      </c>
      <c r="C17" s="32">
        <v>10.279</v>
      </c>
      <c r="D17" s="34">
        <v>0.30499999999999999</v>
      </c>
      <c r="E17" s="35">
        <v>4.8800000000000003E-2</v>
      </c>
      <c r="F17" s="35">
        <v>8.5000000000000006E-3</v>
      </c>
      <c r="G17" s="33">
        <v>3.17</v>
      </c>
      <c r="H17" s="33">
        <f>+I17^$G$2*G17</f>
        <v>3.17</v>
      </c>
      <c r="I17" s="33">
        <v>1.1299999999999999</v>
      </c>
      <c r="J17" s="31">
        <v>2.65</v>
      </c>
      <c r="K17" s="32">
        <v>9.7743356188378954</v>
      </c>
    </row>
    <row r="18" spans="2:11" ht="17.649999999999999" x14ac:dyDescent="0.5">
      <c r="B18" s="31">
        <f>+B17+1</f>
        <v>684</v>
      </c>
      <c r="C18" s="32">
        <v>10.279</v>
      </c>
      <c r="D18" s="34">
        <v>0.30499999999999999</v>
      </c>
      <c r="E18" s="35">
        <v>4.9099999999999998E-2</v>
      </c>
      <c r="F18" s="35">
        <v>9.1000000000000004E-3</v>
      </c>
      <c r="G18" s="33">
        <v>3.17</v>
      </c>
      <c r="H18" s="33">
        <f>+I18^$G$2*G18</f>
        <v>3.17</v>
      </c>
      <c r="I18" s="33">
        <v>1.1299999999999999</v>
      </c>
      <c r="J18" s="31">
        <v>2.65</v>
      </c>
      <c r="K18" s="32">
        <v>9.9803109015745282</v>
      </c>
    </row>
    <row r="19" spans="2:11" ht="17.649999999999999" x14ac:dyDescent="0.5">
      <c r="B19" s="31">
        <f>+B18+1</f>
        <v>685</v>
      </c>
      <c r="C19" s="32">
        <v>10.279</v>
      </c>
      <c r="D19" s="34">
        <v>0.30499999999999999</v>
      </c>
      <c r="E19" s="35">
        <v>3.9E-2</v>
      </c>
      <c r="F19" s="35">
        <v>1.6500000000000001E-2</v>
      </c>
      <c r="G19" s="33">
        <v>3.17</v>
      </c>
      <c r="H19" s="33">
        <f>+I19^$G$2*G19</f>
        <v>3.17</v>
      </c>
      <c r="I19" s="33">
        <v>1.1299999999999999</v>
      </c>
      <c r="J19" s="31">
        <v>2.65</v>
      </c>
      <c r="K19" s="32">
        <v>49.162051364494992</v>
      </c>
    </row>
    <row r="20" spans="2:11" ht="17.649999999999999" x14ac:dyDescent="0.5">
      <c r="B20" s="31">
        <f>+B19+1</f>
        <v>686</v>
      </c>
      <c r="C20" s="32">
        <v>10.279</v>
      </c>
      <c r="D20" s="34">
        <v>0.30499999999999999</v>
      </c>
      <c r="E20" s="35">
        <v>3.9600000000000003E-2</v>
      </c>
      <c r="F20" s="35">
        <v>1.7000000000000001E-2</v>
      </c>
      <c r="G20" s="33">
        <v>3.17</v>
      </c>
      <c r="H20" s="33">
        <f>+I20^$G$2*G20</f>
        <v>3.17</v>
      </c>
      <c r="I20" s="33">
        <v>1.1299999999999999</v>
      </c>
      <c r="J20" s="31">
        <v>2.65</v>
      </c>
      <c r="K20" s="32">
        <v>51.237980382698183</v>
      </c>
    </row>
    <row r="21" spans="2:11" ht="17.649999999999999" x14ac:dyDescent="0.5">
      <c r="B21" s="31">
        <f>+B20+1</f>
        <v>687</v>
      </c>
      <c r="C21" s="32">
        <v>10.279</v>
      </c>
      <c r="D21" s="34">
        <v>0.30499999999999999</v>
      </c>
      <c r="E21" s="35">
        <v>4.2700000000000002E-2</v>
      </c>
      <c r="F21" s="35">
        <v>1.6800000000000002E-2</v>
      </c>
      <c r="G21" s="33">
        <v>3.17</v>
      </c>
      <c r="H21" s="33">
        <f>+I21^$G$2*G21</f>
        <v>3.17</v>
      </c>
      <c r="I21" s="33">
        <v>1.1299999999999999</v>
      </c>
      <c r="J21" s="31">
        <v>2.65</v>
      </c>
      <c r="K21" s="32">
        <v>53.730197024527541</v>
      </c>
    </row>
    <row r="22" spans="2:11" ht="17.649999999999999" x14ac:dyDescent="0.5">
      <c r="B22" s="31">
        <v>694</v>
      </c>
      <c r="C22" s="32">
        <v>10.279</v>
      </c>
      <c r="D22" s="34">
        <v>0.40200000000000002</v>
      </c>
      <c r="E22" s="35">
        <v>3.5400000000000001E-2</v>
      </c>
      <c r="F22" s="35">
        <v>1.1599999999999999E-2</v>
      </c>
      <c r="G22" s="33">
        <v>3.17</v>
      </c>
      <c r="H22" s="33">
        <f>+I22^$G$2*G22</f>
        <v>3.17</v>
      </c>
      <c r="I22" s="33">
        <v>1.1299999999999999</v>
      </c>
      <c r="J22" s="31">
        <v>2.65</v>
      </c>
      <c r="K22" s="32">
        <v>21.012024530041284</v>
      </c>
    </row>
    <row r="23" spans="2:11" ht="17.649999999999999" x14ac:dyDescent="0.5">
      <c r="B23" s="31">
        <f>+B22+1</f>
        <v>695</v>
      </c>
      <c r="C23" s="32">
        <v>10.279</v>
      </c>
      <c r="D23" s="34">
        <v>0.40200000000000002</v>
      </c>
      <c r="E23" s="35">
        <v>3.5999999999999997E-2</v>
      </c>
      <c r="F23" s="35">
        <v>1.21E-2</v>
      </c>
      <c r="G23" s="33">
        <v>3.17</v>
      </c>
      <c r="H23" s="33">
        <f>+I23^$G$2*G23</f>
        <v>3.17</v>
      </c>
      <c r="I23" s="33">
        <v>1.1299999999999999</v>
      </c>
      <c r="J23" s="31">
        <v>2.65</v>
      </c>
      <c r="K23" s="32">
        <v>21.012024530041284</v>
      </c>
    </row>
    <row r="24" spans="2:11" ht="17.649999999999999" x14ac:dyDescent="0.5">
      <c r="B24" s="31">
        <v>701</v>
      </c>
      <c r="C24" s="32">
        <v>20.783999999999999</v>
      </c>
      <c r="D24" s="34">
        <v>0.40200000000000002</v>
      </c>
      <c r="E24" s="35">
        <v>5.3600000000000002E-2</v>
      </c>
      <c r="F24" s="35">
        <v>1.4800000000000001E-2</v>
      </c>
      <c r="G24" s="33">
        <v>3.17</v>
      </c>
      <c r="H24" s="33">
        <f>+I24^$G$2*G24</f>
        <v>3.17</v>
      </c>
      <c r="I24" s="33">
        <v>1.1299999999999999</v>
      </c>
      <c r="J24" s="31">
        <v>2.65</v>
      </c>
      <c r="K24" s="32">
        <v>104.44221105527637</v>
      </c>
    </row>
    <row r="25" spans="2:11" ht="17.649999999999999" x14ac:dyDescent="0.5">
      <c r="B25" s="31">
        <f>+B24+1</f>
        <v>702</v>
      </c>
      <c r="C25" s="32">
        <v>20.783999999999999</v>
      </c>
      <c r="D25" s="34">
        <v>0.40200000000000002</v>
      </c>
      <c r="E25" s="35">
        <v>5.4899999999999997E-2</v>
      </c>
      <c r="F25" s="35">
        <v>1.5800000000000002E-2</v>
      </c>
      <c r="G25" s="33">
        <v>3.17</v>
      </c>
      <c r="H25" s="33">
        <f>+I25^$G$2*G25</f>
        <v>3.17</v>
      </c>
      <c r="I25" s="33">
        <v>1.1299999999999999</v>
      </c>
      <c r="J25" s="31">
        <v>2.65</v>
      </c>
      <c r="K25" s="32">
        <v>105.49193426805365</v>
      </c>
    </row>
    <row r="26" spans="2:11" ht="17.649999999999999" x14ac:dyDescent="0.5">
      <c r="B26" s="31">
        <v>706</v>
      </c>
      <c r="C26" s="32">
        <v>10.279</v>
      </c>
      <c r="D26" s="34">
        <v>0.20100000000000001</v>
      </c>
      <c r="E26" s="35">
        <v>6.0400000000000002E-2</v>
      </c>
      <c r="F26" s="35">
        <v>1.11E-2</v>
      </c>
      <c r="G26" s="33">
        <v>4.9379999999999997</v>
      </c>
      <c r="H26" s="33">
        <f>+I26^$G$2*G26</f>
        <v>4.9379999999999997</v>
      </c>
      <c r="I26" s="33">
        <v>1.1299999999999999</v>
      </c>
      <c r="J26" s="31">
        <v>2.65</v>
      </c>
      <c r="K26" s="32">
        <v>10.495285190894709</v>
      </c>
    </row>
    <row r="27" spans="2:11" ht="17.649999999999999" x14ac:dyDescent="0.5">
      <c r="B27" s="31">
        <f>+B26+1</f>
        <v>707</v>
      </c>
      <c r="C27" s="32">
        <v>10.279</v>
      </c>
      <c r="D27" s="34">
        <v>0.20100000000000001</v>
      </c>
      <c r="E27" s="35">
        <v>5.67E-2</v>
      </c>
      <c r="F27" s="35">
        <v>1.44E-2</v>
      </c>
      <c r="G27" s="33">
        <v>4.9379999999999997</v>
      </c>
      <c r="H27" s="33">
        <f>+I27^$G$2*G27</f>
        <v>4.9379999999999997</v>
      </c>
      <c r="I27" s="33">
        <v>1.1299999999999999</v>
      </c>
      <c r="J27" s="31">
        <v>2.65</v>
      </c>
      <c r="K27" s="32">
        <v>24.728949478748991</v>
      </c>
    </row>
    <row r="28" spans="2:11" ht="17.649999999999999" x14ac:dyDescent="0.5">
      <c r="B28" s="31">
        <f>+B27+1</f>
        <v>708</v>
      </c>
      <c r="C28" s="32">
        <v>10.279</v>
      </c>
      <c r="D28" s="34">
        <v>0.20100000000000001</v>
      </c>
      <c r="E28" s="35">
        <v>5.8500000000000003E-2</v>
      </c>
      <c r="F28" s="35">
        <v>1.4800000000000001E-2</v>
      </c>
      <c r="G28" s="33">
        <v>4.9379999999999997</v>
      </c>
      <c r="H28" s="33">
        <f>+I28^$G$2*G28</f>
        <v>4.9379999999999997</v>
      </c>
      <c r="I28" s="33">
        <v>1.1299999999999999</v>
      </c>
      <c r="J28" s="31">
        <v>2.65</v>
      </c>
      <c r="K28" s="32">
        <v>26.7950671746541</v>
      </c>
    </row>
    <row r="29" spans="2:11" ht="17.649999999999999" x14ac:dyDescent="0.5">
      <c r="B29" s="31">
        <f>+B28+1</f>
        <v>709</v>
      </c>
      <c r="C29" s="32">
        <v>10.279</v>
      </c>
      <c r="D29" s="34">
        <v>0.20100000000000001</v>
      </c>
      <c r="E29" s="35">
        <v>5.33E-2</v>
      </c>
      <c r="F29" s="35">
        <v>1.8200000000000001E-2</v>
      </c>
      <c r="G29" s="33">
        <v>4.9379999999999997</v>
      </c>
      <c r="H29" s="33">
        <f>+I29^$G$2*G29</f>
        <v>4.9379999999999997</v>
      </c>
      <c r="I29" s="33">
        <v>1.1299999999999999</v>
      </c>
      <c r="J29" s="31">
        <v>2.65</v>
      </c>
      <c r="K29" s="32">
        <v>49.058276814870631</v>
      </c>
    </row>
    <row r="30" spans="2:11" ht="17.649999999999999" x14ac:dyDescent="0.5">
      <c r="B30" s="31">
        <f>+B29+1</f>
        <v>710</v>
      </c>
      <c r="C30" s="32">
        <v>10.279</v>
      </c>
      <c r="D30" s="34">
        <v>0.20100000000000001</v>
      </c>
      <c r="E30" s="35">
        <v>5.33E-2</v>
      </c>
      <c r="F30" s="35">
        <v>1.9E-2</v>
      </c>
      <c r="G30" s="33">
        <v>4.9379999999999997</v>
      </c>
      <c r="H30" s="33">
        <f>+I30^$G$2*G30</f>
        <v>4.9379999999999997</v>
      </c>
      <c r="I30" s="33">
        <v>1.1299999999999999</v>
      </c>
      <c r="J30" s="31">
        <v>2.65</v>
      </c>
      <c r="K30" s="32">
        <v>50.199911570231322</v>
      </c>
    </row>
    <row r="31" spans="2:11" ht="17.649999999999999" x14ac:dyDescent="0.5">
      <c r="B31" s="31">
        <f>+B30+1</f>
        <v>711</v>
      </c>
      <c r="C31" s="32">
        <v>10.279</v>
      </c>
      <c r="D31" s="34">
        <v>0.20100000000000001</v>
      </c>
      <c r="E31" s="35">
        <v>4.8800000000000003E-2</v>
      </c>
      <c r="F31" s="35">
        <v>2.5600000000000001E-2</v>
      </c>
      <c r="G31" s="33">
        <v>4.9379999999999997</v>
      </c>
      <c r="H31" s="33">
        <f>+I31^$G$2*G31</f>
        <v>4.9379999999999997</v>
      </c>
      <c r="I31" s="33">
        <v>1.1299999999999999</v>
      </c>
      <c r="J31" s="31">
        <v>2.65</v>
      </c>
      <c r="K31" s="32">
        <v>100.99737445343189</v>
      </c>
    </row>
    <row r="32" spans="2:11" ht="17.649999999999999" x14ac:dyDescent="0.5">
      <c r="B32" s="31">
        <f>+B31+1</f>
        <v>712</v>
      </c>
      <c r="C32" s="32">
        <v>10.279</v>
      </c>
      <c r="D32" s="34">
        <v>0.20100000000000001</v>
      </c>
      <c r="E32" s="35">
        <v>4.82E-2</v>
      </c>
      <c r="F32" s="35">
        <v>2.7E-2</v>
      </c>
      <c r="G32" s="33">
        <v>4.9379999999999997</v>
      </c>
      <c r="H32" s="33">
        <f>+I32^$G$2*G32</f>
        <v>4.9379999999999997</v>
      </c>
      <c r="I32" s="33">
        <v>1.1299999999999999</v>
      </c>
      <c r="J32" s="31">
        <v>2.65</v>
      </c>
      <c r="K32" s="32">
        <v>103.82828282828284</v>
      </c>
    </row>
    <row r="33" spans="2:11" ht="17.649999999999999" x14ac:dyDescent="0.5">
      <c r="B33" s="31">
        <f>+B32+1</f>
        <v>713</v>
      </c>
      <c r="C33" s="32">
        <v>20.783999999999999</v>
      </c>
      <c r="D33" s="34">
        <v>0.20100000000000001</v>
      </c>
      <c r="E33" s="35">
        <v>0.1137</v>
      </c>
      <c r="F33" s="35">
        <v>6.7999999999999996E-3</v>
      </c>
      <c r="G33" s="33">
        <v>4.9379999999999997</v>
      </c>
      <c r="H33" s="33">
        <f>+I33^$G$2*G33</f>
        <v>4.9379999999999997</v>
      </c>
      <c r="I33" s="33">
        <v>1.1299999999999999</v>
      </c>
      <c r="J33" s="31">
        <v>2.65</v>
      </c>
      <c r="K33" s="32">
        <v>9.2529975839248468</v>
      </c>
    </row>
    <row r="34" spans="2:11" ht="17.649999999999999" x14ac:dyDescent="0.5">
      <c r="B34" s="31">
        <f>+B33+1</f>
        <v>714</v>
      </c>
      <c r="C34" s="32">
        <v>20.783999999999999</v>
      </c>
      <c r="D34" s="34">
        <v>0.20100000000000001</v>
      </c>
      <c r="E34" s="35">
        <v>0.1109</v>
      </c>
      <c r="F34" s="35">
        <v>7.0000000000000001E-3</v>
      </c>
      <c r="G34" s="33">
        <v>4.9379999999999997</v>
      </c>
      <c r="H34" s="33">
        <f>+I34^$G$2*G34</f>
        <v>4.9379999999999997</v>
      </c>
      <c r="I34" s="33">
        <v>1.1299999999999999</v>
      </c>
      <c r="J34" s="31">
        <v>2.65</v>
      </c>
      <c r="K34" s="32">
        <v>10.501223117674424</v>
      </c>
    </row>
    <row r="35" spans="2:11" ht="17.649999999999999" x14ac:dyDescent="0.5">
      <c r="B35" s="31">
        <f>+B34+1</f>
        <v>715</v>
      </c>
      <c r="C35" s="32">
        <v>20.783999999999999</v>
      </c>
      <c r="D35" s="34">
        <v>0.20100000000000001</v>
      </c>
      <c r="E35" s="35">
        <v>0.1042</v>
      </c>
      <c r="F35" s="35">
        <v>9.4999999999999998E-3</v>
      </c>
      <c r="G35" s="33">
        <v>4.9379999999999997</v>
      </c>
      <c r="H35" s="33">
        <f>+I35^$G$2*G35</f>
        <v>4.9379999999999997</v>
      </c>
      <c r="I35" s="33">
        <v>1.1299999999999999</v>
      </c>
      <c r="J35" s="31">
        <v>2.65</v>
      </c>
      <c r="K35" s="32">
        <v>25.595802837490108</v>
      </c>
    </row>
    <row r="36" spans="2:11" ht="17.649999999999999" x14ac:dyDescent="0.5">
      <c r="B36" s="31">
        <f>+B35+1</f>
        <v>716</v>
      </c>
      <c r="C36" s="32">
        <v>20.783999999999999</v>
      </c>
      <c r="D36" s="34">
        <v>0.20100000000000001</v>
      </c>
      <c r="E36" s="35">
        <v>9.8100000000000007E-2</v>
      </c>
      <c r="F36" s="35">
        <v>1.1900000000000001E-2</v>
      </c>
      <c r="G36" s="33">
        <v>4.9379999999999997</v>
      </c>
      <c r="H36" s="33">
        <f>+I36^$G$2*G36</f>
        <v>4.9379999999999997</v>
      </c>
      <c r="I36" s="33">
        <v>1.1299999999999999</v>
      </c>
      <c r="J36" s="31">
        <v>2.65</v>
      </c>
      <c r="K36" s="32">
        <v>48.957450007517664</v>
      </c>
    </row>
    <row r="37" spans="2:11" ht="17.649999999999999" x14ac:dyDescent="0.5">
      <c r="B37" s="31">
        <f>+B36+1</f>
        <v>717</v>
      </c>
      <c r="C37" s="32">
        <v>20.783999999999999</v>
      </c>
      <c r="D37" s="34">
        <v>0.20100000000000001</v>
      </c>
      <c r="E37" s="35">
        <v>9.8799999999999999E-2</v>
      </c>
      <c r="F37" s="35">
        <v>1.1900000000000001E-2</v>
      </c>
      <c r="G37" s="33">
        <v>4.9379999999999997</v>
      </c>
      <c r="H37" s="33">
        <f>+I37^$G$2*G37</f>
        <v>4.9379999999999997</v>
      </c>
      <c r="I37" s="33">
        <v>1.1299999999999999</v>
      </c>
      <c r="J37" s="31">
        <v>2.65</v>
      </c>
      <c r="K37" s="32">
        <v>48.957450007517664</v>
      </c>
    </row>
    <row r="38" spans="2:11" ht="17.649999999999999" x14ac:dyDescent="0.5">
      <c r="B38" s="31">
        <f>+B37+1</f>
        <v>718</v>
      </c>
      <c r="C38" s="32">
        <v>20.783999999999999</v>
      </c>
      <c r="D38" s="34">
        <v>0.20100000000000001</v>
      </c>
      <c r="E38" s="35">
        <v>8.8999999999999996E-2</v>
      </c>
      <c r="F38" s="35">
        <v>1.7100000000000001E-2</v>
      </c>
      <c r="G38" s="33">
        <v>4.9379999999999997</v>
      </c>
      <c r="H38" s="33">
        <f>+I38^$G$2*G38</f>
        <v>4.9379999999999997</v>
      </c>
      <c r="I38" s="33">
        <v>1.1299999999999999</v>
      </c>
      <c r="J38" s="31">
        <v>2.65</v>
      </c>
      <c r="K38" s="32">
        <v>105.49193426805365</v>
      </c>
    </row>
    <row r="39" spans="2:11" ht="17.649999999999999" x14ac:dyDescent="0.5">
      <c r="B39" s="31">
        <f>+B38+1</f>
        <v>719</v>
      </c>
      <c r="C39" s="32">
        <v>20.783999999999999</v>
      </c>
      <c r="D39" s="34">
        <v>0.20100000000000001</v>
      </c>
      <c r="E39" s="35">
        <v>7.9600000000000004E-2</v>
      </c>
      <c r="F39" s="35">
        <v>2.4300000000000002E-2</v>
      </c>
      <c r="G39" s="33">
        <v>4.9379999999999997</v>
      </c>
      <c r="H39" s="33">
        <f>+I39^$G$2*G39</f>
        <v>4.9379999999999997</v>
      </c>
      <c r="I39" s="33">
        <v>1.1299999999999999</v>
      </c>
      <c r="J39" s="31">
        <v>2.65</v>
      </c>
      <c r="K39" s="32">
        <v>207.8190081809918</v>
      </c>
    </row>
    <row r="40" spans="2:11" ht="17.649999999999999" x14ac:dyDescent="0.5">
      <c r="B40" s="31">
        <f>+B39+1</f>
        <v>720</v>
      </c>
      <c r="C40" s="32">
        <v>20.783999999999999</v>
      </c>
      <c r="D40" s="34">
        <v>0.20100000000000001</v>
      </c>
      <c r="E40" s="35">
        <v>8.0500000000000002E-2</v>
      </c>
      <c r="F40" s="35">
        <v>2.35E-2</v>
      </c>
      <c r="G40" s="33">
        <v>4.9379999999999997</v>
      </c>
      <c r="H40" s="33">
        <f>+I40^$G$2*G40</f>
        <v>4.9379999999999997</v>
      </c>
      <c r="I40" s="33">
        <v>1.1299999999999999</v>
      </c>
      <c r="J40" s="31">
        <v>2.65</v>
      </c>
      <c r="K40" s="32">
        <v>216.30312215822974</v>
      </c>
    </row>
    <row r="41" spans="2:11" ht="17.649999999999999" x14ac:dyDescent="0.5">
      <c r="B41" s="31">
        <f>+B40+1</f>
        <v>721</v>
      </c>
      <c r="C41" s="32">
        <v>31.686</v>
      </c>
      <c r="D41" s="34">
        <v>0.20100000000000001</v>
      </c>
      <c r="E41" s="35">
        <v>0.1701</v>
      </c>
      <c r="F41" s="35">
        <v>6.1999999999999998E-3</v>
      </c>
      <c r="G41" s="33">
        <v>4.9379999999999997</v>
      </c>
      <c r="H41" s="33">
        <f>+I41^$G$2*G41</f>
        <v>4.9379999999999997</v>
      </c>
      <c r="I41" s="33">
        <v>1.1299999999999999</v>
      </c>
      <c r="J41" s="31">
        <v>2.65</v>
      </c>
      <c r="K41" s="32">
        <v>10.967150634119404</v>
      </c>
    </row>
    <row r="42" spans="2:11" ht="17.649999999999999" x14ac:dyDescent="0.5">
      <c r="B42" s="31">
        <f>+B41+1</f>
        <v>722</v>
      </c>
      <c r="C42" s="32">
        <v>31.686</v>
      </c>
      <c r="D42" s="34">
        <v>0.20100000000000001</v>
      </c>
      <c r="E42" s="35">
        <v>0.14019999999999999</v>
      </c>
      <c r="F42" s="35">
        <v>9.8000000000000014E-3</v>
      </c>
      <c r="G42" s="33">
        <v>4.9379999999999997</v>
      </c>
      <c r="H42" s="33">
        <f>+I42^$G$2*G42</f>
        <v>4.9379999999999997</v>
      </c>
      <c r="I42" s="33">
        <v>1.1299999999999999</v>
      </c>
      <c r="J42" s="31">
        <v>2.65</v>
      </c>
      <c r="K42" s="32">
        <v>50.143106107650091</v>
      </c>
    </row>
    <row r="43" spans="2:11" ht="17.649999999999999" x14ac:dyDescent="0.5">
      <c r="B43" s="31">
        <f>+B42+1</f>
        <v>723</v>
      </c>
      <c r="C43" s="32">
        <v>31.686</v>
      </c>
      <c r="D43" s="34">
        <v>0.20100000000000001</v>
      </c>
      <c r="E43" s="35">
        <v>0.13750000000000001</v>
      </c>
      <c r="F43" s="35">
        <v>1.0199999999999999E-2</v>
      </c>
      <c r="G43" s="33">
        <v>4.9379999999999997</v>
      </c>
      <c r="H43" s="33">
        <f>+I43^$G$2*G43</f>
        <v>4.9379999999999997</v>
      </c>
      <c r="I43" s="33">
        <v>1.1299999999999999</v>
      </c>
      <c r="J43" s="31">
        <v>2.65</v>
      </c>
      <c r="K43" s="32">
        <v>52.050402660362998</v>
      </c>
    </row>
    <row r="44" spans="2:11" ht="17.649999999999999" x14ac:dyDescent="0.5">
      <c r="B44" s="31">
        <f>+B43+1</f>
        <v>724</v>
      </c>
      <c r="C44" s="32">
        <v>31.686</v>
      </c>
      <c r="D44" s="34">
        <v>0.20100000000000001</v>
      </c>
      <c r="E44" s="35">
        <v>0.12620000000000001</v>
      </c>
      <c r="F44" s="35">
        <v>1.35E-2</v>
      </c>
      <c r="G44" s="33">
        <v>4.9379999999999997</v>
      </c>
      <c r="H44" s="33">
        <f>+I44^$G$2*G44</f>
        <v>4.9379999999999997</v>
      </c>
      <c r="I44" s="33">
        <v>1.1299999999999999</v>
      </c>
      <c r="J44" s="31">
        <v>2.65</v>
      </c>
      <c r="K44" s="32">
        <v>97.256765703051315</v>
      </c>
    </row>
    <row r="45" spans="2:11" ht="17.649999999999999" x14ac:dyDescent="0.5">
      <c r="B45" s="31">
        <f>+B44+1</f>
        <v>725</v>
      </c>
      <c r="C45" s="32">
        <v>31.686</v>
      </c>
      <c r="D45" s="34">
        <v>0.20100000000000001</v>
      </c>
      <c r="E45" s="35">
        <v>0.12529999999999999</v>
      </c>
      <c r="F45" s="35">
        <v>1.32E-2</v>
      </c>
      <c r="G45" s="33">
        <v>4.9379999999999997</v>
      </c>
      <c r="H45" s="33">
        <f>+I45^$G$2*G45</f>
        <v>4.9379999999999997</v>
      </c>
      <c r="I45" s="33">
        <v>1.1299999999999999</v>
      </c>
      <c r="J45" s="31">
        <v>2.65</v>
      </c>
      <c r="K45" s="32">
        <v>107.14289154450498</v>
      </c>
    </row>
    <row r="46" spans="2:11" ht="17.649999999999999" x14ac:dyDescent="0.5">
      <c r="B46" s="31">
        <f>+B45+1</f>
        <v>726</v>
      </c>
      <c r="C46" s="32">
        <v>31.686</v>
      </c>
      <c r="D46" s="34">
        <v>0.20100000000000001</v>
      </c>
      <c r="E46" s="35">
        <v>0.114</v>
      </c>
      <c r="F46" s="35">
        <v>1.9699999999999999E-2</v>
      </c>
      <c r="G46" s="33">
        <v>4.9379999999999997</v>
      </c>
      <c r="H46" s="33">
        <f>+I46^$G$2*G46</f>
        <v>4.9379999999999997</v>
      </c>
      <c r="I46" s="33">
        <v>1.1299999999999999</v>
      </c>
      <c r="J46" s="31">
        <v>2.65</v>
      </c>
      <c r="K46" s="32">
        <v>207.94854451020652</v>
      </c>
    </row>
    <row r="47" spans="2:11" ht="17.649999999999999" x14ac:dyDescent="0.5">
      <c r="B47" s="31">
        <f>+B46+1</f>
        <v>727</v>
      </c>
      <c r="C47" s="32">
        <v>31.686</v>
      </c>
      <c r="D47" s="34">
        <v>0.20100000000000001</v>
      </c>
      <c r="E47" s="35">
        <v>0.1152</v>
      </c>
      <c r="F47" s="35">
        <v>1.95E-2</v>
      </c>
      <c r="G47" s="33">
        <v>4.9379999999999997</v>
      </c>
      <c r="H47" s="33">
        <f>+I47^$G$2*G47</f>
        <v>4.9379999999999997</v>
      </c>
      <c r="I47" s="33">
        <v>1.1299999999999999</v>
      </c>
      <c r="J47" s="31">
        <v>2.65</v>
      </c>
      <c r="K47" s="32">
        <v>210.51701228105497</v>
      </c>
    </row>
    <row r="48" spans="2:11" ht="17.649999999999999" x14ac:dyDescent="0.5">
      <c r="B48" s="31">
        <f>+B47+1</f>
        <v>728</v>
      </c>
      <c r="C48" s="32">
        <v>31.686</v>
      </c>
      <c r="D48" s="34">
        <v>0.20100000000000001</v>
      </c>
      <c r="E48" s="35">
        <v>0.1079</v>
      </c>
      <c r="F48" s="35">
        <v>2.4E-2</v>
      </c>
      <c r="G48" s="33">
        <v>4.9379999999999997</v>
      </c>
      <c r="H48" s="33">
        <f>+I48^$G$2*G48</f>
        <v>4.9379999999999997</v>
      </c>
      <c r="I48" s="33">
        <v>1.1299999999999999</v>
      </c>
      <c r="J48" s="31">
        <v>2.65</v>
      </c>
      <c r="K48" s="32">
        <v>310.3647379581945</v>
      </c>
    </row>
    <row r="49" spans="2:11" ht="17.649999999999999" x14ac:dyDescent="0.5">
      <c r="B49" s="31">
        <f>+B48+1</f>
        <v>729</v>
      </c>
      <c r="C49" s="32">
        <v>10.279</v>
      </c>
      <c r="D49" s="34">
        <v>0.30499999999999999</v>
      </c>
      <c r="E49" s="35">
        <v>4.36E-2</v>
      </c>
      <c r="F49" s="35">
        <v>1.2699999999999999E-2</v>
      </c>
      <c r="G49" s="33">
        <v>4.9379999999999997</v>
      </c>
      <c r="H49" s="33">
        <f>+I49^$G$2*G49</f>
        <v>4.9379999999999997</v>
      </c>
      <c r="I49" s="33">
        <v>1.1299999999999999</v>
      </c>
      <c r="J49" s="31">
        <v>2.65</v>
      </c>
      <c r="K49" s="32">
        <v>9.9803109015745282</v>
      </c>
    </row>
    <row r="50" spans="2:11" ht="17.649999999999999" x14ac:dyDescent="0.5">
      <c r="B50" s="31">
        <f>+B49+1</f>
        <v>730</v>
      </c>
      <c r="C50" s="32">
        <v>10.279</v>
      </c>
      <c r="D50" s="34">
        <v>0.30499999999999999</v>
      </c>
      <c r="E50" s="35">
        <v>4.24E-2</v>
      </c>
      <c r="F50" s="35">
        <v>1.4800000000000001E-2</v>
      </c>
      <c r="G50" s="33">
        <v>4.9379999999999997</v>
      </c>
      <c r="H50" s="33">
        <f>+I50^$G$2*G50</f>
        <v>4.9379999999999997</v>
      </c>
      <c r="I50" s="33">
        <v>1.1299999999999999</v>
      </c>
      <c r="J50" s="31">
        <v>2.65</v>
      </c>
      <c r="K50" s="32">
        <v>20.599198396793586</v>
      </c>
    </row>
    <row r="51" spans="2:11" ht="17.649999999999999" x14ac:dyDescent="0.5">
      <c r="B51" s="31">
        <f>+B50+1</f>
        <v>731</v>
      </c>
      <c r="C51" s="32">
        <v>10.279</v>
      </c>
      <c r="D51" s="34">
        <v>0.30499999999999999</v>
      </c>
      <c r="E51" s="35">
        <v>4.1500000000000002E-2</v>
      </c>
      <c r="F51" s="35">
        <v>1.61E-2</v>
      </c>
      <c r="G51" s="33">
        <v>4.9379999999999997</v>
      </c>
      <c r="H51" s="33">
        <f>+I51^$G$2*G51</f>
        <v>4.9379999999999997</v>
      </c>
      <c r="I51" s="33">
        <v>1.1299999999999999</v>
      </c>
      <c r="J51" s="31">
        <v>2.65</v>
      </c>
      <c r="K51" s="32">
        <v>25.038814318794671</v>
      </c>
    </row>
    <row r="52" spans="2:11" ht="17.649999999999999" x14ac:dyDescent="0.5">
      <c r="B52" s="31">
        <f>+B51+1</f>
        <v>732</v>
      </c>
      <c r="C52" s="32">
        <v>10.279</v>
      </c>
      <c r="D52" s="34">
        <v>0.30499999999999999</v>
      </c>
      <c r="E52" s="35">
        <v>4.2999999999999997E-2</v>
      </c>
      <c r="F52" s="35">
        <v>1.6199999999999999E-2</v>
      </c>
      <c r="G52" s="33">
        <v>4.9379999999999997</v>
      </c>
      <c r="H52" s="33">
        <f>+I52^$G$2*G52</f>
        <v>4.9379999999999997</v>
      </c>
      <c r="I52" s="33">
        <v>1.1299999999999999</v>
      </c>
      <c r="J52" s="31">
        <v>2.65</v>
      </c>
      <c r="K52" s="32">
        <v>26.7950671746541</v>
      </c>
    </row>
    <row r="53" spans="2:11" ht="17.649999999999999" x14ac:dyDescent="0.5">
      <c r="B53" s="31">
        <f>+B52+1</f>
        <v>733</v>
      </c>
      <c r="C53" s="32">
        <v>10.279</v>
      </c>
      <c r="D53" s="34">
        <v>0.30499999999999999</v>
      </c>
      <c r="E53" s="35">
        <v>4.02E-2</v>
      </c>
      <c r="F53" s="35">
        <v>1.7600000000000001E-2</v>
      </c>
      <c r="G53" s="33">
        <v>4.9379999999999997</v>
      </c>
      <c r="H53" s="33">
        <f>+I53^$G$2*G53</f>
        <v>4.9379999999999997</v>
      </c>
      <c r="I53" s="33">
        <v>1.1299999999999999</v>
      </c>
      <c r="J53" s="31">
        <v>2.65</v>
      </c>
      <c r="K53" s="32">
        <v>34.033008929467243</v>
      </c>
    </row>
    <row r="54" spans="2:11" ht="17.649999999999999" x14ac:dyDescent="0.5">
      <c r="B54" s="31">
        <f>+B53+1</f>
        <v>734</v>
      </c>
      <c r="C54" s="32">
        <v>10.279</v>
      </c>
      <c r="D54" s="34">
        <v>0.30499999999999999</v>
      </c>
      <c r="E54" s="35">
        <v>3.9300000000000002E-2</v>
      </c>
      <c r="F54" s="35">
        <v>2.0899999999999998E-2</v>
      </c>
      <c r="G54" s="33">
        <v>4.9379999999999997</v>
      </c>
      <c r="H54" s="33">
        <f>+I54^$G$2*G54</f>
        <v>4.9379999999999997</v>
      </c>
      <c r="I54" s="33">
        <v>1.1299999999999999</v>
      </c>
      <c r="J54" s="31">
        <v>2.65</v>
      </c>
      <c r="K54" s="32">
        <v>50.718919896692753</v>
      </c>
    </row>
    <row r="55" spans="2:11" ht="17.649999999999999" x14ac:dyDescent="0.5">
      <c r="B55" s="31">
        <f>+B54+1</f>
        <v>735</v>
      </c>
      <c r="C55" s="32">
        <v>10.279</v>
      </c>
      <c r="D55" s="34">
        <v>0.30499999999999999</v>
      </c>
      <c r="E55" s="35">
        <v>3.4700000000000002E-2</v>
      </c>
      <c r="F55" s="35">
        <v>2.7399999999999997E-2</v>
      </c>
      <c r="G55" s="33">
        <v>4.9379999999999997</v>
      </c>
      <c r="H55" s="33">
        <f>+I55^$G$2*G55</f>
        <v>4.9379999999999997</v>
      </c>
      <c r="I55" s="33">
        <v>1.1299999999999999</v>
      </c>
      <c r="J55" s="31">
        <v>2.65</v>
      </c>
      <c r="K55" s="32">
        <v>101.10219538303072</v>
      </c>
    </row>
    <row r="56" spans="2:11" ht="17.649999999999999" x14ac:dyDescent="0.5">
      <c r="B56" s="31">
        <f>+B55+1</f>
        <v>736</v>
      </c>
      <c r="C56" s="32">
        <v>20.783999999999999</v>
      </c>
      <c r="D56" s="34">
        <v>0.30499999999999999</v>
      </c>
      <c r="E56" s="35">
        <v>8.2900000000000001E-2</v>
      </c>
      <c r="F56" s="35">
        <v>7.7999999999999996E-3</v>
      </c>
      <c r="G56" s="33">
        <v>4.9379999999999997</v>
      </c>
      <c r="H56" s="33">
        <f>+I56^$G$2*G56</f>
        <v>4.9379999999999997</v>
      </c>
      <c r="I56" s="33">
        <v>1.1299999999999999</v>
      </c>
      <c r="J56" s="31">
        <v>2.65</v>
      </c>
      <c r="K56" s="32">
        <v>10.709275276767533</v>
      </c>
    </row>
    <row r="57" spans="2:11" ht="17.649999999999999" x14ac:dyDescent="0.5">
      <c r="B57" s="31">
        <f>+B56+1</f>
        <v>737</v>
      </c>
      <c r="C57" s="32">
        <v>20.783999999999999</v>
      </c>
      <c r="D57" s="34">
        <v>0.30499999999999999</v>
      </c>
      <c r="E57" s="35">
        <v>7.5600000000000001E-2</v>
      </c>
      <c r="F57" s="35">
        <v>8.6E-3</v>
      </c>
      <c r="G57" s="33">
        <v>4.9379999999999997</v>
      </c>
      <c r="H57" s="33">
        <f>+I57^$G$2*G57</f>
        <v>4.9379999999999997</v>
      </c>
      <c r="I57" s="33">
        <v>1.1299999999999999</v>
      </c>
      <c r="J57" s="31">
        <v>2.65</v>
      </c>
      <c r="K57" s="32">
        <v>19.971812940422801</v>
      </c>
    </row>
    <row r="58" spans="2:11" ht="17.649999999999999" x14ac:dyDescent="0.5">
      <c r="B58" s="31">
        <f>+B57+1</f>
        <v>738</v>
      </c>
      <c r="C58" s="32">
        <v>20.783999999999999</v>
      </c>
      <c r="D58" s="34">
        <v>0.30499999999999999</v>
      </c>
      <c r="E58" s="35">
        <v>7.5600000000000001E-2</v>
      </c>
      <c r="F58" s="35">
        <v>9.4999999999999998E-3</v>
      </c>
      <c r="G58" s="33">
        <v>4.9379999999999997</v>
      </c>
      <c r="H58" s="33">
        <f>+I58^$G$2*G58</f>
        <v>4.9379999999999997</v>
      </c>
      <c r="I58" s="33">
        <v>1.1299999999999999</v>
      </c>
      <c r="J58" s="31">
        <v>2.65</v>
      </c>
      <c r="K58" s="32">
        <v>24.970764917901477</v>
      </c>
    </row>
    <row r="59" spans="2:11" ht="17.649999999999999" x14ac:dyDescent="0.5">
      <c r="B59" s="31">
        <f>+B58+1</f>
        <v>739</v>
      </c>
      <c r="C59" s="32">
        <v>20.783999999999999</v>
      </c>
      <c r="D59" s="34">
        <v>0.30499999999999999</v>
      </c>
      <c r="E59" s="35">
        <v>7.6499999999999999E-2</v>
      </c>
      <c r="F59" s="35">
        <v>9.6999999999999986E-3</v>
      </c>
      <c r="G59" s="33">
        <v>4.9379999999999997</v>
      </c>
      <c r="H59" s="33">
        <f>+I59^$G$2*G59</f>
        <v>4.9379999999999997</v>
      </c>
      <c r="I59" s="33">
        <v>1.1299999999999999</v>
      </c>
      <c r="J59" s="31">
        <v>2.65</v>
      </c>
      <c r="K59" s="32">
        <v>26.012515644555695</v>
      </c>
    </row>
    <row r="60" spans="2:11" ht="17.649999999999999" x14ac:dyDescent="0.5">
      <c r="B60" s="31">
        <f>+B59+1</f>
        <v>740</v>
      </c>
      <c r="C60" s="32">
        <v>20.783999999999999</v>
      </c>
      <c r="D60" s="34">
        <v>0.30499999999999999</v>
      </c>
      <c r="E60" s="35">
        <v>7.1599999999999997E-2</v>
      </c>
      <c r="F60" s="35">
        <v>1.2699999999999999E-2</v>
      </c>
      <c r="G60" s="33">
        <v>4.9379999999999997</v>
      </c>
      <c r="H60" s="33">
        <f>+I60^$G$2*G60</f>
        <v>4.9379999999999997</v>
      </c>
      <c r="I60" s="33">
        <v>1.1299999999999999</v>
      </c>
      <c r="J60" s="31">
        <v>2.65</v>
      </c>
      <c r="K60" s="32">
        <v>50.001603849238158</v>
      </c>
    </row>
    <row r="61" spans="2:11" ht="17.649999999999999" x14ac:dyDescent="0.5">
      <c r="B61" s="31">
        <f>+B60+1</f>
        <v>741</v>
      </c>
      <c r="C61" s="32">
        <v>20.783999999999999</v>
      </c>
      <c r="D61" s="34">
        <v>0.30499999999999999</v>
      </c>
      <c r="E61" s="35">
        <v>6.5199999999999994E-2</v>
      </c>
      <c r="F61" s="35">
        <v>1.6899999999999998E-2</v>
      </c>
      <c r="G61" s="33">
        <v>4.9379999999999997</v>
      </c>
      <c r="H61" s="33">
        <f>+I61^$G$2*G61</f>
        <v>4.9379999999999997</v>
      </c>
      <c r="I61" s="33">
        <v>1.1299999999999999</v>
      </c>
      <c r="J61" s="31">
        <v>2.65</v>
      </c>
      <c r="K61" s="32">
        <v>100.24437299035368</v>
      </c>
    </row>
    <row r="62" spans="2:11" ht="17.649999999999999" x14ac:dyDescent="0.5">
      <c r="B62" s="31">
        <f>+B61+1</f>
        <v>742</v>
      </c>
      <c r="C62" s="32">
        <v>20.783999999999999</v>
      </c>
      <c r="D62" s="34">
        <v>0.30499999999999999</v>
      </c>
      <c r="E62" s="35">
        <v>5.79E-2</v>
      </c>
      <c r="F62" s="35">
        <v>2.3E-2</v>
      </c>
      <c r="G62" s="33">
        <v>4.9379999999999997</v>
      </c>
      <c r="H62" s="33">
        <f>+I62^$G$2*G62</f>
        <v>4.9379999999999997</v>
      </c>
      <c r="I62" s="33">
        <v>1.1299999999999999</v>
      </c>
      <c r="J62" s="31">
        <v>2.65</v>
      </c>
      <c r="K62" s="32">
        <v>196.7999030909935</v>
      </c>
    </row>
    <row r="63" spans="2:11" ht="17.649999999999999" x14ac:dyDescent="0.5">
      <c r="B63" s="31">
        <f>+B62+1</f>
        <v>743</v>
      </c>
      <c r="C63" s="32">
        <v>20.783999999999999</v>
      </c>
      <c r="D63" s="34">
        <v>0.30499999999999999</v>
      </c>
      <c r="E63" s="35">
        <v>5.8200000000000002E-2</v>
      </c>
      <c r="F63" s="35">
        <v>2.3699999999999999E-2</v>
      </c>
      <c r="G63" s="33">
        <v>4.9379999999999997</v>
      </c>
      <c r="H63" s="33">
        <f>+I63^$G$2*G63</f>
        <v>4.9379999999999997</v>
      </c>
      <c r="I63" s="33">
        <v>1.1299999999999999</v>
      </c>
      <c r="J63" s="31">
        <v>2.65</v>
      </c>
      <c r="K63" s="32">
        <v>208.45507893381276</v>
      </c>
    </row>
    <row r="64" spans="2:11" ht="17.649999999999999" x14ac:dyDescent="0.5">
      <c r="B64" s="31">
        <f>+B63+1</f>
        <v>744</v>
      </c>
      <c r="C64" s="32">
        <v>10.279</v>
      </c>
      <c r="D64" s="34">
        <v>0.40200000000000002</v>
      </c>
      <c r="E64" s="35">
        <v>3.5099999999999999E-2</v>
      </c>
      <c r="F64" s="35">
        <v>1.9E-2</v>
      </c>
      <c r="G64" s="33">
        <v>4.9379999999999997</v>
      </c>
      <c r="H64" s="33">
        <f>+I64^$G$2*G64</f>
        <v>4.9379999999999997</v>
      </c>
      <c r="I64" s="33">
        <v>1.1299999999999999</v>
      </c>
      <c r="J64" s="31">
        <v>2.65</v>
      </c>
      <c r="K64" s="32">
        <v>24.522383272187806</v>
      </c>
    </row>
    <row r="65" spans="2:11" ht="17.649999999999999" x14ac:dyDescent="0.5">
      <c r="B65" s="31">
        <f>+B64+1</f>
        <v>745</v>
      </c>
      <c r="C65" s="32">
        <v>10.279</v>
      </c>
      <c r="D65" s="34">
        <v>0.40200000000000002</v>
      </c>
      <c r="E65" s="35">
        <v>3.1699999999999999E-2</v>
      </c>
      <c r="F65" s="35">
        <v>1.9699999999999999E-2</v>
      </c>
      <c r="G65" s="33">
        <v>4.9379999999999997</v>
      </c>
      <c r="H65" s="33">
        <f>+I65^$G$2*G65</f>
        <v>4.9379999999999997</v>
      </c>
      <c r="I65" s="33">
        <v>1.1299999999999999</v>
      </c>
      <c r="J65" s="31">
        <v>2.65</v>
      </c>
      <c r="K65" s="32">
        <v>25.555297136899515</v>
      </c>
    </row>
    <row r="66" spans="2:11" ht="17.649999999999999" x14ac:dyDescent="0.5">
      <c r="B66" s="31">
        <f>+B65+1</f>
        <v>746</v>
      </c>
      <c r="C66" s="32">
        <v>10.279</v>
      </c>
      <c r="D66" s="34">
        <v>0.40200000000000002</v>
      </c>
      <c r="E66" s="35">
        <v>3.2899999999999999E-2</v>
      </c>
      <c r="F66" s="35">
        <v>2.2499999999999999E-2</v>
      </c>
      <c r="G66" s="33">
        <v>4.9379999999999997</v>
      </c>
      <c r="H66" s="33">
        <f>+I66^$G$2*G66</f>
        <v>4.9379999999999997</v>
      </c>
      <c r="I66" s="33">
        <v>1.1299999999999999</v>
      </c>
      <c r="J66" s="31">
        <v>2.65</v>
      </c>
      <c r="K66" s="32">
        <v>50.615114058888558</v>
      </c>
    </row>
    <row r="67" spans="2:11" ht="17.649999999999999" x14ac:dyDescent="0.5">
      <c r="B67" s="31">
        <f>+B66+1</f>
        <v>747</v>
      </c>
      <c r="C67" s="32">
        <v>10.279</v>
      </c>
      <c r="D67" s="34">
        <v>0.40200000000000002</v>
      </c>
      <c r="E67" s="35">
        <v>3.2000000000000001E-2</v>
      </c>
      <c r="F67" s="35">
        <v>2.3399999999999997E-2</v>
      </c>
      <c r="G67" s="33">
        <v>4.9379999999999997</v>
      </c>
      <c r="H67" s="33">
        <f>+I67^$G$2*G67</f>
        <v>4.9379999999999997</v>
      </c>
      <c r="I67" s="33">
        <v>1.1299999999999999</v>
      </c>
      <c r="J67" s="31">
        <v>2.65</v>
      </c>
      <c r="K67" s="32">
        <v>49.577170418006425</v>
      </c>
    </row>
    <row r="68" spans="2:11" ht="17.649999999999999" x14ac:dyDescent="0.5">
      <c r="B68" s="31">
        <f>+B67+1</f>
        <v>748</v>
      </c>
      <c r="C68" s="32">
        <v>10.279</v>
      </c>
      <c r="D68" s="34">
        <v>0.40200000000000002</v>
      </c>
      <c r="E68" s="35">
        <v>2.8299999999999999E-2</v>
      </c>
      <c r="F68" s="35">
        <v>3.0199999999999998E-2</v>
      </c>
      <c r="G68" s="33">
        <v>4.9379999999999997</v>
      </c>
      <c r="H68" s="33">
        <f>+I68^$G$2*G68</f>
        <v>4.9379999999999997</v>
      </c>
      <c r="I68" s="33">
        <v>1.1299999999999999</v>
      </c>
      <c r="J68" s="31">
        <v>2.65</v>
      </c>
      <c r="K68" s="32">
        <v>97.539471027659999</v>
      </c>
    </row>
    <row r="69" spans="2:11" ht="17.649999999999999" x14ac:dyDescent="0.5">
      <c r="B69" s="31">
        <f>+B68+1</f>
        <v>749</v>
      </c>
      <c r="C69" s="32">
        <v>10.279</v>
      </c>
      <c r="D69" s="34">
        <v>0.40200000000000002</v>
      </c>
      <c r="E69" s="35">
        <v>2.9600000000000001E-2</v>
      </c>
      <c r="F69" s="35">
        <v>3.1E-2</v>
      </c>
      <c r="G69" s="33">
        <v>4.9379999999999997</v>
      </c>
      <c r="H69" s="33">
        <f>+I69^$G$2*G69</f>
        <v>4.9379999999999997</v>
      </c>
      <c r="I69" s="33">
        <v>1.1299999999999999</v>
      </c>
      <c r="J69" s="31">
        <v>2.65</v>
      </c>
      <c r="K69" s="32">
        <v>111.17487112099464</v>
      </c>
    </row>
    <row r="70" spans="2:11" ht="17.649999999999999" x14ac:dyDescent="0.5">
      <c r="B70" s="31">
        <f>+B69+1</f>
        <v>750</v>
      </c>
      <c r="C70" s="32">
        <v>31.686</v>
      </c>
      <c r="D70" s="34">
        <v>0.30499999999999999</v>
      </c>
      <c r="E70" s="35">
        <v>0.1186</v>
      </c>
      <c r="F70" s="35">
        <v>6.4000000000000003E-3</v>
      </c>
      <c r="G70" s="33">
        <v>4.9379999999999997</v>
      </c>
      <c r="H70" s="33">
        <f>+I70^$G$2*G70</f>
        <v>4.9379999999999997</v>
      </c>
      <c r="I70" s="33">
        <v>1.1299999999999999</v>
      </c>
      <c r="J70" s="31">
        <v>2.65</v>
      </c>
      <c r="K70" s="32">
        <v>9.98423503403572</v>
      </c>
    </row>
    <row r="71" spans="2:11" ht="17.649999999999999" x14ac:dyDescent="0.5">
      <c r="B71" s="31">
        <f>+B70+1</f>
        <v>751</v>
      </c>
      <c r="C71" s="32">
        <v>31.686</v>
      </c>
      <c r="D71" s="34">
        <v>0.30499999999999999</v>
      </c>
      <c r="E71" s="35">
        <v>0.10879999999999999</v>
      </c>
      <c r="F71" s="35">
        <v>6.6E-3</v>
      </c>
      <c r="G71" s="33">
        <v>4.9379999999999997</v>
      </c>
      <c r="H71" s="33">
        <f>+I71^$G$2*G71</f>
        <v>4.9379999999999997</v>
      </c>
      <c r="I71" s="33">
        <v>1.1299999999999999</v>
      </c>
      <c r="J71" s="31">
        <v>2.65</v>
      </c>
      <c r="K71" s="32">
        <v>24.417021106251813</v>
      </c>
    </row>
    <row r="72" spans="2:11" ht="17.649999999999999" x14ac:dyDescent="0.5">
      <c r="B72" s="31">
        <f>+B71+1</f>
        <v>752</v>
      </c>
      <c r="C72" s="32">
        <v>31.686</v>
      </c>
      <c r="D72" s="34">
        <v>0.30499999999999999</v>
      </c>
      <c r="E72" s="35">
        <v>0.1094</v>
      </c>
      <c r="F72" s="35">
        <v>6.7000000000000002E-3</v>
      </c>
      <c r="G72" s="33">
        <v>4.9379999999999997</v>
      </c>
      <c r="H72" s="33">
        <f>+I72^$G$2*G72</f>
        <v>4.9379999999999997</v>
      </c>
      <c r="I72" s="33">
        <v>1.1299999999999999</v>
      </c>
      <c r="J72" s="31">
        <v>2.65</v>
      </c>
      <c r="K72" s="32">
        <v>25.051730867385235</v>
      </c>
    </row>
    <row r="73" spans="2:11" ht="17.649999999999999" x14ac:dyDescent="0.5">
      <c r="B73" s="31">
        <f>+B72+1</f>
        <v>753</v>
      </c>
      <c r="C73" s="32">
        <v>31.686</v>
      </c>
      <c r="D73" s="34">
        <v>0.30499999999999999</v>
      </c>
      <c r="E73" s="35">
        <v>9.8799999999999999E-2</v>
      </c>
      <c r="F73" s="35">
        <v>9.6999999999999986E-3</v>
      </c>
      <c r="G73" s="33">
        <v>4.9379999999999997</v>
      </c>
      <c r="H73" s="33">
        <f>+I73^$G$2*G73</f>
        <v>4.9379999999999997</v>
      </c>
      <c r="I73" s="33">
        <v>1.1299999999999999</v>
      </c>
      <c r="J73" s="31">
        <v>2.65</v>
      </c>
      <c r="K73" s="32">
        <v>51.096725728422754</v>
      </c>
    </row>
    <row r="74" spans="2:11" ht="17.649999999999999" x14ac:dyDescent="0.5">
      <c r="B74" s="31">
        <f>+B73+1</f>
        <v>754</v>
      </c>
      <c r="C74" s="32">
        <v>31.686</v>
      </c>
      <c r="D74" s="34">
        <v>0.30499999999999999</v>
      </c>
      <c r="E74" s="35">
        <v>9.9400000000000002E-2</v>
      </c>
      <c r="F74" s="35">
        <v>8.9999999999999993E-3</v>
      </c>
      <c r="G74" s="33">
        <v>4.9379999999999997</v>
      </c>
      <c r="H74" s="33">
        <f>+I74^$G$2*G74</f>
        <v>4.9379999999999997</v>
      </c>
      <c r="I74" s="33">
        <v>1.1299999999999999</v>
      </c>
      <c r="J74" s="31">
        <v>2.65</v>
      </c>
      <c r="K74" s="32">
        <v>52.050402660362998</v>
      </c>
    </row>
    <row r="75" spans="2:11" ht="17.649999999999999" x14ac:dyDescent="0.5">
      <c r="B75" s="31">
        <f>+B74+1</f>
        <v>755</v>
      </c>
      <c r="C75" s="32">
        <v>31.686</v>
      </c>
      <c r="D75" s="34">
        <v>0.30499999999999999</v>
      </c>
      <c r="E75" s="35">
        <v>9.3899999999999997E-2</v>
      </c>
      <c r="F75" s="35">
        <v>1.2199999999999999E-2</v>
      </c>
      <c r="G75" s="33">
        <v>4.9379999999999997</v>
      </c>
      <c r="H75" s="33">
        <f>+I75^$G$2*G75</f>
        <v>4.9379999999999997</v>
      </c>
      <c r="I75" s="33">
        <v>1.1299999999999999</v>
      </c>
      <c r="J75" s="31">
        <v>2.65</v>
      </c>
      <c r="K75" s="32">
        <v>101.0829236973576</v>
      </c>
    </row>
    <row r="76" spans="2:11" ht="17.649999999999999" x14ac:dyDescent="0.5">
      <c r="B76" s="31">
        <f>+B75+1</f>
        <v>756</v>
      </c>
      <c r="C76" s="32">
        <v>31.686</v>
      </c>
      <c r="D76" s="34">
        <v>0.30499999999999999</v>
      </c>
      <c r="E76" s="35">
        <v>9.3600000000000003E-2</v>
      </c>
      <c r="F76" s="35">
        <v>1.3099999999999999E-2</v>
      </c>
      <c r="G76" s="33">
        <v>4.9379999999999997</v>
      </c>
      <c r="H76" s="33">
        <f>+I76^$G$2*G76</f>
        <v>4.9379999999999997</v>
      </c>
      <c r="I76" s="33">
        <v>1.1299999999999999</v>
      </c>
      <c r="J76" s="31">
        <v>2.65</v>
      </c>
      <c r="K76" s="32">
        <v>102.35851441642089</v>
      </c>
    </row>
    <row r="77" spans="2:11" ht="17.649999999999999" x14ac:dyDescent="0.5">
      <c r="B77" s="31">
        <f>+B76+1</f>
        <v>757</v>
      </c>
      <c r="C77" s="32">
        <v>31.686</v>
      </c>
      <c r="D77" s="34">
        <v>0.30499999999999999</v>
      </c>
      <c r="E77" s="35">
        <v>8.3799999999999999E-2</v>
      </c>
      <c r="F77" s="35">
        <v>1.78E-2</v>
      </c>
      <c r="G77" s="33">
        <v>4.9379999999999997</v>
      </c>
      <c r="H77" s="33">
        <f>+I77^$G$2*G77</f>
        <v>4.9379999999999997</v>
      </c>
      <c r="I77" s="33">
        <v>1.1299999999999999</v>
      </c>
      <c r="J77" s="31">
        <v>2.65</v>
      </c>
      <c r="K77" s="32">
        <v>210.51701228105497</v>
      </c>
    </row>
    <row r="78" spans="2:11" ht="17.649999999999999" x14ac:dyDescent="0.5">
      <c r="B78" s="31">
        <f>+B77+1</f>
        <v>758</v>
      </c>
      <c r="C78" s="32">
        <v>31.686</v>
      </c>
      <c r="D78" s="34">
        <v>0.30499999999999999</v>
      </c>
      <c r="E78" s="35">
        <v>7.6799999999999993E-2</v>
      </c>
      <c r="F78" s="35">
        <v>2.0399999999999998E-2</v>
      </c>
      <c r="G78" s="33">
        <v>4.9379999999999997</v>
      </c>
      <c r="H78" s="33">
        <f>+I78^$G$2*G78</f>
        <v>4.9379999999999997</v>
      </c>
      <c r="I78" s="33">
        <v>1.1299999999999999</v>
      </c>
      <c r="J78" s="31">
        <v>2.65</v>
      </c>
      <c r="K78" s="32">
        <v>303.90408884401813</v>
      </c>
    </row>
    <row r="79" spans="2:11" ht="17.649999999999999" x14ac:dyDescent="0.5">
      <c r="B79" s="31">
        <f>+B78+1</f>
        <v>759</v>
      </c>
      <c r="C79" s="32">
        <v>31.686</v>
      </c>
      <c r="D79" s="34">
        <v>0.30499999999999999</v>
      </c>
      <c r="E79" s="35">
        <v>7.7100000000000002E-2</v>
      </c>
      <c r="F79" s="35">
        <v>2.2100000000000002E-2</v>
      </c>
      <c r="G79" s="33">
        <v>4.9379999999999997</v>
      </c>
      <c r="H79" s="33">
        <f>+I79^$G$2*G79</f>
        <v>4.9379999999999997</v>
      </c>
      <c r="I79" s="33">
        <v>1.1299999999999999</v>
      </c>
      <c r="J79" s="31">
        <v>2.65</v>
      </c>
      <c r="K79" s="32">
        <v>310.3647379581945</v>
      </c>
    </row>
    <row r="80" spans="2:11" ht="17.649999999999999" x14ac:dyDescent="0.5">
      <c r="B80" s="31">
        <f>+B79+1</f>
        <v>760</v>
      </c>
      <c r="C80" s="32">
        <v>20.783999999999999</v>
      </c>
      <c r="D80" s="34">
        <v>0.40200000000000002</v>
      </c>
      <c r="E80" s="35">
        <v>6.4000000000000001E-2</v>
      </c>
      <c r="F80" s="35">
        <v>8.199999999999999E-3</v>
      </c>
      <c r="G80" s="33">
        <v>4.9379999999999997</v>
      </c>
      <c r="H80" s="33">
        <f>+I80^$G$2*G80</f>
        <v>4.9379999999999997</v>
      </c>
      <c r="I80" s="33">
        <v>1.1299999999999999</v>
      </c>
      <c r="J80" s="31">
        <v>2.65</v>
      </c>
      <c r="K80" s="32">
        <v>9.5650399183624462</v>
      </c>
    </row>
    <row r="81" spans="2:11" ht="17.649999999999999" x14ac:dyDescent="0.5">
      <c r="B81" s="31">
        <f>+B80+1</f>
        <v>761</v>
      </c>
      <c r="C81" s="32">
        <v>20.783999999999999</v>
      </c>
      <c r="D81" s="34">
        <v>0.40200000000000002</v>
      </c>
      <c r="E81" s="35">
        <v>6.4000000000000001E-2</v>
      </c>
      <c r="F81" s="35">
        <v>8.199999999999999E-3</v>
      </c>
      <c r="G81" s="33">
        <v>4.9379999999999997</v>
      </c>
      <c r="H81" s="33">
        <f>+I81^$G$2*G81</f>
        <v>4.9379999999999997</v>
      </c>
      <c r="I81" s="33">
        <v>1.1299999999999999</v>
      </c>
      <c r="J81" s="31">
        <v>2.65</v>
      </c>
      <c r="K81" s="32">
        <v>11.021361321500395</v>
      </c>
    </row>
    <row r="82" spans="2:11" ht="17.649999999999999" x14ac:dyDescent="0.5">
      <c r="B82" s="31">
        <f>+B81+1</f>
        <v>762</v>
      </c>
      <c r="C82" s="32">
        <v>20.783999999999999</v>
      </c>
      <c r="D82" s="34">
        <v>0.40200000000000002</v>
      </c>
      <c r="E82" s="35">
        <v>5.91E-2</v>
      </c>
      <c r="F82" s="35">
        <v>1.0800000000000001E-2</v>
      </c>
      <c r="G82" s="33">
        <v>4.9379999999999997</v>
      </c>
      <c r="H82" s="33">
        <f>+I82^$G$2*G82</f>
        <v>4.9379999999999997</v>
      </c>
      <c r="I82" s="33">
        <v>1.1299999999999999</v>
      </c>
      <c r="J82" s="31">
        <v>2.65</v>
      </c>
      <c r="K82" s="32">
        <v>24.554093830720241</v>
      </c>
    </row>
    <row r="83" spans="2:11" ht="17.649999999999999" x14ac:dyDescent="0.5">
      <c r="B83" s="31">
        <f>+B82+1</f>
        <v>763</v>
      </c>
      <c r="C83" s="32">
        <v>20.783999999999999</v>
      </c>
      <c r="D83" s="34">
        <v>0.40200000000000002</v>
      </c>
      <c r="E83" s="35">
        <v>6.0999999999999999E-2</v>
      </c>
      <c r="F83" s="35">
        <v>1.14E-2</v>
      </c>
      <c r="G83" s="33">
        <v>4.9379999999999997</v>
      </c>
      <c r="H83" s="33">
        <f>+I83^$G$2*G83</f>
        <v>4.9379999999999997</v>
      </c>
      <c r="I83" s="33">
        <v>1.1299999999999999</v>
      </c>
      <c r="J83" s="31">
        <v>2.65</v>
      </c>
      <c r="K83" s="32">
        <v>26.012515644555695</v>
      </c>
    </row>
    <row r="84" spans="2:11" ht="17.649999999999999" x14ac:dyDescent="0.5">
      <c r="B84" s="31">
        <f>+B83+1</f>
        <v>764</v>
      </c>
      <c r="C84" s="32">
        <v>20.783999999999999</v>
      </c>
      <c r="D84" s="34">
        <v>0.40200000000000002</v>
      </c>
      <c r="E84" s="35">
        <v>5.8799999999999998E-2</v>
      </c>
      <c r="F84" s="35">
        <v>1.41E-2</v>
      </c>
      <c r="G84" s="33">
        <v>4.9379999999999997</v>
      </c>
      <c r="H84" s="33">
        <f>+I84^$G$2*G84</f>
        <v>4.9379999999999997</v>
      </c>
      <c r="I84" s="33">
        <v>1.1299999999999999</v>
      </c>
      <c r="J84" s="31">
        <v>2.65</v>
      </c>
      <c r="K84" s="32">
        <v>51.045862362788831</v>
      </c>
    </row>
    <row r="85" spans="2:11" ht="17.649999999999999" x14ac:dyDescent="0.5">
      <c r="B85" s="31">
        <f>+B84+1</f>
        <v>765</v>
      </c>
      <c r="C85" s="32">
        <v>20.783999999999999</v>
      </c>
      <c r="D85" s="34">
        <v>0.40200000000000002</v>
      </c>
      <c r="E85" s="35">
        <v>5.21E-2</v>
      </c>
      <c r="F85" s="35">
        <v>1.8200000000000001E-2</v>
      </c>
      <c r="G85" s="33">
        <v>4.9379999999999997</v>
      </c>
      <c r="H85" s="33">
        <f>+I85^$G$2*G85</f>
        <v>4.9379999999999997</v>
      </c>
      <c r="I85" s="33">
        <v>1.1299999999999999</v>
      </c>
      <c r="J85" s="31">
        <v>2.65</v>
      </c>
      <c r="K85" s="32">
        <v>102.34308109737715</v>
      </c>
    </row>
    <row r="86" spans="2:11" ht="17.649999999999999" x14ac:dyDescent="0.5">
      <c r="B86" s="31">
        <f>+B85+1</f>
        <v>766</v>
      </c>
      <c r="C86" s="32">
        <v>20.783999999999999</v>
      </c>
      <c r="D86" s="34">
        <v>0.40200000000000002</v>
      </c>
      <c r="E86" s="35">
        <v>4.9700000000000001E-2</v>
      </c>
      <c r="F86" s="35">
        <v>2.4399999999999998E-2</v>
      </c>
      <c r="G86" s="33">
        <v>4.9379999999999997</v>
      </c>
      <c r="H86" s="33">
        <f>+I86^$G$2*G86</f>
        <v>4.9379999999999997</v>
      </c>
      <c r="I86" s="33">
        <v>1.1299999999999999</v>
      </c>
      <c r="J86" s="31">
        <v>2.65</v>
      </c>
      <c r="K86" s="32">
        <v>203.36759196615202</v>
      </c>
    </row>
    <row r="87" spans="2:11" ht="17.649999999999999" x14ac:dyDescent="0.5">
      <c r="B87" s="31">
        <f>+B86+1</f>
        <v>767</v>
      </c>
      <c r="C87" s="32">
        <v>31.686</v>
      </c>
      <c r="D87" s="34">
        <v>0.40200000000000002</v>
      </c>
      <c r="E87" s="35">
        <v>9.0499999999999997E-2</v>
      </c>
      <c r="F87" s="35">
        <v>7.0999999999999995E-3</v>
      </c>
      <c r="G87" s="33">
        <v>4.9379999999999997</v>
      </c>
      <c r="H87" s="33">
        <f>+I87^$G$2*G87</f>
        <v>4.9379999999999997</v>
      </c>
      <c r="I87" s="33">
        <v>1.1299999999999999</v>
      </c>
      <c r="J87" s="31">
        <v>2.65</v>
      </c>
      <c r="K87" s="32">
        <v>12.04525719773514</v>
      </c>
    </row>
    <row r="88" spans="2:11" ht="17.649999999999999" x14ac:dyDescent="0.5">
      <c r="B88" s="31">
        <f>+B87+1</f>
        <v>768</v>
      </c>
      <c r="C88" s="32">
        <v>31.686</v>
      </c>
      <c r="D88" s="34">
        <v>0.40200000000000002</v>
      </c>
      <c r="E88" s="35">
        <v>8.2299999999999998E-2</v>
      </c>
      <c r="F88" s="35">
        <v>8.9999999999999993E-3</v>
      </c>
      <c r="G88" s="33">
        <v>4.9379999999999997</v>
      </c>
      <c r="H88" s="33">
        <f>+I88^$G$2*G88</f>
        <v>4.9379999999999997</v>
      </c>
      <c r="I88" s="33">
        <v>1.1299999999999999</v>
      </c>
      <c r="J88" s="31">
        <v>2.65</v>
      </c>
      <c r="K88" s="32">
        <v>48.553867417148233</v>
      </c>
    </row>
    <row r="89" spans="2:11" ht="17.649999999999999" x14ac:dyDescent="0.5">
      <c r="B89" s="31">
        <f>+B88+1</f>
        <v>769</v>
      </c>
      <c r="C89" s="32">
        <v>31.686</v>
      </c>
      <c r="D89" s="34">
        <v>0.40200000000000002</v>
      </c>
      <c r="E89" s="35">
        <v>7.9600000000000004E-2</v>
      </c>
      <c r="F89" s="35">
        <v>1.0699999999999999E-2</v>
      </c>
      <c r="G89" s="33">
        <v>4.9379999999999997</v>
      </c>
      <c r="H89" s="33">
        <f>+I89^$G$2*G89</f>
        <v>4.9379999999999997</v>
      </c>
      <c r="I89" s="33">
        <v>1.1299999999999999</v>
      </c>
      <c r="J89" s="31">
        <v>2.65</v>
      </c>
      <c r="K89" s="32">
        <v>59.045785160398339</v>
      </c>
    </row>
    <row r="90" spans="2:11" ht="17.649999999999999" x14ac:dyDescent="0.5">
      <c r="B90" s="31">
        <f>+B89+1</f>
        <v>770</v>
      </c>
      <c r="C90" s="32">
        <v>31.686</v>
      </c>
      <c r="D90" s="34">
        <v>0.40200000000000002</v>
      </c>
      <c r="E90" s="35">
        <v>7.5600000000000001E-2</v>
      </c>
      <c r="F90" s="35">
        <v>1.3099999999999999E-2</v>
      </c>
      <c r="G90" s="33">
        <v>4.9379999999999997</v>
      </c>
      <c r="H90" s="33">
        <f>+I90^$G$2*G90</f>
        <v>4.9379999999999997</v>
      </c>
      <c r="I90" s="33">
        <v>1.1299999999999999</v>
      </c>
      <c r="J90" s="31">
        <v>2.65</v>
      </c>
      <c r="K90" s="32">
        <v>96.937960780380152</v>
      </c>
    </row>
    <row r="91" spans="2:11" ht="17.649999999999999" x14ac:dyDescent="0.5">
      <c r="B91" s="31">
        <f>+B90+1</f>
        <v>771</v>
      </c>
      <c r="C91" s="32">
        <v>31.686</v>
      </c>
      <c r="D91" s="34">
        <v>0.40200000000000002</v>
      </c>
      <c r="E91" s="35">
        <v>7.4700000000000003E-2</v>
      </c>
      <c r="F91" s="35">
        <v>1.4E-2</v>
      </c>
      <c r="G91" s="33">
        <v>4.9379999999999997</v>
      </c>
      <c r="H91" s="33">
        <f>+I91^$G$2*G91</f>
        <v>4.9379999999999997</v>
      </c>
      <c r="I91" s="33">
        <v>1.1299999999999999</v>
      </c>
      <c r="J91" s="31">
        <v>2.65</v>
      </c>
      <c r="K91" s="32">
        <v>104.91000300993277</v>
      </c>
    </row>
    <row r="92" spans="2:11" ht="17.649999999999999" x14ac:dyDescent="0.5">
      <c r="B92" s="31">
        <f>+B91+1</f>
        <v>772</v>
      </c>
      <c r="C92" s="32">
        <v>31.686</v>
      </c>
      <c r="D92" s="34">
        <v>0.40200000000000002</v>
      </c>
      <c r="E92" s="35">
        <v>7.0099999999999996E-2</v>
      </c>
      <c r="F92" s="35">
        <v>1.83E-2</v>
      </c>
      <c r="G92" s="33">
        <v>4.9379999999999997</v>
      </c>
      <c r="H92" s="33">
        <f>+I92^$G$2*G92</f>
        <v>4.9379999999999997</v>
      </c>
      <c r="I92" s="33">
        <v>1.1299999999999999</v>
      </c>
      <c r="J92" s="31">
        <v>2.65</v>
      </c>
      <c r="K92" s="32">
        <v>199.60388029061929</v>
      </c>
    </row>
    <row r="93" spans="2:11" ht="17.649999999999999" x14ac:dyDescent="0.5">
      <c r="B93" s="31">
        <f>+B92+1</f>
        <v>773</v>
      </c>
      <c r="C93" s="32">
        <v>31.686</v>
      </c>
      <c r="D93" s="34">
        <v>0.40200000000000002</v>
      </c>
      <c r="E93" s="35">
        <v>6.13E-2</v>
      </c>
      <c r="F93" s="35">
        <v>2.1700000000000001E-2</v>
      </c>
      <c r="G93" s="33">
        <v>4.9379999999999997</v>
      </c>
      <c r="H93" s="33">
        <f>+I93^$G$2*G93</f>
        <v>4.9379999999999997</v>
      </c>
      <c r="I93" s="33">
        <v>1.1299999999999999</v>
      </c>
      <c r="J93" s="31">
        <v>2.65</v>
      </c>
      <c r="K93" s="32">
        <v>290.99061459279449</v>
      </c>
    </row>
    <row r="94" spans="2:11" ht="17.649999999999999" x14ac:dyDescent="0.5">
      <c r="B94" s="31">
        <f>+B93+1</f>
        <v>774</v>
      </c>
      <c r="C94" s="32">
        <v>31.686</v>
      </c>
      <c r="D94" s="34">
        <v>0.40200000000000002</v>
      </c>
      <c r="E94" s="35">
        <v>6.1600000000000002E-2</v>
      </c>
      <c r="F94" s="35">
        <v>2.2600000000000002E-2</v>
      </c>
      <c r="G94" s="33">
        <v>4.9379999999999997</v>
      </c>
      <c r="H94" s="33">
        <f>+I94^$G$2*G94</f>
        <v>4.9379999999999997</v>
      </c>
      <c r="I94" s="33">
        <v>1.1299999999999999</v>
      </c>
      <c r="J94" s="31">
        <v>2.65</v>
      </c>
      <c r="K94" s="32">
        <v>305.84200961188964</v>
      </c>
    </row>
    <row r="95" spans="2:11" ht="17.649999999999999" x14ac:dyDescent="0.5">
      <c r="B95" s="31">
        <f>+B94+1</f>
        <v>775</v>
      </c>
      <c r="C95" s="32">
        <v>10.279</v>
      </c>
      <c r="D95" s="34">
        <v>0.20100000000000001</v>
      </c>
      <c r="E95" s="35">
        <v>5.6099999999999997E-2</v>
      </c>
      <c r="F95" s="35">
        <v>1.49E-2</v>
      </c>
      <c r="G95" s="33">
        <v>7.01</v>
      </c>
      <c r="H95" s="33">
        <f>+I95^$G$2*G95</f>
        <v>7.01</v>
      </c>
      <c r="I95" s="33">
        <v>1.1200000000000001</v>
      </c>
      <c r="J95" s="31">
        <v>2.65</v>
      </c>
      <c r="K95" s="32">
        <v>9.5683685827819858</v>
      </c>
    </row>
    <row r="96" spans="2:11" ht="17.649999999999999" x14ac:dyDescent="0.5">
      <c r="B96" s="31">
        <f>+B95+1</f>
        <v>776</v>
      </c>
      <c r="C96" s="32">
        <v>10.279</v>
      </c>
      <c r="D96" s="34">
        <v>0.20100000000000001</v>
      </c>
      <c r="E96" s="35">
        <v>5.6099999999999997E-2</v>
      </c>
      <c r="F96" s="35">
        <v>1.5800000000000002E-2</v>
      </c>
      <c r="G96" s="33">
        <v>7.01</v>
      </c>
      <c r="H96" s="33">
        <f>+I96^$G$2*G96</f>
        <v>7.01</v>
      </c>
      <c r="I96" s="33">
        <v>1.1200000000000001</v>
      </c>
      <c r="J96" s="31">
        <v>2.65</v>
      </c>
      <c r="K96" s="32">
        <v>11.010311032805101</v>
      </c>
    </row>
    <row r="97" spans="2:11" ht="17.649999999999999" x14ac:dyDescent="0.5">
      <c r="B97" s="31">
        <f>+B96+1</f>
        <v>777</v>
      </c>
      <c r="C97" s="32">
        <v>10.279</v>
      </c>
      <c r="D97" s="34">
        <v>0.20100000000000001</v>
      </c>
      <c r="E97" s="35">
        <v>5.5800000000000002E-2</v>
      </c>
      <c r="F97" s="35">
        <v>1.7999999999999999E-2</v>
      </c>
      <c r="G97" s="33">
        <v>7.01</v>
      </c>
      <c r="H97" s="33">
        <f>+I97^$G$2*G97</f>
        <v>7.01</v>
      </c>
      <c r="I97" s="33">
        <v>1.1200000000000001</v>
      </c>
      <c r="J97" s="31">
        <v>2.65</v>
      </c>
      <c r="K97" s="32">
        <v>19.051395080899663</v>
      </c>
    </row>
    <row r="98" spans="2:11" ht="17.649999999999999" x14ac:dyDescent="0.5">
      <c r="B98" s="31">
        <f>+B97+1</f>
        <v>778</v>
      </c>
      <c r="C98" s="32">
        <v>10.279</v>
      </c>
      <c r="D98" s="34">
        <v>0.20100000000000001</v>
      </c>
      <c r="E98" s="35">
        <v>5.2699999999999997E-2</v>
      </c>
      <c r="F98" s="35">
        <v>1.84E-2</v>
      </c>
      <c r="G98" s="33">
        <v>7.01</v>
      </c>
      <c r="H98" s="33">
        <f>+I98^$G$2*G98</f>
        <v>7.01</v>
      </c>
      <c r="I98" s="33">
        <v>1.1200000000000001</v>
      </c>
      <c r="J98" s="31">
        <v>2.65</v>
      </c>
      <c r="K98" s="32">
        <v>21.528103736809928</v>
      </c>
    </row>
    <row r="99" spans="2:11" ht="17.649999999999999" x14ac:dyDescent="0.5">
      <c r="B99" s="31">
        <f>+B98+1</f>
        <v>779</v>
      </c>
      <c r="C99" s="32">
        <v>10.279</v>
      </c>
      <c r="D99" s="34">
        <v>0.20100000000000001</v>
      </c>
      <c r="E99" s="35">
        <v>5.0900000000000001E-2</v>
      </c>
      <c r="F99" s="35">
        <v>2.4300000000000002E-2</v>
      </c>
      <c r="G99" s="33">
        <v>7.01</v>
      </c>
      <c r="H99" s="33">
        <f>+I99^$G$2*G99</f>
        <v>7.01</v>
      </c>
      <c r="I99" s="33">
        <v>1.1200000000000001</v>
      </c>
      <c r="J99" s="31">
        <v>2.65</v>
      </c>
      <c r="K99" s="32">
        <v>51.653266331658294</v>
      </c>
    </row>
    <row r="100" spans="2:11" ht="17.649999999999999" x14ac:dyDescent="0.5">
      <c r="B100" s="31">
        <f>+B99+1</f>
        <v>780</v>
      </c>
      <c r="C100" s="32">
        <v>10.279</v>
      </c>
      <c r="D100" s="34">
        <v>0.20100000000000001</v>
      </c>
      <c r="E100" s="35">
        <v>5.2699999999999997E-2</v>
      </c>
      <c r="F100" s="35">
        <v>2.47E-2</v>
      </c>
      <c r="G100" s="33">
        <v>7.01</v>
      </c>
      <c r="H100" s="33">
        <f>+I100^$G$2*G100</f>
        <v>7.01</v>
      </c>
      <c r="I100" s="33">
        <v>1.1200000000000001</v>
      </c>
      <c r="J100" s="31">
        <v>2.65</v>
      </c>
      <c r="K100" s="32">
        <v>54.249560191002757</v>
      </c>
    </row>
    <row r="101" spans="2:11" ht="17.649999999999999" x14ac:dyDescent="0.5">
      <c r="B101" s="31">
        <f>+B100+1</f>
        <v>781</v>
      </c>
      <c r="C101" s="32">
        <v>20.783999999999999</v>
      </c>
      <c r="D101" s="34">
        <v>0.20100000000000001</v>
      </c>
      <c r="E101" s="35">
        <v>0.1052</v>
      </c>
      <c r="F101" s="35">
        <v>8.9999999999999993E-3</v>
      </c>
      <c r="G101" s="33">
        <v>7.01</v>
      </c>
      <c r="H101" s="33">
        <f>+I101^$G$2*G101</f>
        <v>7.01</v>
      </c>
      <c r="I101" s="33">
        <v>1.1200000000000001</v>
      </c>
      <c r="J101" s="31">
        <v>2.65</v>
      </c>
      <c r="K101" s="32">
        <v>9.003366299006796</v>
      </c>
    </row>
    <row r="102" spans="2:11" ht="17.649999999999999" x14ac:dyDescent="0.5">
      <c r="B102" s="31">
        <f>+B101+1</f>
        <v>782</v>
      </c>
      <c r="C102" s="32">
        <v>20.783999999999999</v>
      </c>
      <c r="D102" s="34">
        <v>0.20100000000000001</v>
      </c>
      <c r="E102" s="35">
        <v>0.1061</v>
      </c>
      <c r="F102" s="35">
        <v>9.4999999999999998E-3</v>
      </c>
      <c r="G102" s="33">
        <v>7.01</v>
      </c>
      <c r="H102" s="33">
        <f>+I102^$G$2*G102</f>
        <v>7.01</v>
      </c>
      <c r="I102" s="33">
        <v>1.1200000000000001</v>
      </c>
      <c r="J102" s="31">
        <v>2.65</v>
      </c>
      <c r="K102" s="32">
        <v>10.522023985232122</v>
      </c>
    </row>
    <row r="103" spans="2:11" ht="17.649999999999999" x14ac:dyDescent="0.5">
      <c r="B103" s="31">
        <f>+B102+1</f>
        <v>783</v>
      </c>
      <c r="C103" s="32">
        <v>20.783999999999999</v>
      </c>
      <c r="D103" s="34">
        <v>0.20100000000000001</v>
      </c>
      <c r="E103" s="35">
        <v>0.10150000000000001</v>
      </c>
      <c r="F103" s="35">
        <v>1.0999999999999999E-2</v>
      </c>
      <c r="G103" s="33">
        <v>7.01</v>
      </c>
      <c r="H103" s="33">
        <f>+I103^$G$2*G103</f>
        <v>7.01</v>
      </c>
      <c r="I103" s="33">
        <v>1.1200000000000001</v>
      </c>
      <c r="J103" s="31">
        <v>2.65</v>
      </c>
      <c r="K103" s="32">
        <v>20.596550585079225</v>
      </c>
    </row>
    <row r="104" spans="2:11" ht="17.649999999999999" x14ac:dyDescent="0.5">
      <c r="B104" s="31">
        <f>+B103+1</f>
        <v>784</v>
      </c>
      <c r="C104" s="32">
        <v>20.783999999999999</v>
      </c>
      <c r="D104" s="34">
        <v>0.20100000000000001</v>
      </c>
      <c r="E104" s="35">
        <v>0.10489999999999999</v>
      </c>
      <c r="F104" s="35">
        <v>1.1900000000000001E-2</v>
      </c>
      <c r="G104" s="33">
        <v>7.01</v>
      </c>
      <c r="H104" s="33">
        <f>+I104^$G$2*G104</f>
        <v>7.01</v>
      </c>
      <c r="I104" s="33">
        <v>1.1200000000000001</v>
      </c>
      <c r="J104" s="31">
        <v>2.65</v>
      </c>
      <c r="K104" s="32">
        <v>21.637863377913028</v>
      </c>
    </row>
    <row r="105" spans="2:11" ht="17.649999999999999" x14ac:dyDescent="0.5">
      <c r="B105" s="31">
        <f>+B104+1</f>
        <v>785</v>
      </c>
      <c r="C105" s="32">
        <v>20.783999999999999</v>
      </c>
      <c r="D105" s="34">
        <v>0.20100000000000001</v>
      </c>
      <c r="E105" s="35">
        <v>9.7500000000000003E-2</v>
      </c>
      <c r="F105" s="35">
        <v>1.4999999999999999E-2</v>
      </c>
      <c r="G105" s="33">
        <v>7.01</v>
      </c>
      <c r="H105" s="33">
        <f>+I105^$G$2*G105</f>
        <v>7.01</v>
      </c>
      <c r="I105" s="33">
        <v>1.1200000000000001</v>
      </c>
      <c r="J105" s="31">
        <v>2.65</v>
      </c>
      <c r="K105" s="32">
        <v>52.090225563909769</v>
      </c>
    </row>
    <row r="106" spans="2:11" ht="17.649999999999999" x14ac:dyDescent="0.5">
      <c r="B106" s="31">
        <f>+B105+1</f>
        <v>786</v>
      </c>
      <c r="C106" s="32">
        <v>20.783999999999999</v>
      </c>
      <c r="D106" s="34">
        <v>0.20100000000000001</v>
      </c>
      <c r="E106" s="35">
        <v>9.4500000000000001E-2</v>
      </c>
      <c r="F106" s="35">
        <v>1.5099999999999999E-2</v>
      </c>
      <c r="G106" s="33">
        <v>7.01</v>
      </c>
      <c r="H106" s="33">
        <f>+I106^$G$2*G106</f>
        <v>7.01</v>
      </c>
      <c r="I106" s="33">
        <v>1.1200000000000001</v>
      </c>
      <c r="J106" s="31">
        <v>2.65</v>
      </c>
      <c r="K106" s="32">
        <v>52.090225563909769</v>
      </c>
    </row>
    <row r="107" spans="2:11" ht="17.649999999999999" x14ac:dyDescent="0.5">
      <c r="B107" s="31">
        <f>+B106+1</f>
        <v>787</v>
      </c>
      <c r="C107" s="32">
        <v>20.783999999999999</v>
      </c>
      <c r="D107" s="34">
        <v>0.20100000000000001</v>
      </c>
      <c r="E107" s="35">
        <v>8.8099999999999998E-2</v>
      </c>
      <c r="F107" s="35">
        <v>2.0199999999999999E-2</v>
      </c>
      <c r="G107" s="33">
        <v>7.01</v>
      </c>
      <c r="H107" s="33">
        <f>+I107^$G$2*G107</f>
        <v>7.01</v>
      </c>
      <c r="I107" s="33">
        <v>1.1200000000000001</v>
      </c>
      <c r="J107" s="31">
        <v>2.65</v>
      </c>
      <c r="K107" s="32">
        <v>105.49193426805365</v>
      </c>
    </row>
    <row r="108" spans="2:11" ht="17.649999999999999" x14ac:dyDescent="0.5">
      <c r="B108" s="31">
        <f>+B107+1</f>
        <v>788</v>
      </c>
      <c r="C108" s="32">
        <v>20.783999999999999</v>
      </c>
      <c r="D108" s="34">
        <v>0.20100000000000001</v>
      </c>
      <c r="E108" s="35">
        <v>7.6200000000000004E-2</v>
      </c>
      <c r="F108" s="35">
        <v>2.69E-2</v>
      </c>
      <c r="G108" s="33">
        <v>7.01</v>
      </c>
      <c r="H108" s="33">
        <f>+I108^$G$2*G108</f>
        <v>7.01</v>
      </c>
      <c r="I108" s="33">
        <v>1.1200000000000001</v>
      </c>
      <c r="J108" s="31">
        <v>2.65</v>
      </c>
      <c r="K108" s="32">
        <v>212.06020810182844</v>
      </c>
    </row>
    <row r="109" spans="2:11" ht="17.649999999999999" x14ac:dyDescent="0.5">
      <c r="B109" s="31">
        <f>+B108+1</f>
        <v>789</v>
      </c>
      <c r="C109" s="32">
        <v>20.783999999999999</v>
      </c>
      <c r="D109" s="34">
        <v>0.20100000000000001</v>
      </c>
      <c r="E109" s="35">
        <v>7.7100000000000002E-2</v>
      </c>
      <c r="F109" s="35">
        <v>2.92E-2</v>
      </c>
      <c r="G109" s="33">
        <v>7.01</v>
      </c>
      <c r="H109" s="33">
        <f>+I109^$G$2*G109</f>
        <v>7.01</v>
      </c>
      <c r="I109" s="33">
        <v>1.1200000000000001</v>
      </c>
      <c r="J109" s="31">
        <v>2.65</v>
      </c>
      <c r="K109" s="32">
        <v>218.42522231204526</v>
      </c>
    </row>
    <row r="110" spans="2:11" ht="17.649999999999999" x14ac:dyDescent="0.5">
      <c r="B110" s="31">
        <f>+B109+1</f>
        <v>790</v>
      </c>
      <c r="C110" s="32">
        <v>31.686</v>
      </c>
      <c r="D110" s="34">
        <v>0.20100000000000001</v>
      </c>
      <c r="E110" s="35">
        <v>0.153</v>
      </c>
      <c r="F110" s="35">
        <v>7.4000000000000003E-3</v>
      </c>
      <c r="G110" s="33">
        <v>7.01</v>
      </c>
      <c r="H110" s="33">
        <f>+I110^$G$2*G110</f>
        <v>7.01</v>
      </c>
      <c r="I110" s="33">
        <v>1.1200000000000001</v>
      </c>
      <c r="J110" s="31">
        <v>2.65</v>
      </c>
      <c r="K110" s="32">
        <v>11.093982894012903</v>
      </c>
    </row>
    <row r="111" spans="2:11" ht="17.649999999999999" x14ac:dyDescent="0.5">
      <c r="B111" s="31">
        <f>+B110+1</f>
        <v>791</v>
      </c>
      <c r="C111" s="32">
        <v>31.686</v>
      </c>
      <c r="D111" s="34">
        <v>0.20100000000000001</v>
      </c>
      <c r="E111" s="35">
        <v>0.15540000000000001</v>
      </c>
      <c r="F111" s="35">
        <v>8.0999999999999996E-3</v>
      </c>
      <c r="G111" s="33">
        <v>7.01</v>
      </c>
      <c r="H111" s="33">
        <f>+I111^$G$2*G111</f>
        <v>7.01</v>
      </c>
      <c r="I111" s="33">
        <v>1.1200000000000001</v>
      </c>
      <c r="J111" s="31">
        <v>2.65</v>
      </c>
      <c r="K111" s="32">
        <v>9.98423503403572</v>
      </c>
    </row>
    <row r="112" spans="2:11" ht="17.649999999999999" x14ac:dyDescent="0.5">
      <c r="B112" s="31">
        <f>+B111+1</f>
        <v>792</v>
      </c>
      <c r="C112" s="32">
        <v>31.686</v>
      </c>
      <c r="D112" s="34">
        <v>0.20100000000000001</v>
      </c>
      <c r="E112" s="35">
        <v>0.15329999999999999</v>
      </c>
      <c r="F112" s="35">
        <v>8.8999999999999999E-3</v>
      </c>
      <c r="G112" s="33">
        <v>7.01</v>
      </c>
      <c r="H112" s="33">
        <f>+I112^$G$2*G112</f>
        <v>7.01</v>
      </c>
      <c r="I112" s="33">
        <v>1.1200000000000001</v>
      </c>
      <c r="J112" s="31">
        <v>2.65</v>
      </c>
      <c r="K112" s="32">
        <v>11.093982894012903</v>
      </c>
    </row>
    <row r="113" spans="2:11" ht="17.649999999999999" x14ac:dyDescent="0.5">
      <c r="B113" s="31">
        <f>+B112+1</f>
        <v>793</v>
      </c>
      <c r="C113" s="32">
        <v>31.686</v>
      </c>
      <c r="D113" s="34">
        <v>0.20100000000000001</v>
      </c>
      <c r="E113" s="35">
        <v>0.14330000000000001</v>
      </c>
      <c r="F113" s="35">
        <v>1.03E-2</v>
      </c>
      <c r="G113" s="33">
        <v>7.01</v>
      </c>
      <c r="H113" s="33">
        <f>+I113^$G$2*G113</f>
        <v>7.01</v>
      </c>
      <c r="I113" s="33">
        <v>1.1200000000000001</v>
      </c>
      <c r="J113" s="31">
        <v>2.65</v>
      </c>
      <c r="K113" s="32">
        <v>26.003843151384135</v>
      </c>
    </row>
    <row r="114" spans="2:11" ht="17.649999999999999" x14ac:dyDescent="0.5">
      <c r="B114" s="31">
        <f>+B113+1</f>
        <v>794</v>
      </c>
      <c r="C114" s="32">
        <v>31.686</v>
      </c>
      <c r="D114" s="34">
        <v>0.20100000000000001</v>
      </c>
      <c r="E114" s="35">
        <v>0.13469999999999999</v>
      </c>
      <c r="F114" s="35">
        <v>1.26E-2</v>
      </c>
      <c r="G114" s="33">
        <v>7.01</v>
      </c>
      <c r="H114" s="33">
        <f>+I114^$G$2*G114</f>
        <v>7.01</v>
      </c>
      <c r="I114" s="33">
        <v>1.1200000000000001</v>
      </c>
      <c r="J114" s="31">
        <v>2.65</v>
      </c>
      <c r="K114" s="32">
        <v>52.050402660362998</v>
      </c>
    </row>
    <row r="115" spans="2:11" ht="17.649999999999999" x14ac:dyDescent="0.5">
      <c r="B115" s="31">
        <f>+B114+1</f>
        <v>795</v>
      </c>
      <c r="C115" s="32">
        <v>31.686</v>
      </c>
      <c r="D115" s="34">
        <v>0.20100000000000001</v>
      </c>
      <c r="E115" s="35">
        <v>0.13320000000000001</v>
      </c>
      <c r="F115" s="35">
        <v>1.2800000000000001E-2</v>
      </c>
      <c r="G115" s="33">
        <v>7.01</v>
      </c>
      <c r="H115" s="33">
        <f>+I115^$G$2*G115</f>
        <v>7.01</v>
      </c>
      <c r="I115" s="33">
        <v>1.1200000000000001</v>
      </c>
      <c r="J115" s="31">
        <v>2.65</v>
      </c>
      <c r="K115" s="32">
        <v>53.004136908637413</v>
      </c>
    </row>
    <row r="116" spans="2:11" ht="17.649999999999999" x14ac:dyDescent="0.5">
      <c r="B116" s="31">
        <f>+B115+1</f>
        <v>796</v>
      </c>
      <c r="C116" s="32">
        <v>31.686</v>
      </c>
      <c r="D116" s="34">
        <v>0.20100000000000001</v>
      </c>
      <c r="E116" s="35">
        <v>0.13619999999999999</v>
      </c>
      <c r="F116" s="35">
        <v>1.3300000000000001E-2</v>
      </c>
      <c r="G116" s="33">
        <v>7.01</v>
      </c>
      <c r="H116" s="33">
        <f>+I116^$G$2*G116</f>
        <v>7.01</v>
      </c>
      <c r="I116" s="33">
        <v>1.1200000000000001</v>
      </c>
      <c r="J116" s="31">
        <v>2.65</v>
      </c>
      <c r="K116" s="32">
        <v>53.004136908637413</v>
      </c>
    </row>
    <row r="117" spans="2:11" ht="17.649999999999999" x14ac:dyDescent="0.5">
      <c r="B117" s="31">
        <f>+B116+1</f>
        <v>797</v>
      </c>
      <c r="C117" s="32">
        <v>31.686</v>
      </c>
      <c r="D117" s="34">
        <v>0.20100000000000001</v>
      </c>
      <c r="E117" s="35">
        <v>0.1192</v>
      </c>
      <c r="F117" s="35">
        <v>1.6500000000000001E-2</v>
      </c>
      <c r="G117" s="33">
        <v>7.01</v>
      </c>
      <c r="H117" s="33">
        <f>+I117^$G$2*G117</f>
        <v>7.01</v>
      </c>
      <c r="I117" s="33">
        <v>1.1200000000000001</v>
      </c>
      <c r="J117" s="31">
        <v>2.65</v>
      </c>
      <c r="K117" s="32">
        <v>101.72070626003209</v>
      </c>
    </row>
    <row r="118" spans="2:11" ht="17.649999999999999" x14ac:dyDescent="0.5">
      <c r="B118" s="31">
        <f>+B117+1</f>
        <v>798</v>
      </c>
      <c r="C118" s="32">
        <v>31.686</v>
      </c>
      <c r="D118" s="34">
        <v>0.20100000000000001</v>
      </c>
      <c r="E118" s="35">
        <v>0.12130000000000001</v>
      </c>
      <c r="F118" s="35">
        <v>1.6300000000000002E-2</v>
      </c>
      <c r="G118" s="33">
        <v>7.01</v>
      </c>
      <c r="H118" s="33">
        <f>+I118^$G$2*G118</f>
        <v>7.01</v>
      </c>
      <c r="I118" s="33">
        <v>1.1200000000000001</v>
      </c>
      <c r="J118" s="31">
        <v>2.65</v>
      </c>
      <c r="K118" s="32">
        <v>105.86691683305408</v>
      </c>
    </row>
    <row r="119" spans="2:11" ht="17.649999999999999" x14ac:dyDescent="0.5">
      <c r="B119" s="31">
        <f>+B118+1</f>
        <v>799</v>
      </c>
      <c r="C119" s="32">
        <v>31.686</v>
      </c>
      <c r="D119" s="34">
        <v>0.20100000000000001</v>
      </c>
      <c r="E119" s="35">
        <v>0.1195</v>
      </c>
      <c r="F119" s="35">
        <v>1.6199999999999999E-2</v>
      </c>
      <c r="G119" s="33">
        <v>7.01</v>
      </c>
      <c r="H119" s="33">
        <f>+I119^$G$2*G119</f>
        <v>7.01</v>
      </c>
      <c r="I119" s="33">
        <v>1.1200000000000001</v>
      </c>
      <c r="J119" s="31">
        <v>2.65</v>
      </c>
      <c r="K119" s="32">
        <v>109.37609376254315</v>
      </c>
    </row>
    <row r="120" spans="2:11" ht="17.649999999999999" x14ac:dyDescent="0.5">
      <c r="B120" s="31">
        <f>+B119+1</f>
        <v>800</v>
      </c>
      <c r="C120" s="32">
        <v>31.686</v>
      </c>
      <c r="D120" s="34">
        <v>0.20100000000000001</v>
      </c>
      <c r="E120" s="35">
        <v>0.1036</v>
      </c>
      <c r="F120" s="35">
        <v>2.3100000000000002E-2</v>
      </c>
      <c r="G120" s="33">
        <v>7.01</v>
      </c>
      <c r="H120" s="33">
        <f>+I120^$G$2*G120</f>
        <v>7.01</v>
      </c>
      <c r="I120" s="33">
        <v>1.1200000000000001</v>
      </c>
      <c r="J120" s="31">
        <v>2.65</v>
      </c>
      <c r="K120" s="32">
        <v>210.51701228105497</v>
      </c>
    </row>
    <row r="121" spans="2:11" ht="17.649999999999999" x14ac:dyDescent="0.5">
      <c r="B121" s="31">
        <f>+B120+1</f>
        <v>801</v>
      </c>
      <c r="C121" s="32">
        <v>31.686</v>
      </c>
      <c r="D121" s="34">
        <v>0.20100000000000001</v>
      </c>
      <c r="E121" s="35">
        <v>0.1018</v>
      </c>
      <c r="F121" s="35">
        <v>2.3800000000000002E-2</v>
      </c>
      <c r="G121" s="33">
        <v>7.01</v>
      </c>
      <c r="H121" s="33">
        <f>+I121^$G$2*G121</f>
        <v>7.01</v>
      </c>
      <c r="I121" s="33">
        <v>1.1200000000000001</v>
      </c>
      <c r="J121" s="31">
        <v>2.65</v>
      </c>
      <c r="K121" s="32">
        <v>210.51701228105497</v>
      </c>
    </row>
    <row r="122" spans="2:11" ht="17.649999999999999" x14ac:dyDescent="0.5">
      <c r="B122" s="1"/>
      <c r="C122" s="2"/>
      <c r="D122" s="3"/>
      <c r="E122" s="4"/>
      <c r="F122" s="4"/>
      <c r="G122" s="7"/>
      <c r="H122" s="7"/>
      <c r="I122" s="7"/>
      <c r="J122" s="1"/>
      <c r="K122" s="2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MPM</vt:lpstr>
      <vt:lpstr>Gilbert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Viparelli, Enrica</dc:creator>
  <cp:lastModifiedBy>Viparelli, Enrica</cp:lastModifiedBy>
  <dcterms:created xsi:type="dcterms:W3CDTF">2026-07-28T00:41:20Z</dcterms:created>
  <dcterms:modified xsi:type="dcterms:W3CDTF">2026-07-28T00:45:42Z</dcterms:modified>
</cp:coreProperties>
</file>