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sc-my.sharepoint.com/personal/viparell_cec_sc_edu/Documents/corsi/Hokkaido/2026/"/>
    </mc:Choice>
  </mc:AlternateContent>
  <xr:revisionPtr revIDLastSave="265" documentId="8_{86FD6413-ADA2-4B14-A799-77E69E409C29}" xr6:coauthVersionLast="47" xr6:coauthVersionMax="47" xr10:uidLastSave="{C840F149-51A9-4884-BFD7-ADF35A8D1C30}"/>
  <bookViews>
    <workbookView xWindow="345" yWindow="817" windowWidth="17790" windowHeight="9083" xr2:uid="{AA1939BC-8354-4D11-977F-1BE5174A33E7}"/>
  </bookViews>
  <sheets>
    <sheet name="MPM" sheetId="1" r:id="rId1"/>
    <sheet name="Sheet1" sheetId="3" r:id="rId2"/>
    <sheet name="Gilber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H6" i="1" l="1"/>
  <c r="AG6" i="1"/>
  <c r="AF6" i="1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BF5" i="3"/>
  <c r="G5" i="3"/>
  <c r="F5" i="3"/>
  <c r="E5" i="3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B5" i="3"/>
  <c r="C5" i="3" s="1"/>
  <c r="D5" i="3" s="1"/>
  <c r="A6" i="3"/>
  <c r="B6" i="3"/>
  <c r="C6" i="3" s="1"/>
  <c r="D6" i="3" s="1"/>
  <c r="A7" i="3"/>
  <c r="B7" i="3"/>
  <c r="C7" i="3" s="1"/>
  <c r="D7" i="3" s="1"/>
  <c r="A8" i="3"/>
  <c r="B8" i="3"/>
  <c r="C8" i="3" s="1"/>
  <c r="D8" i="3" s="1"/>
  <c r="A9" i="3"/>
  <c r="B9" i="3"/>
  <c r="C9" i="3" s="1"/>
  <c r="D9" i="3" s="1"/>
  <c r="A10" i="3"/>
  <c r="B10" i="3"/>
  <c r="C10" i="3" s="1"/>
  <c r="D10" i="3" s="1"/>
  <c r="A11" i="3"/>
  <c r="B11" i="3"/>
  <c r="C11" i="3" s="1"/>
  <c r="D11" i="3" s="1"/>
  <c r="A12" i="3"/>
  <c r="B12" i="3"/>
  <c r="C12" i="3" s="1"/>
  <c r="D12" i="3" s="1"/>
  <c r="A13" i="3"/>
  <c r="B13" i="3"/>
  <c r="C13" i="3" s="1"/>
  <c r="D13" i="3" s="1"/>
  <c r="A14" i="3"/>
  <c r="B14" i="3"/>
  <c r="C14" i="3" s="1"/>
  <c r="D14" i="3" s="1"/>
  <c r="A15" i="3"/>
  <c r="B15" i="3"/>
  <c r="C15" i="3" s="1"/>
  <c r="D15" i="3" s="1"/>
  <c r="A16" i="3"/>
  <c r="B16" i="3"/>
  <c r="C16" i="3" s="1"/>
  <c r="D16" i="3" s="1"/>
  <c r="A17" i="3"/>
  <c r="B17" i="3"/>
  <c r="C17" i="3" s="1"/>
  <c r="D17" i="3" s="1"/>
  <c r="A18" i="3"/>
  <c r="B18" i="3"/>
  <c r="C18" i="3" s="1"/>
  <c r="D18" i="3" s="1"/>
  <c r="A19" i="3"/>
  <c r="B19" i="3"/>
  <c r="C19" i="3" s="1"/>
  <c r="D19" i="3" s="1"/>
  <c r="A20" i="3"/>
  <c r="B20" i="3"/>
  <c r="C20" i="3" s="1"/>
  <c r="D20" i="3" s="1"/>
  <c r="A21" i="3"/>
  <c r="B21" i="3"/>
  <c r="C21" i="3" s="1"/>
  <c r="D21" i="3" s="1"/>
  <c r="A22" i="3"/>
  <c r="B22" i="3"/>
  <c r="C22" i="3" s="1"/>
  <c r="D22" i="3" s="1"/>
  <c r="A23" i="3"/>
  <c r="B23" i="3"/>
  <c r="C23" i="3" s="1"/>
  <c r="D23" i="3" s="1"/>
  <c r="A24" i="3"/>
  <c r="B24" i="3"/>
  <c r="C24" i="3" s="1"/>
  <c r="D24" i="3" s="1"/>
  <c r="A25" i="3"/>
  <c r="B25" i="3"/>
  <c r="C25" i="3" s="1"/>
  <c r="D25" i="3" s="1"/>
  <c r="A26" i="3"/>
  <c r="B26" i="3"/>
  <c r="C26" i="3" s="1"/>
  <c r="D26" i="3" s="1"/>
  <c r="A27" i="3"/>
  <c r="B27" i="3"/>
  <c r="C27" i="3" s="1"/>
  <c r="D27" i="3" s="1"/>
  <c r="A28" i="3"/>
  <c r="B28" i="3"/>
  <c r="C28" i="3" s="1"/>
  <c r="D28" i="3" s="1"/>
  <c r="A29" i="3"/>
  <c r="B29" i="3"/>
  <c r="C29" i="3" s="1"/>
  <c r="D29" i="3" s="1"/>
  <c r="A30" i="3"/>
  <c r="B30" i="3"/>
  <c r="C30" i="3" s="1"/>
  <c r="D30" i="3" s="1"/>
  <c r="A31" i="3"/>
  <c r="B31" i="3"/>
  <c r="C31" i="3" s="1"/>
  <c r="D31" i="3" s="1"/>
  <c r="A32" i="3"/>
  <c r="B32" i="3"/>
  <c r="C32" i="3" s="1"/>
  <c r="D32" i="3" s="1"/>
  <c r="A33" i="3"/>
  <c r="B33" i="3"/>
  <c r="C33" i="3" s="1"/>
  <c r="D33" i="3" s="1"/>
  <c r="A34" i="3"/>
  <c r="B34" i="3"/>
  <c r="C34" i="3" s="1"/>
  <c r="D34" i="3" s="1"/>
  <c r="A35" i="3"/>
  <c r="B35" i="3"/>
  <c r="C35" i="3" s="1"/>
  <c r="D35" i="3" s="1"/>
  <c r="A36" i="3"/>
  <c r="B36" i="3"/>
  <c r="C36" i="3" s="1"/>
  <c r="D36" i="3" s="1"/>
  <c r="A37" i="3"/>
  <c r="B37" i="3"/>
  <c r="C37" i="3" s="1"/>
  <c r="D37" i="3" s="1"/>
  <c r="A38" i="3"/>
  <c r="B38" i="3"/>
  <c r="C38" i="3" s="1"/>
  <c r="D38" i="3" s="1"/>
  <c r="A39" i="3"/>
  <c r="B39" i="3"/>
  <c r="C39" i="3" s="1"/>
  <c r="D39" i="3" s="1"/>
  <c r="A40" i="3"/>
  <c r="B40" i="3"/>
  <c r="C40" i="3" s="1"/>
  <c r="D40" i="3" s="1"/>
  <c r="A41" i="3"/>
  <c r="B41" i="3"/>
  <c r="C41" i="3" s="1"/>
  <c r="D41" i="3" s="1"/>
  <c r="A42" i="3"/>
  <c r="B42" i="3"/>
  <c r="C42" i="3" s="1"/>
  <c r="D42" i="3" s="1"/>
  <c r="A43" i="3"/>
  <c r="B43" i="3"/>
  <c r="C43" i="3" s="1"/>
  <c r="D43" i="3" s="1"/>
  <c r="A44" i="3"/>
  <c r="B44" i="3"/>
  <c r="C44" i="3" s="1"/>
  <c r="D44" i="3" s="1"/>
  <c r="A45" i="3"/>
  <c r="B45" i="3"/>
  <c r="C45" i="3" s="1"/>
  <c r="D45" i="3" s="1"/>
  <c r="A46" i="3"/>
  <c r="B46" i="3"/>
  <c r="C46" i="3" s="1"/>
  <c r="D46" i="3" s="1"/>
  <c r="A47" i="3"/>
  <c r="B47" i="3"/>
  <c r="C47" i="3" s="1"/>
  <c r="D47" i="3" s="1"/>
  <c r="A48" i="3"/>
  <c r="B48" i="3"/>
  <c r="C48" i="3" s="1"/>
  <c r="D48" i="3" s="1"/>
  <c r="A49" i="3"/>
  <c r="B49" i="3"/>
  <c r="C49" i="3" s="1"/>
  <c r="D49" i="3" s="1"/>
  <c r="A50" i="3"/>
  <c r="B50" i="3"/>
  <c r="C50" i="3" s="1"/>
  <c r="D50" i="3" s="1"/>
  <c r="A51" i="3"/>
  <c r="B51" i="3"/>
  <c r="C51" i="3" s="1"/>
  <c r="D51" i="3" s="1"/>
  <c r="A52" i="3"/>
  <c r="B52" i="3"/>
  <c r="C52" i="3" s="1"/>
  <c r="D52" i="3" s="1"/>
  <c r="A53" i="3"/>
  <c r="B53" i="3"/>
  <c r="C53" i="3" s="1"/>
  <c r="D53" i="3" s="1"/>
  <c r="A54" i="3"/>
  <c r="B54" i="3"/>
  <c r="C54" i="3" s="1"/>
  <c r="D54" i="3" s="1"/>
  <c r="A55" i="3"/>
  <c r="B55" i="3"/>
  <c r="C55" i="3" s="1"/>
  <c r="D55" i="3" s="1"/>
  <c r="A56" i="3"/>
  <c r="B56" i="3"/>
  <c r="C56" i="3" s="1"/>
  <c r="D56" i="3" s="1"/>
  <c r="A57" i="3"/>
  <c r="B57" i="3"/>
  <c r="C57" i="3" s="1"/>
  <c r="D57" i="3" s="1"/>
  <c r="A58" i="3"/>
  <c r="B58" i="3"/>
  <c r="C58" i="3" s="1"/>
  <c r="D58" i="3" s="1"/>
  <c r="A59" i="3"/>
  <c r="B59" i="3"/>
  <c r="C59" i="3" s="1"/>
  <c r="D59" i="3" s="1"/>
  <c r="A60" i="3"/>
  <c r="B60" i="3"/>
  <c r="C60" i="3" s="1"/>
  <c r="D60" i="3" s="1"/>
  <c r="A61" i="3"/>
  <c r="B61" i="3"/>
  <c r="C61" i="3" s="1"/>
  <c r="D61" i="3" s="1"/>
  <c r="A62" i="3"/>
  <c r="B62" i="3"/>
  <c r="C62" i="3" s="1"/>
  <c r="D62" i="3" s="1"/>
  <c r="A63" i="3"/>
  <c r="B63" i="3"/>
  <c r="C63" i="3" s="1"/>
  <c r="D63" i="3" s="1"/>
  <c r="A64" i="3"/>
  <c r="B64" i="3"/>
  <c r="C64" i="3" s="1"/>
  <c r="D64" i="3" s="1"/>
  <c r="A65" i="3"/>
  <c r="B65" i="3"/>
  <c r="C65" i="3" s="1"/>
  <c r="D65" i="3" s="1"/>
  <c r="A66" i="3"/>
  <c r="B66" i="3"/>
  <c r="C66" i="3" s="1"/>
  <c r="D66" i="3" s="1"/>
  <c r="A67" i="3"/>
  <c r="B67" i="3"/>
  <c r="C67" i="3" s="1"/>
  <c r="D67" i="3" s="1"/>
  <c r="A68" i="3"/>
  <c r="B68" i="3"/>
  <c r="C68" i="3" s="1"/>
  <c r="D68" i="3" s="1"/>
  <c r="A69" i="3"/>
  <c r="B69" i="3"/>
  <c r="C69" i="3" s="1"/>
  <c r="D69" i="3" s="1"/>
  <c r="A70" i="3"/>
  <c r="B70" i="3"/>
  <c r="C70" i="3" s="1"/>
  <c r="D70" i="3" s="1"/>
  <c r="A71" i="3"/>
  <c r="B71" i="3"/>
  <c r="C71" i="3" s="1"/>
  <c r="D71" i="3" s="1"/>
  <c r="A72" i="3"/>
  <c r="B72" i="3"/>
  <c r="C72" i="3" s="1"/>
  <c r="D72" i="3" s="1"/>
  <c r="A73" i="3"/>
  <c r="B73" i="3"/>
  <c r="C73" i="3" s="1"/>
  <c r="D73" i="3" s="1"/>
  <c r="A74" i="3"/>
  <c r="B74" i="3"/>
  <c r="C74" i="3" s="1"/>
  <c r="D74" i="3" s="1"/>
  <c r="A75" i="3"/>
  <c r="B75" i="3"/>
  <c r="C75" i="3" s="1"/>
  <c r="D75" i="3" s="1"/>
  <c r="A76" i="3"/>
  <c r="B76" i="3"/>
  <c r="C76" i="3" s="1"/>
  <c r="D76" i="3" s="1"/>
  <c r="A77" i="3"/>
  <c r="B77" i="3"/>
  <c r="C77" i="3" s="1"/>
  <c r="D77" i="3" s="1"/>
  <c r="A78" i="3"/>
  <c r="B78" i="3"/>
  <c r="C78" i="3" s="1"/>
  <c r="D78" i="3" s="1"/>
  <c r="A79" i="3"/>
  <c r="B79" i="3"/>
  <c r="C79" i="3" s="1"/>
  <c r="D79" i="3" s="1"/>
  <c r="A80" i="3"/>
  <c r="B80" i="3"/>
  <c r="C80" i="3" s="1"/>
  <c r="D80" i="3" s="1"/>
  <c r="A81" i="3"/>
  <c r="B81" i="3"/>
  <c r="C81" i="3" s="1"/>
  <c r="D81" i="3" s="1"/>
  <c r="A82" i="3"/>
  <c r="B82" i="3"/>
  <c r="C82" i="3" s="1"/>
  <c r="D82" i="3" s="1"/>
  <c r="A83" i="3"/>
  <c r="B83" i="3"/>
  <c r="C83" i="3" s="1"/>
  <c r="D83" i="3" s="1"/>
  <c r="A84" i="3"/>
  <c r="B84" i="3"/>
  <c r="C84" i="3" s="1"/>
  <c r="D84" i="3" s="1"/>
  <c r="A85" i="3"/>
  <c r="B85" i="3"/>
  <c r="C85" i="3" s="1"/>
  <c r="D85" i="3" s="1"/>
  <c r="A86" i="3"/>
  <c r="B86" i="3"/>
  <c r="C86" i="3" s="1"/>
  <c r="D86" i="3" s="1"/>
  <c r="A87" i="3"/>
  <c r="B87" i="3"/>
  <c r="C87" i="3" s="1"/>
  <c r="D87" i="3" s="1"/>
  <c r="A88" i="3"/>
  <c r="B88" i="3"/>
  <c r="C88" i="3" s="1"/>
  <c r="D88" i="3" s="1"/>
  <c r="A89" i="3"/>
  <c r="B89" i="3"/>
  <c r="C89" i="3" s="1"/>
  <c r="D89" i="3" s="1"/>
  <c r="A90" i="3"/>
  <c r="B90" i="3"/>
  <c r="C90" i="3" s="1"/>
  <c r="D90" i="3" s="1"/>
  <c r="A91" i="3"/>
  <c r="B91" i="3"/>
  <c r="C91" i="3" s="1"/>
  <c r="D91" i="3" s="1"/>
  <c r="A92" i="3"/>
  <c r="B92" i="3"/>
  <c r="C92" i="3" s="1"/>
  <c r="D92" i="3" s="1"/>
  <c r="A93" i="3"/>
  <c r="B93" i="3"/>
  <c r="C93" i="3" s="1"/>
  <c r="D93" i="3" s="1"/>
  <c r="A94" i="3"/>
  <c r="B94" i="3"/>
  <c r="C94" i="3" s="1"/>
  <c r="D94" i="3" s="1"/>
  <c r="A95" i="3"/>
  <c r="B95" i="3"/>
  <c r="C95" i="3" s="1"/>
  <c r="D95" i="3" s="1"/>
  <c r="A96" i="3"/>
  <c r="B96" i="3"/>
  <c r="C96" i="3" s="1"/>
  <c r="D96" i="3" s="1"/>
  <c r="A97" i="3"/>
  <c r="B97" i="3"/>
  <c r="C97" i="3" s="1"/>
  <c r="D97" i="3" s="1"/>
  <c r="A98" i="3"/>
  <c r="B98" i="3"/>
  <c r="C98" i="3" s="1"/>
  <c r="D98" i="3" s="1"/>
  <c r="A99" i="3"/>
  <c r="B99" i="3"/>
  <c r="C99" i="3" s="1"/>
  <c r="D99" i="3" s="1"/>
  <c r="A100" i="3"/>
  <c r="B100" i="3"/>
  <c r="C100" i="3" s="1"/>
  <c r="D100" i="3" s="1"/>
  <c r="A101" i="3"/>
  <c r="B101" i="3"/>
  <c r="C101" i="3" s="1"/>
  <c r="D101" i="3" s="1"/>
  <c r="A102" i="3"/>
  <c r="B102" i="3"/>
  <c r="C102" i="3" s="1"/>
  <c r="D102" i="3" s="1"/>
  <c r="A103" i="3"/>
  <c r="B103" i="3"/>
  <c r="C103" i="3" s="1"/>
  <c r="D103" i="3" s="1"/>
  <c r="A104" i="3"/>
  <c r="B104" i="3"/>
  <c r="C104" i="3" s="1"/>
  <c r="D104" i="3" s="1"/>
  <c r="A105" i="3"/>
  <c r="B105" i="3"/>
  <c r="C105" i="3" s="1"/>
  <c r="D105" i="3" s="1"/>
  <c r="A106" i="3"/>
  <c r="B106" i="3"/>
  <c r="C106" i="3" s="1"/>
  <c r="D106" i="3" s="1"/>
  <c r="A107" i="3"/>
  <c r="B107" i="3"/>
  <c r="C107" i="3" s="1"/>
  <c r="D107" i="3" s="1"/>
  <c r="A108" i="3"/>
  <c r="B108" i="3"/>
  <c r="C108" i="3" s="1"/>
  <c r="D108" i="3" s="1"/>
  <c r="A109" i="3"/>
  <c r="B109" i="3"/>
  <c r="C109" i="3" s="1"/>
  <c r="D109" i="3" s="1"/>
  <c r="A110" i="3"/>
  <c r="B110" i="3"/>
  <c r="C110" i="3" s="1"/>
  <c r="D110" i="3" s="1"/>
  <c r="A111" i="3"/>
  <c r="B111" i="3"/>
  <c r="C111" i="3" s="1"/>
  <c r="D111" i="3" s="1"/>
  <c r="A112" i="3"/>
  <c r="B112" i="3"/>
  <c r="C112" i="3" s="1"/>
  <c r="D112" i="3" s="1"/>
  <c r="A113" i="3"/>
  <c r="B113" i="3"/>
  <c r="C113" i="3" s="1"/>
  <c r="D113" i="3" s="1"/>
  <c r="A114" i="3"/>
  <c r="B114" i="3"/>
  <c r="C114" i="3" s="1"/>
  <c r="D114" i="3" s="1"/>
  <c r="A115" i="3"/>
  <c r="B115" i="3"/>
  <c r="C115" i="3" s="1"/>
  <c r="D115" i="3" s="1"/>
  <c r="A116" i="3"/>
  <c r="B116" i="3"/>
  <c r="C116" i="3" s="1"/>
  <c r="D116" i="3" s="1"/>
  <c r="A117" i="3"/>
  <c r="B117" i="3"/>
  <c r="C117" i="3" s="1"/>
  <c r="D117" i="3" s="1"/>
  <c r="A118" i="3"/>
  <c r="B118" i="3"/>
  <c r="C118" i="3" s="1"/>
  <c r="D118" i="3" s="1"/>
  <c r="A119" i="3"/>
  <c r="B119" i="3"/>
  <c r="C119" i="3" s="1"/>
  <c r="D119" i="3" s="1"/>
  <c r="A120" i="3"/>
  <c r="B120" i="3"/>
  <c r="C120" i="3" s="1"/>
  <c r="D120" i="3" s="1"/>
  <c r="A121" i="3"/>
  <c r="B121" i="3"/>
  <c r="C121" i="3" s="1"/>
  <c r="D121" i="3" s="1"/>
  <c r="A122" i="3"/>
  <c r="B122" i="3"/>
  <c r="C122" i="3" s="1"/>
  <c r="D122" i="3" s="1"/>
  <c r="A123" i="3"/>
  <c r="B123" i="3"/>
  <c r="C123" i="3" s="1"/>
  <c r="D123" i="3" s="1"/>
  <c r="A124" i="3"/>
  <c r="B124" i="3"/>
  <c r="C124" i="3" s="1"/>
  <c r="D124" i="3" s="1"/>
  <c r="A125" i="3"/>
  <c r="B125" i="3"/>
  <c r="C125" i="3" s="1"/>
  <c r="D125" i="3" s="1"/>
  <c r="A126" i="3"/>
  <c r="B126" i="3"/>
  <c r="C126" i="3" s="1"/>
  <c r="D126" i="3" s="1"/>
  <c r="A127" i="3"/>
  <c r="B127" i="3"/>
  <c r="C127" i="3" s="1"/>
  <c r="D127" i="3" s="1"/>
  <c r="A128" i="3"/>
  <c r="B128" i="3"/>
  <c r="C128" i="3" s="1"/>
  <c r="D128" i="3" s="1"/>
  <c r="A129" i="3"/>
  <c r="B129" i="3"/>
  <c r="C129" i="3" s="1"/>
  <c r="D129" i="3" s="1"/>
  <c r="A130" i="3"/>
  <c r="B130" i="3"/>
  <c r="C130" i="3" s="1"/>
  <c r="D130" i="3" s="1"/>
  <c r="A131" i="3"/>
  <c r="B131" i="3"/>
  <c r="C131" i="3" s="1"/>
  <c r="D131" i="3" s="1"/>
  <c r="A132" i="3"/>
  <c r="B132" i="3"/>
  <c r="C132" i="3" s="1"/>
  <c r="D132" i="3" s="1"/>
  <c r="A133" i="3"/>
  <c r="B133" i="3"/>
  <c r="C133" i="3" s="1"/>
  <c r="D133" i="3" s="1"/>
  <c r="A134" i="3"/>
  <c r="B134" i="3"/>
  <c r="C134" i="3" s="1"/>
  <c r="D134" i="3" s="1"/>
  <c r="A135" i="3"/>
  <c r="B135" i="3"/>
  <c r="C135" i="3" s="1"/>
  <c r="D135" i="3" s="1"/>
  <c r="A136" i="3"/>
  <c r="B136" i="3"/>
  <c r="C136" i="3" s="1"/>
  <c r="D136" i="3" s="1"/>
  <c r="A137" i="3"/>
  <c r="B137" i="3"/>
  <c r="C137" i="3" s="1"/>
  <c r="D137" i="3" s="1"/>
  <c r="A138" i="3"/>
  <c r="B138" i="3"/>
  <c r="C138" i="3" s="1"/>
  <c r="D138" i="3" s="1"/>
  <c r="A139" i="3"/>
  <c r="B139" i="3"/>
  <c r="C139" i="3" s="1"/>
  <c r="D139" i="3" s="1"/>
  <c r="A140" i="3"/>
  <c r="B140" i="3"/>
  <c r="C140" i="3" s="1"/>
  <c r="D140" i="3" s="1"/>
  <c r="A141" i="3"/>
  <c r="B141" i="3"/>
  <c r="C141" i="3" s="1"/>
  <c r="D141" i="3" s="1"/>
  <c r="A5" i="3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6" i="1"/>
  <c r="R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6" i="1"/>
  <c r="N7" i="1"/>
  <c r="Q7" i="1" s="1"/>
  <c r="U7" i="1" s="1"/>
  <c r="N8" i="1"/>
  <c r="Q8" i="1" s="1"/>
  <c r="U8" i="1" s="1"/>
  <c r="N9" i="1"/>
  <c r="Q9" i="1" s="1"/>
  <c r="U9" i="1" s="1"/>
  <c r="N10" i="1"/>
  <c r="Q10" i="1" s="1"/>
  <c r="U10" i="1" s="1"/>
  <c r="N11" i="1"/>
  <c r="Q11" i="1" s="1"/>
  <c r="U11" i="1" s="1"/>
  <c r="N12" i="1"/>
  <c r="Q12" i="1" s="1"/>
  <c r="U12" i="1" s="1"/>
  <c r="N13" i="1"/>
  <c r="Q13" i="1" s="1"/>
  <c r="U13" i="1" s="1"/>
  <c r="N14" i="1"/>
  <c r="Q14" i="1" s="1"/>
  <c r="U14" i="1" s="1"/>
  <c r="N15" i="1"/>
  <c r="Q15" i="1" s="1"/>
  <c r="U15" i="1" s="1"/>
  <c r="N16" i="1"/>
  <c r="Q16" i="1" s="1"/>
  <c r="U16" i="1" s="1"/>
  <c r="N17" i="1"/>
  <c r="Q17" i="1" s="1"/>
  <c r="U17" i="1" s="1"/>
  <c r="N18" i="1"/>
  <c r="Q18" i="1" s="1"/>
  <c r="U18" i="1" s="1"/>
  <c r="N19" i="1"/>
  <c r="Q19" i="1" s="1"/>
  <c r="U19" i="1" s="1"/>
  <c r="N20" i="1"/>
  <c r="Q20" i="1" s="1"/>
  <c r="U20" i="1" s="1"/>
  <c r="N21" i="1"/>
  <c r="Q21" i="1" s="1"/>
  <c r="U21" i="1" s="1"/>
  <c r="N22" i="1"/>
  <c r="Q22" i="1" s="1"/>
  <c r="U22" i="1" s="1"/>
  <c r="N23" i="1"/>
  <c r="Q23" i="1" s="1"/>
  <c r="U23" i="1" s="1"/>
  <c r="N24" i="1"/>
  <c r="Q24" i="1" s="1"/>
  <c r="U24" i="1" s="1"/>
  <c r="N25" i="1"/>
  <c r="Q25" i="1" s="1"/>
  <c r="U25" i="1" s="1"/>
  <c r="N26" i="1"/>
  <c r="Q26" i="1" s="1"/>
  <c r="U26" i="1" s="1"/>
  <c r="N27" i="1"/>
  <c r="Q27" i="1" s="1"/>
  <c r="U27" i="1" s="1"/>
  <c r="N28" i="1"/>
  <c r="Q28" i="1" s="1"/>
  <c r="U28" i="1" s="1"/>
  <c r="N29" i="1"/>
  <c r="Q29" i="1" s="1"/>
  <c r="U29" i="1" s="1"/>
  <c r="N30" i="1"/>
  <c r="Q30" i="1" s="1"/>
  <c r="U30" i="1" s="1"/>
  <c r="N31" i="1"/>
  <c r="Q31" i="1" s="1"/>
  <c r="U31" i="1" s="1"/>
  <c r="N32" i="1"/>
  <c r="Q32" i="1" s="1"/>
  <c r="U32" i="1" s="1"/>
  <c r="N33" i="1"/>
  <c r="Q33" i="1" s="1"/>
  <c r="U33" i="1" s="1"/>
  <c r="N34" i="1"/>
  <c r="Q34" i="1" s="1"/>
  <c r="U34" i="1" s="1"/>
  <c r="N35" i="1"/>
  <c r="Q35" i="1" s="1"/>
  <c r="U35" i="1" s="1"/>
  <c r="N36" i="1"/>
  <c r="Q36" i="1" s="1"/>
  <c r="U36" i="1" s="1"/>
  <c r="N37" i="1"/>
  <c r="Q37" i="1" s="1"/>
  <c r="U37" i="1" s="1"/>
  <c r="N38" i="1"/>
  <c r="Q38" i="1" s="1"/>
  <c r="U38" i="1" s="1"/>
  <c r="N39" i="1"/>
  <c r="Q39" i="1" s="1"/>
  <c r="U39" i="1" s="1"/>
  <c r="N40" i="1"/>
  <c r="Q40" i="1" s="1"/>
  <c r="U40" i="1" s="1"/>
  <c r="N41" i="1"/>
  <c r="Q41" i="1" s="1"/>
  <c r="U41" i="1" s="1"/>
  <c r="N42" i="1"/>
  <c r="Q42" i="1" s="1"/>
  <c r="U42" i="1" s="1"/>
  <c r="N43" i="1"/>
  <c r="Q43" i="1" s="1"/>
  <c r="U43" i="1" s="1"/>
  <c r="N44" i="1"/>
  <c r="Q44" i="1" s="1"/>
  <c r="U44" i="1" s="1"/>
  <c r="N45" i="1"/>
  <c r="Q45" i="1" s="1"/>
  <c r="U45" i="1" s="1"/>
  <c r="N46" i="1"/>
  <c r="Q46" i="1" s="1"/>
  <c r="U46" i="1" s="1"/>
  <c r="N47" i="1"/>
  <c r="Q47" i="1" s="1"/>
  <c r="U47" i="1" s="1"/>
  <c r="N48" i="1"/>
  <c r="Q48" i="1" s="1"/>
  <c r="U48" i="1" s="1"/>
  <c r="N49" i="1"/>
  <c r="Q49" i="1" s="1"/>
  <c r="U49" i="1" s="1"/>
  <c r="N50" i="1"/>
  <c r="Q50" i="1" s="1"/>
  <c r="U50" i="1" s="1"/>
  <c r="N51" i="1"/>
  <c r="Q51" i="1" s="1"/>
  <c r="U51" i="1" s="1"/>
  <c r="N52" i="1"/>
  <c r="Q52" i="1" s="1"/>
  <c r="U52" i="1" s="1"/>
  <c r="N53" i="1"/>
  <c r="Q53" i="1" s="1"/>
  <c r="U53" i="1" s="1"/>
  <c r="N54" i="1"/>
  <c r="Q54" i="1" s="1"/>
  <c r="U54" i="1" s="1"/>
  <c r="N55" i="1"/>
  <c r="Q55" i="1" s="1"/>
  <c r="U55" i="1" s="1"/>
  <c r="N56" i="1"/>
  <c r="Q56" i="1" s="1"/>
  <c r="U56" i="1" s="1"/>
  <c r="N57" i="1"/>
  <c r="Q57" i="1" s="1"/>
  <c r="U57" i="1" s="1"/>
  <c r="N58" i="1"/>
  <c r="Q58" i="1" s="1"/>
  <c r="U58" i="1" s="1"/>
  <c r="N59" i="1"/>
  <c r="Q59" i="1" s="1"/>
  <c r="U59" i="1" s="1"/>
  <c r="N60" i="1"/>
  <c r="Q60" i="1" s="1"/>
  <c r="U60" i="1" s="1"/>
  <c r="N61" i="1"/>
  <c r="Q61" i="1" s="1"/>
  <c r="U61" i="1" s="1"/>
  <c r="N62" i="1"/>
  <c r="Q62" i="1" s="1"/>
  <c r="U62" i="1" s="1"/>
  <c r="N63" i="1"/>
  <c r="Q63" i="1" s="1"/>
  <c r="U63" i="1" s="1"/>
  <c r="N64" i="1"/>
  <c r="Q64" i="1" s="1"/>
  <c r="U64" i="1" s="1"/>
  <c r="N65" i="1"/>
  <c r="Q65" i="1" s="1"/>
  <c r="U65" i="1" s="1"/>
  <c r="N66" i="1"/>
  <c r="Q66" i="1" s="1"/>
  <c r="U66" i="1" s="1"/>
  <c r="N67" i="1"/>
  <c r="Q67" i="1" s="1"/>
  <c r="U67" i="1" s="1"/>
  <c r="N68" i="1"/>
  <c r="Q68" i="1" s="1"/>
  <c r="U68" i="1" s="1"/>
  <c r="N69" i="1"/>
  <c r="Q69" i="1" s="1"/>
  <c r="U69" i="1" s="1"/>
  <c r="N70" i="1"/>
  <c r="Q70" i="1" s="1"/>
  <c r="U70" i="1" s="1"/>
  <c r="N71" i="1"/>
  <c r="Q71" i="1" s="1"/>
  <c r="U71" i="1" s="1"/>
  <c r="N72" i="1"/>
  <c r="Q72" i="1" s="1"/>
  <c r="U72" i="1" s="1"/>
  <c r="N73" i="1"/>
  <c r="Q73" i="1" s="1"/>
  <c r="U73" i="1" s="1"/>
  <c r="N74" i="1"/>
  <c r="Q74" i="1" s="1"/>
  <c r="U74" i="1" s="1"/>
  <c r="N75" i="1"/>
  <c r="Q75" i="1" s="1"/>
  <c r="U75" i="1" s="1"/>
  <c r="N76" i="1"/>
  <c r="Q76" i="1" s="1"/>
  <c r="U76" i="1" s="1"/>
  <c r="N77" i="1"/>
  <c r="Q77" i="1" s="1"/>
  <c r="U77" i="1" s="1"/>
  <c r="N78" i="1"/>
  <c r="Q78" i="1" s="1"/>
  <c r="U78" i="1" s="1"/>
  <c r="N79" i="1"/>
  <c r="Q79" i="1" s="1"/>
  <c r="U79" i="1" s="1"/>
  <c r="N80" i="1"/>
  <c r="Q80" i="1" s="1"/>
  <c r="U80" i="1" s="1"/>
  <c r="N81" i="1"/>
  <c r="Q81" i="1" s="1"/>
  <c r="U81" i="1" s="1"/>
  <c r="N82" i="1"/>
  <c r="Q82" i="1" s="1"/>
  <c r="U82" i="1" s="1"/>
  <c r="N83" i="1"/>
  <c r="Q83" i="1" s="1"/>
  <c r="U83" i="1" s="1"/>
  <c r="N84" i="1"/>
  <c r="Q84" i="1" s="1"/>
  <c r="U84" i="1" s="1"/>
  <c r="N85" i="1"/>
  <c r="Q85" i="1" s="1"/>
  <c r="U85" i="1" s="1"/>
  <c r="N86" i="1"/>
  <c r="Q86" i="1" s="1"/>
  <c r="U86" i="1" s="1"/>
  <c r="N87" i="1"/>
  <c r="Q87" i="1" s="1"/>
  <c r="U87" i="1" s="1"/>
  <c r="N88" i="1"/>
  <c r="Q88" i="1" s="1"/>
  <c r="U88" i="1" s="1"/>
  <c r="N89" i="1"/>
  <c r="Q89" i="1" s="1"/>
  <c r="U89" i="1" s="1"/>
  <c r="N90" i="1"/>
  <c r="Q90" i="1" s="1"/>
  <c r="U90" i="1" s="1"/>
  <c r="N91" i="1"/>
  <c r="Q91" i="1" s="1"/>
  <c r="U91" i="1" s="1"/>
  <c r="N92" i="1"/>
  <c r="Q92" i="1" s="1"/>
  <c r="U92" i="1" s="1"/>
  <c r="N93" i="1"/>
  <c r="Q93" i="1" s="1"/>
  <c r="U93" i="1" s="1"/>
  <c r="N94" i="1"/>
  <c r="Q94" i="1" s="1"/>
  <c r="U94" i="1" s="1"/>
  <c r="N95" i="1"/>
  <c r="Q95" i="1" s="1"/>
  <c r="U95" i="1" s="1"/>
  <c r="N96" i="1"/>
  <c r="Q96" i="1" s="1"/>
  <c r="U96" i="1" s="1"/>
  <c r="N97" i="1"/>
  <c r="Q97" i="1" s="1"/>
  <c r="U97" i="1" s="1"/>
  <c r="N98" i="1"/>
  <c r="Q98" i="1" s="1"/>
  <c r="U98" i="1" s="1"/>
  <c r="N99" i="1"/>
  <c r="Q99" i="1" s="1"/>
  <c r="U99" i="1" s="1"/>
  <c r="N100" i="1"/>
  <c r="Q100" i="1" s="1"/>
  <c r="U100" i="1" s="1"/>
  <c r="N101" i="1"/>
  <c r="Q101" i="1" s="1"/>
  <c r="U101" i="1" s="1"/>
  <c r="N102" i="1"/>
  <c r="Q102" i="1" s="1"/>
  <c r="U102" i="1" s="1"/>
  <c r="N103" i="1"/>
  <c r="Q103" i="1" s="1"/>
  <c r="U103" i="1" s="1"/>
  <c r="N104" i="1"/>
  <c r="Q104" i="1" s="1"/>
  <c r="U104" i="1" s="1"/>
  <c r="N105" i="1"/>
  <c r="Q105" i="1" s="1"/>
  <c r="U105" i="1" s="1"/>
  <c r="N106" i="1"/>
  <c r="Q106" i="1" s="1"/>
  <c r="U106" i="1" s="1"/>
  <c r="N107" i="1"/>
  <c r="Q107" i="1" s="1"/>
  <c r="U107" i="1" s="1"/>
  <c r="N108" i="1"/>
  <c r="Q108" i="1" s="1"/>
  <c r="U108" i="1" s="1"/>
  <c r="N109" i="1"/>
  <c r="Q109" i="1" s="1"/>
  <c r="U109" i="1" s="1"/>
  <c r="N110" i="1"/>
  <c r="Q110" i="1" s="1"/>
  <c r="U110" i="1" s="1"/>
  <c r="N111" i="1"/>
  <c r="Q111" i="1" s="1"/>
  <c r="U111" i="1" s="1"/>
  <c r="N112" i="1"/>
  <c r="Q112" i="1" s="1"/>
  <c r="U112" i="1" s="1"/>
  <c r="N113" i="1"/>
  <c r="Q113" i="1" s="1"/>
  <c r="U113" i="1" s="1"/>
  <c r="N114" i="1"/>
  <c r="Q114" i="1" s="1"/>
  <c r="U114" i="1" s="1"/>
  <c r="N115" i="1"/>
  <c r="Q115" i="1" s="1"/>
  <c r="U115" i="1" s="1"/>
  <c r="N116" i="1"/>
  <c r="Q116" i="1" s="1"/>
  <c r="U116" i="1" s="1"/>
  <c r="N117" i="1"/>
  <c r="Q117" i="1" s="1"/>
  <c r="U117" i="1" s="1"/>
  <c r="N118" i="1"/>
  <c r="Q118" i="1" s="1"/>
  <c r="U118" i="1" s="1"/>
  <c r="N119" i="1"/>
  <c r="Q119" i="1" s="1"/>
  <c r="U119" i="1" s="1"/>
  <c r="N120" i="1"/>
  <c r="Q120" i="1" s="1"/>
  <c r="U120" i="1" s="1"/>
  <c r="N121" i="1"/>
  <c r="Q121" i="1" s="1"/>
  <c r="U121" i="1" s="1"/>
  <c r="N122" i="1"/>
  <c r="Q122" i="1" s="1"/>
  <c r="U122" i="1" s="1"/>
  <c r="N123" i="1"/>
  <c r="Q123" i="1" s="1"/>
  <c r="U123" i="1" s="1"/>
  <c r="N124" i="1"/>
  <c r="Q124" i="1" s="1"/>
  <c r="U124" i="1" s="1"/>
  <c r="N125" i="1"/>
  <c r="Q125" i="1" s="1"/>
  <c r="U125" i="1" s="1"/>
  <c r="N126" i="1"/>
  <c r="Q126" i="1" s="1"/>
  <c r="U126" i="1" s="1"/>
  <c r="N127" i="1"/>
  <c r="Q127" i="1" s="1"/>
  <c r="U127" i="1" s="1"/>
  <c r="N128" i="1"/>
  <c r="Q128" i="1" s="1"/>
  <c r="U128" i="1" s="1"/>
  <c r="N129" i="1"/>
  <c r="Q129" i="1" s="1"/>
  <c r="U129" i="1" s="1"/>
  <c r="N130" i="1"/>
  <c r="Q130" i="1" s="1"/>
  <c r="U130" i="1" s="1"/>
  <c r="N131" i="1"/>
  <c r="Q131" i="1" s="1"/>
  <c r="U131" i="1" s="1"/>
  <c r="N132" i="1"/>
  <c r="Q132" i="1" s="1"/>
  <c r="U132" i="1" s="1"/>
  <c r="N133" i="1"/>
  <c r="Q133" i="1" s="1"/>
  <c r="U133" i="1" s="1"/>
  <c r="N134" i="1"/>
  <c r="Q134" i="1" s="1"/>
  <c r="U134" i="1" s="1"/>
  <c r="N135" i="1"/>
  <c r="Q135" i="1" s="1"/>
  <c r="U135" i="1" s="1"/>
  <c r="N136" i="1"/>
  <c r="Q136" i="1" s="1"/>
  <c r="U136" i="1" s="1"/>
  <c r="N137" i="1"/>
  <c r="Q137" i="1" s="1"/>
  <c r="U137" i="1" s="1"/>
  <c r="N138" i="1"/>
  <c r="Q138" i="1" s="1"/>
  <c r="U138" i="1" s="1"/>
  <c r="N139" i="1"/>
  <c r="Q139" i="1" s="1"/>
  <c r="U139" i="1" s="1"/>
  <c r="N140" i="1"/>
  <c r="Q140" i="1" s="1"/>
  <c r="U140" i="1" s="1"/>
  <c r="N141" i="1"/>
  <c r="Q141" i="1" s="1"/>
  <c r="U141" i="1" s="1"/>
  <c r="N142" i="1"/>
  <c r="Q142" i="1" s="1"/>
  <c r="U142" i="1" s="1"/>
  <c r="N6" i="1"/>
  <c r="Q6" i="1" s="1"/>
  <c r="U6" i="1" s="1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B27" i="2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H26" i="2"/>
  <c r="H25" i="2"/>
  <c r="B25" i="2"/>
  <c r="H24" i="2"/>
  <c r="H23" i="2"/>
  <c r="B23" i="2"/>
  <c r="H22" i="2"/>
  <c r="H21" i="2"/>
  <c r="H20" i="2"/>
  <c r="H19" i="2"/>
  <c r="H18" i="2"/>
  <c r="H17" i="2"/>
  <c r="H16" i="2"/>
  <c r="H15" i="2"/>
  <c r="B15" i="2"/>
  <c r="B16" i="2" s="1"/>
  <c r="B17" i="2" s="1"/>
  <c r="B18" i="2" s="1"/>
  <c r="B19" i="2" s="1"/>
  <c r="B20" i="2" s="1"/>
  <c r="B21" i="2" s="1"/>
  <c r="H14" i="2"/>
  <c r="H13" i="2"/>
  <c r="H12" i="2"/>
  <c r="H11" i="2"/>
  <c r="H10" i="2"/>
  <c r="H9" i="2"/>
  <c r="H8" i="2"/>
  <c r="H7" i="2"/>
  <c r="B7" i="2"/>
  <c r="B8" i="2" s="1"/>
  <c r="B9" i="2" s="1"/>
  <c r="B10" i="2" s="1"/>
  <c r="B11" i="2" s="1"/>
  <c r="B12" i="2" s="1"/>
  <c r="B13" i="2" s="1"/>
  <c r="H6" i="2"/>
  <c r="B61" i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G5" i="3" l="1"/>
  <c r="BH5" i="3"/>
  <c r="BI5" i="3" s="1"/>
  <c r="F6" i="3"/>
  <c r="G6" i="3" s="1"/>
  <c r="E6" i="3"/>
  <c r="F7" i="3"/>
  <c r="G7" i="3" s="1"/>
  <c r="E7" i="3"/>
  <c r="E8" i="3"/>
  <c r="F8" i="3"/>
  <c r="G8" i="3" s="1"/>
  <c r="F9" i="3"/>
  <c r="G9" i="3" s="1"/>
  <c r="E9" i="3"/>
  <c r="E10" i="3"/>
  <c r="F10" i="3"/>
  <c r="G10" i="3" s="1"/>
  <c r="E11" i="3"/>
  <c r="F11" i="3"/>
  <c r="G11" i="3" s="1"/>
  <c r="F12" i="3"/>
  <c r="G12" i="3" s="1"/>
  <c r="E12" i="3"/>
  <c r="E13" i="3"/>
  <c r="F13" i="3"/>
  <c r="G13" i="3" s="1"/>
  <c r="F14" i="3"/>
  <c r="G14" i="3" s="1"/>
  <c r="E14" i="3"/>
  <c r="E15" i="3"/>
  <c r="F15" i="3"/>
  <c r="G15" i="3" s="1"/>
  <c r="F16" i="3"/>
  <c r="G16" i="3" s="1"/>
  <c r="E16" i="3"/>
  <c r="F17" i="3"/>
  <c r="G17" i="3" s="1"/>
  <c r="E17" i="3"/>
  <c r="F18" i="3"/>
  <c r="G18" i="3" s="1"/>
  <c r="E18" i="3"/>
  <c r="F19" i="3"/>
  <c r="G19" i="3" s="1"/>
  <c r="E19" i="3"/>
  <c r="F20" i="3"/>
  <c r="G20" i="3" s="1"/>
  <c r="E20" i="3"/>
  <c r="F21" i="3"/>
  <c r="G21" i="3" s="1"/>
  <c r="E21" i="3"/>
  <c r="F22" i="3"/>
  <c r="G22" i="3" s="1"/>
  <c r="E22" i="3"/>
  <c r="F23" i="3"/>
  <c r="G23" i="3" s="1"/>
  <c r="E23" i="3"/>
  <c r="F24" i="3"/>
  <c r="G24" i="3" s="1"/>
  <c r="E24" i="3"/>
  <c r="F25" i="3"/>
  <c r="G25" i="3" s="1"/>
  <c r="E25" i="3"/>
  <c r="F26" i="3"/>
  <c r="G26" i="3" s="1"/>
  <c r="E26" i="3"/>
  <c r="F27" i="3"/>
  <c r="G27" i="3" s="1"/>
  <c r="E27" i="3"/>
  <c r="F28" i="3"/>
  <c r="G28" i="3" s="1"/>
  <c r="E28" i="3"/>
  <c r="F29" i="3"/>
  <c r="G29" i="3" s="1"/>
  <c r="E29" i="3"/>
  <c r="F30" i="3"/>
  <c r="G30" i="3" s="1"/>
  <c r="E30" i="3"/>
  <c r="F31" i="3"/>
  <c r="G31" i="3" s="1"/>
  <c r="E31" i="3"/>
  <c r="F32" i="3"/>
  <c r="G32" i="3" s="1"/>
  <c r="E32" i="3"/>
  <c r="F33" i="3"/>
  <c r="G33" i="3" s="1"/>
  <c r="E33" i="3"/>
  <c r="F34" i="3"/>
  <c r="G34" i="3" s="1"/>
  <c r="E34" i="3"/>
  <c r="F35" i="3"/>
  <c r="G35" i="3" s="1"/>
  <c r="E35" i="3"/>
  <c r="F36" i="3"/>
  <c r="G36" i="3" s="1"/>
  <c r="E36" i="3"/>
  <c r="F37" i="3"/>
  <c r="G37" i="3" s="1"/>
  <c r="E37" i="3"/>
  <c r="F38" i="3"/>
  <c r="G38" i="3" s="1"/>
  <c r="E38" i="3"/>
  <c r="F39" i="3"/>
  <c r="G39" i="3" s="1"/>
  <c r="E39" i="3"/>
  <c r="F40" i="3"/>
  <c r="G40" i="3" s="1"/>
  <c r="E40" i="3"/>
  <c r="F41" i="3"/>
  <c r="G41" i="3" s="1"/>
  <c r="E41" i="3"/>
  <c r="F42" i="3"/>
  <c r="G42" i="3" s="1"/>
  <c r="E42" i="3"/>
  <c r="F43" i="3"/>
  <c r="G43" i="3" s="1"/>
  <c r="E43" i="3"/>
  <c r="F44" i="3"/>
  <c r="G44" i="3" s="1"/>
  <c r="E44" i="3"/>
  <c r="F45" i="3"/>
  <c r="G45" i="3" s="1"/>
  <c r="E45" i="3"/>
  <c r="F46" i="3"/>
  <c r="G46" i="3" s="1"/>
  <c r="E46" i="3"/>
  <c r="F47" i="3"/>
  <c r="G47" i="3" s="1"/>
  <c r="E47" i="3"/>
  <c r="F48" i="3"/>
  <c r="G48" i="3" s="1"/>
  <c r="E48" i="3"/>
  <c r="F49" i="3"/>
  <c r="G49" i="3" s="1"/>
  <c r="E49" i="3"/>
  <c r="E50" i="3"/>
  <c r="F50" i="3"/>
  <c r="G50" i="3" s="1"/>
  <c r="E51" i="3"/>
  <c r="F51" i="3"/>
  <c r="G51" i="3" s="1"/>
  <c r="E52" i="3"/>
  <c r="F52" i="3"/>
  <c r="G52" i="3" s="1"/>
  <c r="E53" i="3"/>
  <c r="F53" i="3"/>
  <c r="G53" i="3" s="1"/>
  <c r="E54" i="3"/>
  <c r="F54" i="3"/>
  <c r="G54" i="3" s="1"/>
  <c r="E55" i="3"/>
  <c r="F55" i="3"/>
  <c r="G55" i="3" s="1"/>
  <c r="E56" i="3"/>
  <c r="F56" i="3"/>
  <c r="G56" i="3" s="1"/>
  <c r="E57" i="3"/>
  <c r="F57" i="3"/>
  <c r="G57" i="3" s="1"/>
  <c r="F58" i="3"/>
  <c r="G58" i="3" s="1"/>
  <c r="E58" i="3"/>
  <c r="E59" i="3"/>
  <c r="F59" i="3"/>
  <c r="G59" i="3" s="1"/>
  <c r="E60" i="3"/>
  <c r="F60" i="3"/>
  <c r="G60" i="3" s="1"/>
  <c r="F61" i="3"/>
  <c r="G61" i="3" s="1"/>
  <c r="E61" i="3"/>
  <c r="F62" i="3"/>
  <c r="G62" i="3" s="1"/>
  <c r="E62" i="3"/>
  <c r="F63" i="3"/>
  <c r="G63" i="3" s="1"/>
  <c r="E63" i="3"/>
  <c r="F64" i="3"/>
  <c r="G64" i="3" s="1"/>
  <c r="E64" i="3"/>
  <c r="F65" i="3"/>
  <c r="G65" i="3" s="1"/>
  <c r="E65" i="3"/>
  <c r="F66" i="3"/>
  <c r="G66" i="3" s="1"/>
  <c r="E66" i="3"/>
  <c r="F67" i="3"/>
  <c r="G67" i="3" s="1"/>
  <c r="E67" i="3"/>
  <c r="F68" i="3"/>
  <c r="G68" i="3" s="1"/>
  <c r="E68" i="3"/>
  <c r="F69" i="3"/>
  <c r="G69" i="3" s="1"/>
  <c r="E69" i="3"/>
  <c r="F70" i="3"/>
  <c r="G70" i="3" s="1"/>
  <c r="E70" i="3"/>
  <c r="F71" i="3"/>
  <c r="G71" i="3" s="1"/>
  <c r="E71" i="3"/>
  <c r="F72" i="3"/>
  <c r="G72" i="3" s="1"/>
  <c r="E72" i="3"/>
  <c r="F73" i="3"/>
  <c r="G73" i="3" s="1"/>
  <c r="E73" i="3"/>
  <c r="F74" i="3"/>
  <c r="G74" i="3" s="1"/>
  <c r="E74" i="3"/>
  <c r="F75" i="3"/>
  <c r="G75" i="3" s="1"/>
  <c r="E75" i="3"/>
  <c r="F76" i="3"/>
  <c r="G76" i="3" s="1"/>
  <c r="E76" i="3"/>
  <c r="E77" i="3"/>
  <c r="F77" i="3"/>
  <c r="G77" i="3" s="1"/>
  <c r="F78" i="3"/>
  <c r="G78" i="3" s="1"/>
  <c r="E78" i="3"/>
  <c r="F79" i="3"/>
  <c r="G79" i="3" s="1"/>
  <c r="E79" i="3"/>
  <c r="F80" i="3"/>
  <c r="G80" i="3" s="1"/>
  <c r="E80" i="3"/>
  <c r="F81" i="3"/>
  <c r="G81" i="3" s="1"/>
  <c r="E81" i="3"/>
  <c r="F82" i="3"/>
  <c r="G82" i="3" s="1"/>
  <c r="E82" i="3"/>
  <c r="E83" i="3"/>
  <c r="F83" i="3"/>
  <c r="G83" i="3" s="1"/>
  <c r="F84" i="3"/>
  <c r="G84" i="3" s="1"/>
  <c r="E84" i="3"/>
  <c r="E85" i="3"/>
  <c r="F85" i="3"/>
  <c r="G85" i="3" s="1"/>
  <c r="F86" i="3"/>
  <c r="G86" i="3" s="1"/>
  <c r="E86" i="3"/>
  <c r="F87" i="3"/>
  <c r="G87" i="3" s="1"/>
  <c r="E87" i="3"/>
  <c r="F88" i="3"/>
  <c r="G88" i="3" s="1"/>
  <c r="E88" i="3"/>
  <c r="F89" i="3"/>
  <c r="G89" i="3" s="1"/>
  <c r="E89" i="3"/>
  <c r="F90" i="3"/>
  <c r="G90" i="3" s="1"/>
  <c r="E90" i="3"/>
  <c r="F91" i="3"/>
  <c r="G91" i="3" s="1"/>
  <c r="E91" i="3"/>
  <c r="F92" i="3"/>
  <c r="G92" i="3" s="1"/>
  <c r="E92" i="3"/>
  <c r="F93" i="3"/>
  <c r="G93" i="3" s="1"/>
  <c r="E93" i="3"/>
  <c r="F94" i="3"/>
  <c r="G94" i="3" s="1"/>
  <c r="E94" i="3"/>
  <c r="F95" i="3"/>
  <c r="G95" i="3" s="1"/>
  <c r="E95" i="3"/>
  <c r="F96" i="3"/>
  <c r="G96" i="3" s="1"/>
  <c r="E96" i="3"/>
  <c r="F97" i="3"/>
  <c r="G97" i="3" s="1"/>
  <c r="E97" i="3"/>
  <c r="F98" i="3"/>
  <c r="G98" i="3" s="1"/>
  <c r="E98" i="3"/>
  <c r="F99" i="3"/>
  <c r="G99" i="3" s="1"/>
  <c r="E99" i="3"/>
  <c r="F100" i="3"/>
  <c r="G100" i="3" s="1"/>
  <c r="E100" i="3"/>
  <c r="F101" i="3"/>
  <c r="G101" i="3" s="1"/>
  <c r="E101" i="3"/>
  <c r="F102" i="3"/>
  <c r="G102" i="3" s="1"/>
  <c r="E102" i="3"/>
  <c r="F103" i="3"/>
  <c r="G103" i="3" s="1"/>
  <c r="E103" i="3"/>
  <c r="F104" i="3"/>
  <c r="G104" i="3" s="1"/>
  <c r="E104" i="3"/>
  <c r="F105" i="3"/>
  <c r="G105" i="3" s="1"/>
  <c r="E105" i="3"/>
  <c r="F106" i="3"/>
  <c r="G106" i="3" s="1"/>
  <c r="E106" i="3"/>
  <c r="F107" i="3"/>
  <c r="G107" i="3" s="1"/>
  <c r="E107" i="3"/>
  <c r="F108" i="3"/>
  <c r="G108" i="3" s="1"/>
  <c r="E108" i="3"/>
  <c r="E109" i="3"/>
  <c r="F109" i="3"/>
  <c r="G109" i="3" s="1"/>
  <c r="F110" i="3"/>
  <c r="G110" i="3" s="1"/>
  <c r="E110" i="3"/>
  <c r="F111" i="3"/>
  <c r="G111" i="3" s="1"/>
  <c r="E111" i="3"/>
  <c r="F112" i="3"/>
  <c r="G112" i="3" s="1"/>
  <c r="E112" i="3"/>
  <c r="F113" i="3"/>
  <c r="G113" i="3" s="1"/>
  <c r="E113" i="3"/>
  <c r="F114" i="3"/>
  <c r="G114" i="3" s="1"/>
  <c r="E114" i="3"/>
  <c r="F115" i="3"/>
  <c r="G115" i="3" s="1"/>
  <c r="E115" i="3"/>
  <c r="F116" i="3"/>
  <c r="G116" i="3" s="1"/>
  <c r="E116" i="3"/>
  <c r="F117" i="3"/>
  <c r="G117" i="3" s="1"/>
  <c r="E117" i="3"/>
  <c r="E118" i="3"/>
  <c r="F118" i="3"/>
  <c r="G118" i="3" s="1"/>
  <c r="E119" i="3"/>
  <c r="F119" i="3"/>
  <c r="G119" i="3" s="1"/>
  <c r="E120" i="3"/>
  <c r="F120" i="3"/>
  <c r="G120" i="3" s="1"/>
  <c r="F121" i="3"/>
  <c r="G121" i="3" s="1"/>
  <c r="E121" i="3"/>
  <c r="E122" i="3"/>
  <c r="F122" i="3"/>
  <c r="G122" i="3" s="1"/>
  <c r="E123" i="3"/>
  <c r="F123" i="3"/>
  <c r="G123" i="3" s="1"/>
  <c r="E124" i="3"/>
  <c r="F124" i="3"/>
  <c r="G124" i="3" s="1"/>
  <c r="E125" i="3"/>
  <c r="F125" i="3"/>
  <c r="G125" i="3" s="1"/>
  <c r="E126" i="3"/>
  <c r="F126" i="3"/>
  <c r="G126" i="3" s="1"/>
  <c r="E127" i="3"/>
  <c r="F127" i="3"/>
  <c r="G127" i="3" s="1"/>
  <c r="E128" i="3"/>
  <c r="F128" i="3"/>
  <c r="G128" i="3" s="1"/>
  <c r="E129" i="3"/>
  <c r="F129" i="3"/>
  <c r="G129" i="3" s="1"/>
  <c r="E130" i="3"/>
  <c r="F130" i="3"/>
  <c r="G130" i="3" s="1"/>
  <c r="E131" i="3"/>
  <c r="F131" i="3"/>
  <c r="G131" i="3" s="1"/>
  <c r="E132" i="3"/>
  <c r="F132" i="3"/>
  <c r="G132" i="3" s="1"/>
  <c r="E133" i="3"/>
  <c r="F133" i="3"/>
  <c r="G133" i="3" s="1"/>
  <c r="E134" i="3"/>
  <c r="F134" i="3"/>
  <c r="G134" i="3" s="1"/>
  <c r="F135" i="3"/>
  <c r="G135" i="3" s="1"/>
  <c r="E135" i="3"/>
  <c r="F136" i="3"/>
  <c r="G136" i="3" s="1"/>
  <c r="E136" i="3"/>
  <c r="F137" i="3"/>
  <c r="G137" i="3" s="1"/>
  <c r="E137" i="3"/>
  <c r="E138" i="3"/>
  <c r="F138" i="3"/>
  <c r="G138" i="3" s="1"/>
  <c r="E139" i="3"/>
  <c r="F139" i="3"/>
  <c r="G139" i="3" s="1"/>
  <c r="E140" i="3"/>
  <c r="F140" i="3"/>
  <c r="G140" i="3" s="1"/>
  <c r="E141" i="3"/>
  <c r="F141" i="3"/>
  <c r="G141" i="3" s="1"/>
  <c r="BK5" i="3" l="1"/>
  <c r="BL5" i="3" s="1"/>
  <c r="BM5" i="3" s="1"/>
  <c r="BJ5" i="3"/>
  <c r="I6" i="3"/>
  <c r="J6" i="3" s="1"/>
  <c r="H6" i="3"/>
  <c r="I7" i="3"/>
  <c r="J7" i="3" s="1"/>
  <c r="H7" i="3"/>
  <c r="H8" i="3"/>
  <c r="I8" i="3"/>
  <c r="J8" i="3" s="1"/>
  <c r="I9" i="3"/>
  <c r="J9" i="3" s="1"/>
  <c r="H9" i="3"/>
  <c r="H10" i="3"/>
  <c r="I10" i="3"/>
  <c r="J10" i="3" s="1"/>
  <c r="H11" i="3"/>
  <c r="I11" i="3"/>
  <c r="J11" i="3" s="1"/>
  <c r="I12" i="3"/>
  <c r="J12" i="3" s="1"/>
  <c r="H12" i="3"/>
  <c r="I13" i="3"/>
  <c r="J13" i="3" s="1"/>
  <c r="H13" i="3"/>
  <c r="I14" i="3"/>
  <c r="J14" i="3" s="1"/>
  <c r="H14" i="3"/>
  <c r="H15" i="3"/>
  <c r="I15" i="3"/>
  <c r="J15" i="3" s="1"/>
  <c r="I16" i="3"/>
  <c r="J16" i="3" s="1"/>
  <c r="H16" i="3"/>
  <c r="I17" i="3"/>
  <c r="J17" i="3" s="1"/>
  <c r="H17" i="3"/>
  <c r="H18" i="3"/>
  <c r="I18" i="3"/>
  <c r="J18" i="3" s="1"/>
  <c r="H19" i="3"/>
  <c r="I19" i="3"/>
  <c r="J19" i="3" s="1"/>
  <c r="I20" i="3"/>
  <c r="J20" i="3" s="1"/>
  <c r="H20" i="3"/>
  <c r="I21" i="3"/>
  <c r="J21" i="3" s="1"/>
  <c r="H21" i="3"/>
  <c r="I22" i="3"/>
  <c r="J22" i="3" s="1"/>
  <c r="H22" i="3"/>
  <c r="I23" i="3"/>
  <c r="J23" i="3" s="1"/>
  <c r="H23" i="3"/>
  <c r="I24" i="3"/>
  <c r="J24" i="3" s="1"/>
  <c r="H24" i="3"/>
  <c r="H25" i="3"/>
  <c r="I25" i="3"/>
  <c r="J25" i="3" s="1"/>
  <c r="I26" i="3"/>
  <c r="J26" i="3" s="1"/>
  <c r="H26" i="3"/>
  <c r="H27" i="3"/>
  <c r="I27" i="3"/>
  <c r="J27" i="3" s="1"/>
  <c r="H28" i="3"/>
  <c r="I28" i="3"/>
  <c r="J28" i="3" s="1"/>
  <c r="I29" i="3"/>
  <c r="J29" i="3" s="1"/>
  <c r="H29" i="3"/>
  <c r="H30" i="3"/>
  <c r="I30" i="3"/>
  <c r="J30" i="3" s="1"/>
  <c r="I31" i="3"/>
  <c r="J31" i="3" s="1"/>
  <c r="H31" i="3"/>
  <c r="I32" i="3"/>
  <c r="J32" i="3" s="1"/>
  <c r="H32" i="3"/>
  <c r="H33" i="3"/>
  <c r="I33" i="3"/>
  <c r="J33" i="3" s="1"/>
  <c r="H34" i="3"/>
  <c r="I34" i="3"/>
  <c r="J34" i="3" s="1"/>
  <c r="H35" i="3"/>
  <c r="I35" i="3"/>
  <c r="J35" i="3" s="1"/>
  <c r="H36" i="3"/>
  <c r="I36" i="3"/>
  <c r="J36" i="3" s="1"/>
  <c r="H37" i="3"/>
  <c r="I37" i="3"/>
  <c r="J37" i="3" s="1"/>
  <c r="H38" i="3"/>
  <c r="I38" i="3"/>
  <c r="J38" i="3" s="1"/>
  <c r="I39" i="3"/>
  <c r="J39" i="3" s="1"/>
  <c r="H39" i="3"/>
  <c r="I40" i="3"/>
  <c r="J40" i="3" s="1"/>
  <c r="H40" i="3"/>
  <c r="I41" i="3"/>
  <c r="J41" i="3" s="1"/>
  <c r="H41" i="3"/>
  <c r="H42" i="3"/>
  <c r="I42" i="3"/>
  <c r="J42" i="3" s="1"/>
  <c r="H43" i="3"/>
  <c r="I43" i="3"/>
  <c r="J43" i="3" s="1"/>
  <c r="I44" i="3"/>
  <c r="J44" i="3" s="1"/>
  <c r="H44" i="3"/>
  <c r="I45" i="3"/>
  <c r="J45" i="3" s="1"/>
  <c r="H45" i="3"/>
  <c r="I46" i="3"/>
  <c r="J46" i="3" s="1"/>
  <c r="H46" i="3"/>
  <c r="H47" i="3"/>
  <c r="I47" i="3"/>
  <c r="J47" i="3" s="1"/>
  <c r="I48" i="3"/>
  <c r="J48" i="3" s="1"/>
  <c r="H48" i="3"/>
  <c r="H49" i="3"/>
  <c r="I49" i="3"/>
  <c r="J49" i="3" s="1"/>
  <c r="I50" i="3"/>
  <c r="J50" i="3" s="1"/>
  <c r="H50" i="3"/>
  <c r="I51" i="3"/>
  <c r="J51" i="3" s="1"/>
  <c r="H51" i="3"/>
  <c r="I52" i="3"/>
  <c r="J52" i="3" s="1"/>
  <c r="H52" i="3"/>
  <c r="I53" i="3"/>
  <c r="J53" i="3" s="1"/>
  <c r="H53" i="3"/>
  <c r="I54" i="3"/>
  <c r="J54" i="3" s="1"/>
  <c r="H54" i="3"/>
  <c r="H55" i="3"/>
  <c r="I55" i="3"/>
  <c r="J55" i="3" s="1"/>
  <c r="H56" i="3"/>
  <c r="I56" i="3"/>
  <c r="J56" i="3" s="1"/>
  <c r="I57" i="3"/>
  <c r="J57" i="3" s="1"/>
  <c r="H57" i="3"/>
  <c r="I58" i="3"/>
  <c r="J58" i="3" s="1"/>
  <c r="H58" i="3"/>
  <c r="I59" i="3"/>
  <c r="J59" i="3" s="1"/>
  <c r="H59" i="3"/>
  <c r="H60" i="3"/>
  <c r="I60" i="3"/>
  <c r="J60" i="3" s="1"/>
  <c r="I61" i="3"/>
  <c r="J61" i="3" s="1"/>
  <c r="H61" i="3"/>
  <c r="H62" i="3"/>
  <c r="I62" i="3"/>
  <c r="J62" i="3" s="1"/>
  <c r="I63" i="3"/>
  <c r="J63" i="3" s="1"/>
  <c r="H63" i="3"/>
  <c r="H64" i="3"/>
  <c r="I64" i="3"/>
  <c r="J64" i="3" s="1"/>
  <c r="I65" i="3"/>
  <c r="J65" i="3" s="1"/>
  <c r="H65" i="3"/>
  <c r="H66" i="3"/>
  <c r="I66" i="3"/>
  <c r="J66" i="3" s="1"/>
  <c r="H67" i="3"/>
  <c r="I67" i="3"/>
  <c r="J67" i="3" s="1"/>
  <c r="H68" i="3"/>
  <c r="I68" i="3"/>
  <c r="J68" i="3" s="1"/>
  <c r="H69" i="3"/>
  <c r="I69" i="3"/>
  <c r="J69" i="3" s="1"/>
  <c r="I70" i="3"/>
  <c r="J70" i="3" s="1"/>
  <c r="H70" i="3"/>
  <c r="H71" i="3"/>
  <c r="I71" i="3"/>
  <c r="J71" i="3" s="1"/>
  <c r="I72" i="3"/>
  <c r="J72" i="3" s="1"/>
  <c r="H72" i="3"/>
  <c r="I73" i="3"/>
  <c r="J73" i="3" s="1"/>
  <c r="H73" i="3"/>
  <c r="I74" i="3"/>
  <c r="J74" i="3" s="1"/>
  <c r="H74" i="3"/>
  <c r="H75" i="3"/>
  <c r="I75" i="3"/>
  <c r="J75" i="3" s="1"/>
  <c r="H76" i="3"/>
  <c r="I76" i="3"/>
  <c r="J76" i="3" s="1"/>
  <c r="I77" i="3"/>
  <c r="J77" i="3" s="1"/>
  <c r="H77" i="3"/>
  <c r="H78" i="3"/>
  <c r="I78" i="3"/>
  <c r="J78" i="3" s="1"/>
  <c r="I79" i="3"/>
  <c r="J79" i="3" s="1"/>
  <c r="H79" i="3"/>
  <c r="I80" i="3"/>
  <c r="J80" i="3" s="1"/>
  <c r="H80" i="3"/>
  <c r="I81" i="3"/>
  <c r="J81" i="3" s="1"/>
  <c r="H81" i="3"/>
  <c r="H82" i="3"/>
  <c r="I82" i="3"/>
  <c r="J82" i="3" s="1"/>
  <c r="H83" i="3"/>
  <c r="I83" i="3"/>
  <c r="J83" i="3" s="1"/>
  <c r="H84" i="3"/>
  <c r="I84" i="3"/>
  <c r="J84" i="3" s="1"/>
  <c r="H85" i="3"/>
  <c r="I85" i="3"/>
  <c r="J85" i="3" s="1"/>
  <c r="H86" i="3"/>
  <c r="I86" i="3"/>
  <c r="J86" i="3" s="1"/>
  <c r="I87" i="3"/>
  <c r="J87" i="3" s="1"/>
  <c r="H87" i="3"/>
  <c r="I88" i="3"/>
  <c r="J88" i="3" s="1"/>
  <c r="H88" i="3"/>
  <c r="H89" i="3"/>
  <c r="I89" i="3"/>
  <c r="J89" i="3" s="1"/>
  <c r="H90" i="3"/>
  <c r="I90" i="3"/>
  <c r="J90" i="3" s="1"/>
  <c r="I91" i="3"/>
  <c r="J91" i="3" s="1"/>
  <c r="H91" i="3"/>
  <c r="H92" i="3"/>
  <c r="I92" i="3"/>
  <c r="J92" i="3" s="1"/>
  <c r="H93" i="3"/>
  <c r="I93" i="3"/>
  <c r="J93" i="3" s="1"/>
  <c r="H94" i="3"/>
  <c r="I94" i="3"/>
  <c r="J94" i="3" s="1"/>
  <c r="I95" i="3"/>
  <c r="J95" i="3" s="1"/>
  <c r="H95" i="3"/>
  <c r="H96" i="3"/>
  <c r="I96" i="3"/>
  <c r="J96" i="3" s="1"/>
  <c r="I97" i="3"/>
  <c r="J97" i="3" s="1"/>
  <c r="H97" i="3"/>
  <c r="H98" i="3"/>
  <c r="I98" i="3"/>
  <c r="J98" i="3" s="1"/>
  <c r="H99" i="3"/>
  <c r="I99" i="3"/>
  <c r="J99" i="3" s="1"/>
  <c r="I100" i="3"/>
  <c r="J100" i="3" s="1"/>
  <c r="H100" i="3"/>
  <c r="I101" i="3"/>
  <c r="J101" i="3" s="1"/>
  <c r="H101" i="3"/>
  <c r="H102" i="3"/>
  <c r="I102" i="3"/>
  <c r="J102" i="3" s="1"/>
  <c r="H103" i="3"/>
  <c r="I103" i="3"/>
  <c r="J103" i="3" s="1"/>
  <c r="H104" i="3"/>
  <c r="I104" i="3"/>
  <c r="J104" i="3" s="1"/>
  <c r="H105" i="3"/>
  <c r="I105" i="3"/>
  <c r="J105" i="3" s="1"/>
  <c r="H106" i="3"/>
  <c r="I106" i="3"/>
  <c r="J106" i="3" s="1"/>
  <c r="I107" i="3"/>
  <c r="J107" i="3" s="1"/>
  <c r="H107" i="3"/>
  <c r="I108" i="3"/>
  <c r="J108" i="3" s="1"/>
  <c r="H108" i="3"/>
  <c r="H109" i="3"/>
  <c r="I109" i="3"/>
  <c r="J109" i="3" s="1"/>
  <c r="I110" i="3"/>
  <c r="J110" i="3" s="1"/>
  <c r="H110" i="3"/>
  <c r="H111" i="3"/>
  <c r="I111" i="3"/>
  <c r="J111" i="3" s="1"/>
  <c r="H112" i="3"/>
  <c r="I112" i="3"/>
  <c r="J112" i="3" s="1"/>
  <c r="I113" i="3"/>
  <c r="J113" i="3" s="1"/>
  <c r="H113" i="3"/>
  <c r="H114" i="3"/>
  <c r="I114" i="3"/>
  <c r="J114" i="3" s="1"/>
  <c r="H115" i="3"/>
  <c r="I115" i="3"/>
  <c r="J115" i="3" s="1"/>
  <c r="H116" i="3"/>
  <c r="I116" i="3"/>
  <c r="J116" i="3" s="1"/>
  <c r="H117" i="3"/>
  <c r="I117" i="3"/>
  <c r="J117" i="3" s="1"/>
  <c r="I118" i="3"/>
  <c r="J118" i="3" s="1"/>
  <c r="H118" i="3"/>
  <c r="I119" i="3"/>
  <c r="J119" i="3" s="1"/>
  <c r="H119" i="3"/>
  <c r="H120" i="3"/>
  <c r="I120" i="3"/>
  <c r="J120" i="3" s="1"/>
  <c r="I121" i="3"/>
  <c r="J121" i="3" s="1"/>
  <c r="H121" i="3"/>
  <c r="I122" i="3"/>
  <c r="J122" i="3" s="1"/>
  <c r="H122" i="3"/>
  <c r="I123" i="3"/>
  <c r="J123" i="3" s="1"/>
  <c r="H123" i="3"/>
  <c r="H124" i="3"/>
  <c r="I124" i="3"/>
  <c r="J124" i="3" s="1"/>
  <c r="H125" i="3"/>
  <c r="I125" i="3"/>
  <c r="J125" i="3" s="1"/>
  <c r="H126" i="3"/>
  <c r="I126" i="3"/>
  <c r="J126" i="3" s="1"/>
  <c r="I127" i="3"/>
  <c r="J127" i="3" s="1"/>
  <c r="H127" i="3"/>
  <c r="I128" i="3"/>
  <c r="J128" i="3" s="1"/>
  <c r="H128" i="3"/>
  <c r="H129" i="3"/>
  <c r="I129" i="3"/>
  <c r="J129" i="3" s="1"/>
  <c r="H130" i="3"/>
  <c r="I130" i="3"/>
  <c r="J130" i="3" s="1"/>
  <c r="H131" i="3"/>
  <c r="I131" i="3"/>
  <c r="J131" i="3" s="1"/>
  <c r="I132" i="3"/>
  <c r="J132" i="3" s="1"/>
  <c r="H132" i="3"/>
  <c r="I133" i="3"/>
  <c r="J133" i="3" s="1"/>
  <c r="H133" i="3"/>
  <c r="I134" i="3"/>
  <c r="J134" i="3" s="1"/>
  <c r="H134" i="3"/>
  <c r="H135" i="3"/>
  <c r="I135" i="3"/>
  <c r="J135" i="3" s="1"/>
  <c r="I136" i="3"/>
  <c r="J136" i="3" s="1"/>
  <c r="H136" i="3"/>
  <c r="H137" i="3"/>
  <c r="I137" i="3"/>
  <c r="J137" i="3" s="1"/>
  <c r="H138" i="3"/>
  <c r="I138" i="3"/>
  <c r="J138" i="3" s="1"/>
  <c r="I139" i="3"/>
  <c r="J139" i="3" s="1"/>
  <c r="H139" i="3"/>
  <c r="I140" i="3"/>
  <c r="J140" i="3" s="1"/>
  <c r="H140" i="3"/>
  <c r="H141" i="3"/>
  <c r="I141" i="3"/>
  <c r="J141" i="3" s="1"/>
  <c r="H5" i="3"/>
  <c r="L6" i="3" l="1"/>
  <c r="M6" i="3" s="1"/>
  <c r="K6" i="3"/>
  <c r="L7" i="3"/>
  <c r="M7" i="3" s="1"/>
  <c r="K7" i="3"/>
  <c r="L8" i="3"/>
  <c r="M8" i="3" s="1"/>
  <c r="K8" i="3"/>
  <c r="L9" i="3"/>
  <c r="M9" i="3" s="1"/>
  <c r="K9" i="3"/>
  <c r="L10" i="3"/>
  <c r="M10" i="3" s="1"/>
  <c r="K10" i="3"/>
  <c r="L11" i="3"/>
  <c r="M11" i="3" s="1"/>
  <c r="K11" i="3"/>
  <c r="L12" i="3"/>
  <c r="M12" i="3" s="1"/>
  <c r="K12" i="3"/>
  <c r="L13" i="3"/>
  <c r="M13" i="3" s="1"/>
  <c r="K13" i="3"/>
  <c r="L14" i="3"/>
  <c r="M14" i="3" s="1"/>
  <c r="K14" i="3"/>
  <c r="L15" i="3"/>
  <c r="M15" i="3" s="1"/>
  <c r="K15" i="3"/>
  <c r="L16" i="3"/>
  <c r="M16" i="3" s="1"/>
  <c r="K16" i="3"/>
  <c r="L17" i="3"/>
  <c r="M17" i="3" s="1"/>
  <c r="K17" i="3"/>
  <c r="L18" i="3"/>
  <c r="M18" i="3" s="1"/>
  <c r="K18" i="3"/>
  <c r="L19" i="3"/>
  <c r="M19" i="3" s="1"/>
  <c r="K19" i="3"/>
  <c r="L20" i="3"/>
  <c r="M20" i="3" s="1"/>
  <c r="K20" i="3"/>
  <c r="L21" i="3"/>
  <c r="M21" i="3" s="1"/>
  <c r="K21" i="3"/>
  <c r="L22" i="3"/>
  <c r="M22" i="3" s="1"/>
  <c r="K22" i="3"/>
  <c r="L23" i="3"/>
  <c r="M23" i="3" s="1"/>
  <c r="K23" i="3"/>
  <c r="L24" i="3"/>
  <c r="M24" i="3" s="1"/>
  <c r="K24" i="3"/>
  <c r="L25" i="3"/>
  <c r="M25" i="3" s="1"/>
  <c r="K25" i="3"/>
  <c r="L26" i="3"/>
  <c r="M26" i="3" s="1"/>
  <c r="K26" i="3"/>
  <c r="L27" i="3"/>
  <c r="M27" i="3" s="1"/>
  <c r="K27" i="3"/>
  <c r="L28" i="3"/>
  <c r="M28" i="3" s="1"/>
  <c r="K28" i="3"/>
  <c r="L29" i="3"/>
  <c r="M29" i="3" s="1"/>
  <c r="K29" i="3"/>
  <c r="L30" i="3"/>
  <c r="M30" i="3" s="1"/>
  <c r="K30" i="3"/>
  <c r="L31" i="3"/>
  <c r="M31" i="3" s="1"/>
  <c r="K31" i="3"/>
  <c r="L32" i="3"/>
  <c r="M32" i="3" s="1"/>
  <c r="K32" i="3"/>
  <c r="L33" i="3"/>
  <c r="M33" i="3" s="1"/>
  <c r="K33" i="3"/>
  <c r="L34" i="3"/>
  <c r="M34" i="3" s="1"/>
  <c r="K34" i="3"/>
  <c r="L35" i="3"/>
  <c r="M35" i="3" s="1"/>
  <c r="K35" i="3"/>
  <c r="L36" i="3"/>
  <c r="M36" i="3" s="1"/>
  <c r="K36" i="3"/>
  <c r="L37" i="3"/>
  <c r="M37" i="3" s="1"/>
  <c r="K37" i="3"/>
  <c r="L38" i="3"/>
  <c r="M38" i="3" s="1"/>
  <c r="K38" i="3"/>
  <c r="L39" i="3"/>
  <c r="M39" i="3" s="1"/>
  <c r="K39" i="3"/>
  <c r="L40" i="3"/>
  <c r="M40" i="3" s="1"/>
  <c r="K40" i="3"/>
  <c r="L41" i="3"/>
  <c r="M41" i="3" s="1"/>
  <c r="K41" i="3"/>
  <c r="L42" i="3"/>
  <c r="M42" i="3" s="1"/>
  <c r="K42" i="3"/>
  <c r="L43" i="3"/>
  <c r="M43" i="3" s="1"/>
  <c r="K43" i="3"/>
  <c r="L44" i="3"/>
  <c r="M44" i="3" s="1"/>
  <c r="K44" i="3"/>
  <c r="L45" i="3"/>
  <c r="M45" i="3" s="1"/>
  <c r="K45" i="3"/>
  <c r="K46" i="3"/>
  <c r="L46" i="3"/>
  <c r="M46" i="3" s="1"/>
  <c r="K47" i="3"/>
  <c r="L47" i="3"/>
  <c r="M47" i="3" s="1"/>
  <c r="L48" i="3"/>
  <c r="M48" i="3" s="1"/>
  <c r="K48" i="3"/>
  <c r="L49" i="3"/>
  <c r="M49" i="3" s="1"/>
  <c r="K49" i="3"/>
  <c r="L50" i="3"/>
  <c r="M50" i="3" s="1"/>
  <c r="K50" i="3"/>
  <c r="L51" i="3"/>
  <c r="M51" i="3" s="1"/>
  <c r="K51" i="3"/>
  <c r="L52" i="3"/>
  <c r="M52" i="3" s="1"/>
  <c r="K52" i="3"/>
  <c r="L53" i="3"/>
  <c r="M53" i="3" s="1"/>
  <c r="K53" i="3"/>
  <c r="L54" i="3"/>
  <c r="M54" i="3" s="1"/>
  <c r="K54" i="3"/>
  <c r="L55" i="3"/>
  <c r="M55" i="3" s="1"/>
  <c r="K55" i="3"/>
  <c r="L56" i="3"/>
  <c r="M56" i="3" s="1"/>
  <c r="K56" i="3"/>
  <c r="L57" i="3"/>
  <c r="M57" i="3" s="1"/>
  <c r="K57" i="3"/>
  <c r="L58" i="3"/>
  <c r="M58" i="3" s="1"/>
  <c r="K58" i="3"/>
  <c r="L59" i="3"/>
  <c r="M59" i="3" s="1"/>
  <c r="K59" i="3"/>
  <c r="L60" i="3"/>
  <c r="M60" i="3" s="1"/>
  <c r="K60" i="3"/>
  <c r="L61" i="3"/>
  <c r="M61" i="3" s="1"/>
  <c r="K61" i="3"/>
  <c r="K62" i="3"/>
  <c r="L62" i="3"/>
  <c r="M62" i="3" s="1"/>
  <c r="L63" i="3"/>
  <c r="M63" i="3" s="1"/>
  <c r="K63" i="3"/>
  <c r="L64" i="3"/>
  <c r="M64" i="3" s="1"/>
  <c r="K64" i="3"/>
  <c r="L65" i="3"/>
  <c r="M65" i="3" s="1"/>
  <c r="K65" i="3"/>
  <c r="K66" i="3"/>
  <c r="L66" i="3"/>
  <c r="M66" i="3" s="1"/>
  <c r="L67" i="3"/>
  <c r="M67" i="3" s="1"/>
  <c r="K67" i="3"/>
  <c r="K68" i="3"/>
  <c r="L68" i="3"/>
  <c r="M68" i="3" s="1"/>
  <c r="L69" i="3"/>
  <c r="M69" i="3" s="1"/>
  <c r="K69" i="3"/>
  <c r="L70" i="3"/>
  <c r="M70" i="3" s="1"/>
  <c r="K70" i="3"/>
  <c r="L71" i="3"/>
  <c r="M71" i="3" s="1"/>
  <c r="K71" i="3"/>
  <c r="K72" i="3"/>
  <c r="L72" i="3"/>
  <c r="M72" i="3" s="1"/>
  <c r="L73" i="3"/>
  <c r="M73" i="3" s="1"/>
  <c r="K73" i="3"/>
  <c r="L74" i="3"/>
  <c r="M74" i="3" s="1"/>
  <c r="K74" i="3"/>
  <c r="K75" i="3"/>
  <c r="L75" i="3"/>
  <c r="M75" i="3" s="1"/>
  <c r="K76" i="3"/>
  <c r="L76" i="3"/>
  <c r="M76" i="3" s="1"/>
  <c r="K77" i="3"/>
  <c r="L77" i="3"/>
  <c r="M77" i="3" s="1"/>
  <c r="L78" i="3"/>
  <c r="M78" i="3" s="1"/>
  <c r="K78" i="3"/>
  <c r="L79" i="3"/>
  <c r="M79" i="3" s="1"/>
  <c r="K79" i="3"/>
  <c r="L80" i="3"/>
  <c r="M80" i="3" s="1"/>
  <c r="K80" i="3"/>
  <c r="L81" i="3"/>
  <c r="M81" i="3" s="1"/>
  <c r="K81" i="3"/>
  <c r="L82" i="3"/>
  <c r="M82" i="3" s="1"/>
  <c r="K82" i="3"/>
  <c r="L83" i="3"/>
  <c r="M83" i="3" s="1"/>
  <c r="K83" i="3"/>
  <c r="L84" i="3"/>
  <c r="M84" i="3" s="1"/>
  <c r="K84" i="3"/>
  <c r="L85" i="3"/>
  <c r="M85" i="3" s="1"/>
  <c r="K85" i="3"/>
  <c r="L86" i="3"/>
  <c r="M86" i="3" s="1"/>
  <c r="K86" i="3"/>
  <c r="L87" i="3"/>
  <c r="M87" i="3" s="1"/>
  <c r="K87" i="3"/>
  <c r="L88" i="3"/>
  <c r="M88" i="3" s="1"/>
  <c r="K88" i="3"/>
  <c r="L89" i="3"/>
  <c r="M89" i="3" s="1"/>
  <c r="K89" i="3"/>
  <c r="L90" i="3"/>
  <c r="M90" i="3" s="1"/>
  <c r="K90" i="3"/>
  <c r="L91" i="3"/>
  <c r="M91" i="3" s="1"/>
  <c r="K91" i="3"/>
  <c r="L92" i="3"/>
  <c r="M92" i="3" s="1"/>
  <c r="K92" i="3"/>
  <c r="L93" i="3"/>
  <c r="M93" i="3" s="1"/>
  <c r="K93" i="3"/>
  <c r="L94" i="3"/>
  <c r="M94" i="3" s="1"/>
  <c r="K94" i="3"/>
  <c r="L95" i="3"/>
  <c r="M95" i="3" s="1"/>
  <c r="K95" i="3"/>
  <c r="L96" i="3"/>
  <c r="M96" i="3" s="1"/>
  <c r="K96" i="3"/>
  <c r="L97" i="3"/>
  <c r="M97" i="3" s="1"/>
  <c r="K97" i="3"/>
  <c r="L98" i="3"/>
  <c r="M98" i="3" s="1"/>
  <c r="K98" i="3"/>
  <c r="L99" i="3"/>
  <c r="M99" i="3" s="1"/>
  <c r="K99" i="3"/>
  <c r="L100" i="3"/>
  <c r="M100" i="3" s="1"/>
  <c r="K100" i="3"/>
  <c r="L101" i="3"/>
  <c r="M101" i="3" s="1"/>
  <c r="K101" i="3"/>
  <c r="L102" i="3"/>
  <c r="M102" i="3" s="1"/>
  <c r="K102" i="3"/>
  <c r="L103" i="3"/>
  <c r="M103" i="3" s="1"/>
  <c r="K103" i="3"/>
  <c r="L104" i="3"/>
  <c r="M104" i="3" s="1"/>
  <c r="K104" i="3"/>
  <c r="L105" i="3"/>
  <c r="M105" i="3" s="1"/>
  <c r="K105" i="3"/>
  <c r="L106" i="3"/>
  <c r="M106" i="3" s="1"/>
  <c r="K106" i="3"/>
  <c r="L107" i="3"/>
  <c r="M107" i="3" s="1"/>
  <c r="K107" i="3"/>
  <c r="L108" i="3"/>
  <c r="M108" i="3" s="1"/>
  <c r="K108" i="3"/>
  <c r="L109" i="3"/>
  <c r="M109" i="3" s="1"/>
  <c r="K109" i="3"/>
  <c r="L110" i="3"/>
  <c r="M110" i="3" s="1"/>
  <c r="K110" i="3"/>
  <c r="L111" i="3"/>
  <c r="M111" i="3" s="1"/>
  <c r="K111" i="3"/>
  <c r="L112" i="3"/>
  <c r="M112" i="3" s="1"/>
  <c r="K112" i="3"/>
  <c r="L113" i="3"/>
  <c r="M113" i="3" s="1"/>
  <c r="K113" i="3"/>
  <c r="L114" i="3"/>
  <c r="M114" i="3" s="1"/>
  <c r="K114" i="3"/>
  <c r="L115" i="3"/>
  <c r="M115" i="3" s="1"/>
  <c r="K115" i="3"/>
  <c r="L116" i="3"/>
  <c r="M116" i="3" s="1"/>
  <c r="K116" i="3"/>
  <c r="L117" i="3"/>
  <c r="M117" i="3" s="1"/>
  <c r="K117" i="3"/>
  <c r="L118" i="3"/>
  <c r="M118" i="3" s="1"/>
  <c r="K118" i="3"/>
  <c r="L119" i="3"/>
  <c r="M119" i="3" s="1"/>
  <c r="K119" i="3"/>
  <c r="L120" i="3"/>
  <c r="M120" i="3" s="1"/>
  <c r="K120" i="3"/>
  <c r="L121" i="3"/>
  <c r="M121" i="3" s="1"/>
  <c r="K121" i="3"/>
  <c r="L122" i="3"/>
  <c r="M122" i="3" s="1"/>
  <c r="K122" i="3"/>
  <c r="L123" i="3"/>
  <c r="M123" i="3" s="1"/>
  <c r="K123" i="3"/>
  <c r="L124" i="3"/>
  <c r="M124" i="3" s="1"/>
  <c r="K124" i="3"/>
  <c r="L125" i="3"/>
  <c r="M125" i="3" s="1"/>
  <c r="K125" i="3"/>
  <c r="L126" i="3"/>
  <c r="M126" i="3" s="1"/>
  <c r="K126" i="3"/>
  <c r="L127" i="3"/>
  <c r="M127" i="3" s="1"/>
  <c r="K127" i="3"/>
  <c r="L128" i="3"/>
  <c r="M128" i="3" s="1"/>
  <c r="K128" i="3"/>
  <c r="K129" i="3"/>
  <c r="L129" i="3"/>
  <c r="M129" i="3" s="1"/>
  <c r="K130" i="3"/>
  <c r="L130" i="3"/>
  <c r="M130" i="3" s="1"/>
  <c r="L131" i="3"/>
  <c r="M131" i="3" s="1"/>
  <c r="K131" i="3"/>
  <c r="L132" i="3"/>
  <c r="M132" i="3" s="1"/>
  <c r="K132" i="3"/>
  <c r="K133" i="3"/>
  <c r="L133" i="3"/>
  <c r="M133" i="3" s="1"/>
  <c r="L134" i="3"/>
  <c r="M134" i="3" s="1"/>
  <c r="K134" i="3"/>
  <c r="K135" i="3"/>
  <c r="L135" i="3"/>
  <c r="M135" i="3" s="1"/>
  <c r="L136" i="3"/>
  <c r="M136" i="3" s="1"/>
  <c r="K136" i="3"/>
  <c r="K137" i="3"/>
  <c r="L137" i="3"/>
  <c r="M137" i="3" s="1"/>
  <c r="K138" i="3"/>
  <c r="L138" i="3"/>
  <c r="M138" i="3" s="1"/>
  <c r="K139" i="3"/>
  <c r="L139" i="3"/>
  <c r="M139" i="3" s="1"/>
  <c r="L140" i="3"/>
  <c r="M140" i="3" s="1"/>
  <c r="K140" i="3"/>
  <c r="L141" i="3"/>
  <c r="M141" i="3" s="1"/>
  <c r="K141" i="3"/>
  <c r="O6" i="3" l="1"/>
  <c r="P6" i="3" s="1"/>
  <c r="N6" i="3"/>
  <c r="O7" i="3"/>
  <c r="P7" i="3" s="1"/>
  <c r="N7" i="3"/>
  <c r="O8" i="3"/>
  <c r="P8" i="3" s="1"/>
  <c r="N8" i="3"/>
  <c r="O9" i="3"/>
  <c r="P9" i="3" s="1"/>
  <c r="N9" i="3"/>
  <c r="O10" i="3"/>
  <c r="P10" i="3" s="1"/>
  <c r="N10" i="3"/>
  <c r="O11" i="3"/>
  <c r="P11" i="3" s="1"/>
  <c r="N11" i="3"/>
  <c r="O12" i="3"/>
  <c r="P12" i="3" s="1"/>
  <c r="N12" i="3"/>
  <c r="O13" i="3"/>
  <c r="P13" i="3" s="1"/>
  <c r="N13" i="3"/>
  <c r="O14" i="3"/>
  <c r="P14" i="3" s="1"/>
  <c r="N14" i="3"/>
  <c r="O15" i="3"/>
  <c r="P15" i="3" s="1"/>
  <c r="N15" i="3"/>
  <c r="O16" i="3"/>
  <c r="P16" i="3" s="1"/>
  <c r="N16" i="3"/>
  <c r="O17" i="3"/>
  <c r="P17" i="3" s="1"/>
  <c r="N17" i="3"/>
  <c r="O18" i="3"/>
  <c r="P18" i="3" s="1"/>
  <c r="N18" i="3"/>
  <c r="O19" i="3"/>
  <c r="P19" i="3" s="1"/>
  <c r="N19" i="3"/>
  <c r="O20" i="3"/>
  <c r="P20" i="3" s="1"/>
  <c r="N20" i="3"/>
  <c r="O21" i="3"/>
  <c r="P21" i="3" s="1"/>
  <c r="N21" i="3"/>
  <c r="O22" i="3"/>
  <c r="P22" i="3" s="1"/>
  <c r="N22" i="3"/>
  <c r="O23" i="3"/>
  <c r="P23" i="3" s="1"/>
  <c r="N23" i="3"/>
  <c r="O24" i="3"/>
  <c r="P24" i="3" s="1"/>
  <c r="N24" i="3"/>
  <c r="O25" i="3"/>
  <c r="P25" i="3" s="1"/>
  <c r="N25" i="3"/>
  <c r="O26" i="3"/>
  <c r="P26" i="3" s="1"/>
  <c r="N26" i="3"/>
  <c r="O27" i="3"/>
  <c r="P27" i="3" s="1"/>
  <c r="N27" i="3"/>
  <c r="O28" i="3"/>
  <c r="P28" i="3" s="1"/>
  <c r="N28" i="3"/>
  <c r="O29" i="3"/>
  <c r="P29" i="3" s="1"/>
  <c r="N29" i="3"/>
  <c r="O30" i="3"/>
  <c r="P30" i="3" s="1"/>
  <c r="N30" i="3"/>
  <c r="O31" i="3"/>
  <c r="P31" i="3" s="1"/>
  <c r="N31" i="3"/>
  <c r="O32" i="3"/>
  <c r="P32" i="3" s="1"/>
  <c r="N32" i="3"/>
  <c r="O33" i="3"/>
  <c r="P33" i="3" s="1"/>
  <c r="N33" i="3"/>
  <c r="O34" i="3"/>
  <c r="P34" i="3" s="1"/>
  <c r="N34" i="3"/>
  <c r="O35" i="3"/>
  <c r="P35" i="3" s="1"/>
  <c r="N35" i="3"/>
  <c r="O36" i="3"/>
  <c r="P36" i="3" s="1"/>
  <c r="N36" i="3"/>
  <c r="O37" i="3"/>
  <c r="P37" i="3" s="1"/>
  <c r="N37" i="3"/>
  <c r="O38" i="3"/>
  <c r="P38" i="3" s="1"/>
  <c r="N38" i="3"/>
  <c r="O39" i="3"/>
  <c r="P39" i="3" s="1"/>
  <c r="N39" i="3"/>
  <c r="O40" i="3"/>
  <c r="P40" i="3" s="1"/>
  <c r="N40" i="3"/>
  <c r="O41" i="3"/>
  <c r="P41" i="3" s="1"/>
  <c r="N41" i="3"/>
  <c r="O42" i="3"/>
  <c r="P42" i="3" s="1"/>
  <c r="N42" i="3"/>
  <c r="O43" i="3"/>
  <c r="P43" i="3" s="1"/>
  <c r="N43" i="3"/>
  <c r="O44" i="3"/>
  <c r="P44" i="3" s="1"/>
  <c r="N44" i="3"/>
  <c r="O45" i="3"/>
  <c r="P45" i="3" s="1"/>
  <c r="N45" i="3"/>
  <c r="N46" i="3"/>
  <c r="O46" i="3"/>
  <c r="P46" i="3" s="1"/>
  <c r="N47" i="3"/>
  <c r="O47" i="3"/>
  <c r="P47" i="3" s="1"/>
  <c r="O48" i="3"/>
  <c r="P48" i="3" s="1"/>
  <c r="N48" i="3"/>
  <c r="O49" i="3"/>
  <c r="P49" i="3" s="1"/>
  <c r="N49" i="3"/>
  <c r="O50" i="3"/>
  <c r="P50" i="3" s="1"/>
  <c r="N50" i="3"/>
  <c r="O51" i="3"/>
  <c r="P51" i="3" s="1"/>
  <c r="N51" i="3"/>
  <c r="O52" i="3"/>
  <c r="P52" i="3" s="1"/>
  <c r="N52" i="3"/>
  <c r="O53" i="3"/>
  <c r="P53" i="3" s="1"/>
  <c r="N53" i="3"/>
  <c r="O54" i="3"/>
  <c r="P54" i="3" s="1"/>
  <c r="N54" i="3"/>
  <c r="O55" i="3"/>
  <c r="P55" i="3" s="1"/>
  <c r="N55" i="3"/>
  <c r="O56" i="3"/>
  <c r="P56" i="3" s="1"/>
  <c r="N56" i="3"/>
  <c r="O57" i="3"/>
  <c r="P57" i="3" s="1"/>
  <c r="N57" i="3"/>
  <c r="O58" i="3"/>
  <c r="P58" i="3" s="1"/>
  <c r="N58" i="3"/>
  <c r="O59" i="3"/>
  <c r="P59" i="3" s="1"/>
  <c r="N59" i="3"/>
  <c r="O60" i="3"/>
  <c r="P60" i="3" s="1"/>
  <c r="N60" i="3"/>
  <c r="N61" i="3"/>
  <c r="O61" i="3"/>
  <c r="P61" i="3" s="1"/>
  <c r="N62" i="3"/>
  <c r="O62" i="3"/>
  <c r="P62" i="3" s="1"/>
  <c r="N63" i="3"/>
  <c r="O63" i="3"/>
  <c r="P63" i="3" s="1"/>
  <c r="O64" i="3"/>
  <c r="P64" i="3" s="1"/>
  <c r="N64" i="3"/>
  <c r="O65" i="3"/>
  <c r="P65" i="3" s="1"/>
  <c r="N65" i="3"/>
  <c r="O66" i="3"/>
  <c r="P66" i="3" s="1"/>
  <c r="N66" i="3"/>
  <c r="O67" i="3"/>
  <c r="P67" i="3" s="1"/>
  <c r="N67" i="3"/>
  <c r="N68" i="3"/>
  <c r="O68" i="3"/>
  <c r="P68" i="3" s="1"/>
  <c r="O69" i="3"/>
  <c r="P69" i="3" s="1"/>
  <c r="N69" i="3"/>
  <c r="N70" i="3"/>
  <c r="O70" i="3"/>
  <c r="P70" i="3" s="1"/>
  <c r="N71" i="3"/>
  <c r="O71" i="3"/>
  <c r="P71" i="3" s="1"/>
  <c r="O72" i="3"/>
  <c r="P72" i="3" s="1"/>
  <c r="N72" i="3"/>
  <c r="N73" i="3"/>
  <c r="O73" i="3"/>
  <c r="P73" i="3" s="1"/>
  <c r="O74" i="3"/>
  <c r="P74" i="3" s="1"/>
  <c r="N74" i="3"/>
  <c r="N75" i="3"/>
  <c r="O75" i="3"/>
  <c r="P75" i="3" s="1"/>
  <c r="N76" i="3"/>
  <c r="O76" i="3"/>
  <c r="P76" i="3" s="1"/>
  <c r="O77" i="3"/>
  <c r="P77" i="3" s="1"/>
  <c r="N77" i="3"/>
  <c r="O78" i="3"/>
  <c r="P78" i="3" s="1"/>
  <c r="N78" i="3"/>
  <c r="O79" i="3"/>
  <c r="P79" i="3" s="1"/>
  <c r="N79" i="3"/>
  <c r="O80" i="3"/>
  <c r="P80" i="3" s="1"/>
  <c r="N80" i="3"/>
  <c r="O81" i="3"/>
  <c r="P81" i="3" s="1"/>
  <c r="N81" i="3"/>
  <c r="O82" i="3"/>
  <c r="P82" i="3" s="1"/>
  <c r="N82" i="3"/>
  <c r="O83" i="3"/>
  <c r="P83" i="3" s="1"/>
  <c r="N83" i="3"/>
  <c r="O84" i="3"/>
  <c r="P84" i="3" s="1"/>
  <c r="N84" i="3"/>
  <c r="O85" i="3"/>
  <c r="P85" i="3" s="1"/>
  <c r="N85" i="3"/>
  <c r="O86" i="3"/>
  <c r="P86" i="3" s="1"/>
  <c r="N86" i="3"/>
  <c r="O87" i="3"/>
  <c r="P87" i="3" s="1"/>
  <c r="N87" i="3"/>
  <c r="O88" i="3"/>
  <c r="P88" i="3" s="1"/>
  <c r="N88" i="3"/>
  <c r="O89" i="3"/>
  <c r="P89" i="3" s="1"/>
  <c r="N89" i="3"/>
  <c r="O90" i="3"/>
  <c r="P90" i="3" s="1"/>
  <c r="N90" i="3"/>
  <c r="O91" i="3"/>
  <c r="P91" i="3" s="1"/>
  <c r="N91" i="3"/>
  <c r="O92" i="3"/>
  <c r="P92" i="3" s="1"/>
  <c r="N92" i="3"/>
  <c r="O93" i="3"/>
  <c r="P93" i="3" s="1"/>
  <c r="N93" i="3"/>
  <c r="O94" i="3"/>
  <c r="P94" i="3" s="1"/>
  <c r="N94" i="3"/>
  <c r="O95" i="3"/>
  <c r="P95" i="3" s="1"/>
  <c r="N95" i="3"/>
  <c r="O96" i="3"/>
  <c r="P96" i="3" s="1"/>
  <c r="N96" i="3"/>
  <c r="O97" i="3"/>
  <c r="P97" i="3" s="1"/>
  <c r="N97" i="3"/>
  <c r="O98" i="3"/>
  <c r="P98" i="3" s="1"/>
  <c r="N98" i="3"/>
  <c r="O99" i="3"/>
  <c r="P99" i="3" s="1"/>
  <c r="N99" i="3"/>
  <c r="O100" i="3"/>
  <c r="P100" i="3" s="1"/>
  <c r="N100" i="3"/>
  <c r="O101" i="3"/>
  <c r="P101" i="3" s="1"/>
  <c r="N101" i="3"/>
  <c r="O102" i="3"/>
  <c r="P102" i="3" s="1"/>
  <c r="N102" i="3"/>
  <c r="O103" i="3"/>
  <c r="P103" i="3" s="1"/>
  <c r="N103" i="3"/>
  <c r="O104" i="3"/>
  <c r="P104" i="3" s="1"/>
  <c r="N104" i="3"/>
  <c r="O105" i="3"/>
  <c r="P105" i="3" s="1"/>
  <c r="N105" i="3"/>
  <c r="O106" i="3"/>
  <c r="P106" i="3" s="1"/>
  <c r="N106" i="3"/>
  <c r="O107" i="3"/>
  <c r="P107" i="3" s="1"/>
  <c r="N107" i="3"/>
  <c r="O108" i="3"/>
  <c r="P108" i="3" s="1"/>
  <c r="N108" i="3"/>
  <c r="O109" i="3"/>
  <c r="P109" i="3" s="1"/>
  <c r="N109" i="3"/>
  <c r="O110" i="3"/>
  <c r="P110" i="3" s="1"/>
  <c r="N110" i="3"/>
  <c r="O111" i="3"/>
  <c r="P111" i="3" s="1"/>
  <c r="N111" i="3"/>
  <c r="O112" i="3"/>
  <c r="P112" i="3" s="1"/>
  <c r="N112" i="3"/>
  <c r="O113" i="3"/>
  <c r="P113" i="3" s="1"/>
  <c r="N113" i="3"/>
  <c r="O114" i="3"/>
  <c r="P114" i="3" s="1"/>
  <c r="N114" i="3"/>
  <c r="O115" i="3"/>
  <c r="P115" i="3" s="1"/>
  <c r="N115" i="3"/>
  <c r="O116" i="3"/>
  <c r="P116" i="3" s="1"/>
  <c r="N116" i="3"/>
  <c r="O117" i="3"/>
  <c r="P117" i="3" s="1"/>
  <c r="N117" i="3"/>
  <c r="O118" i="3"/>
  <c r="P118" i="3" s="1"/>
  <c r="N118" i="3"/>
  <c r="O119" i="3"/>
  <c r="P119" i="3" s="1"/>
  <c r="N119" i="3"/>
  <c r="O120" i="3"/>
  <c r="P120" i="3" s="1"/>
  <c r="N120" i="3"/>
  <c r="O121" i="3"/>
  <c r="P121" i="3" s="1"/>
  <c r="N121" i="3"/>
  <c r="O122" i="3"/>
  <c r="P122" i="3" s="1"/>
  <c r="N122" i="3"/>
  <c r="O123" i="3"/>
  <c r="P123" i="3" s="1"/>
  <c r="N123" i="3"/>
  <c r="O124" i="3"/>
  <c r="P124" i="3" s="1"/>
  <c r="N124" i="3"/>
  <c r="O125" i="3"/>
  <c r="P125" i="3" s="1"/>
  <c r="N125" i="3"/>
  <c r="O126" i="3"/>
  <c r="P126" i="3" s="1"/>
  <c r="N126" i="3"/>
  <c r="O127" i="3"/>
  <c r="P127" i="3" s="1"/>
  <c r="N127" i="3"/>
  <c r="N128" i="3"/>
  <c r="O128" i="3"/>
  <c r="P128" i="3" s="1"/>
  <c r="N129" i="3"/>
  <c r="O129" i="3"/>
  <c r="P129" i="3" s="1"/>
  <c r="O130" i="3"/>
  <c r="P130" i="3" s="1"/>
  <c r="N130" i="3"/>
  <c r="N131" i="3"/>
  <c r="O131" i="3"/>
  <c r="P131" i="3" s="1"/>
  <c r="O132" i="3"/>
  <c r="P132" i="3" s="1"/>
  <c r="N132" i="3"/>
  <c r="O133" i="3"/>
  <c r="P133" i="3" s="1"/>
  <c r="N133" i="3"/>
  <c r="O134" i="3"/>
  <c r="P134" i="3" s="1"/>
  <c r="N134" i="3"/>
  <c r="O135" i="3"/>
  <c r="P135" i="3" s="1"/>
  <c r="N135" i="3"/>
  <c r="O136" i="3"/>
  <c r="P136" i="3" s="1"/>
  <c r="N136" i="3"/>
  <c r="O137" i="3"/>
  <c r="P137" i="3" s="1"/>
  <c r="N137" i="3"/>
  <c r="N138" i="3"/>
  <c r="O138" i="3"/>
  <c r="P138" i="3" s="1"/>
  <c r="O139" i="3"/>
  <c r="P139" i="3" s="1"/>
  <c r="N139" i="3"/>
  <c r="N140" i="3"/>
  <c r="O140" i="3"/>
  <c r="P140" i="3" s="1"/>
  <c r="O141" i="3"/>
  <c r="P141" i="3" s="1"/>
  <c r="N141" i="3"/>
  <c r="R6" i="3" l="1"/>
  <c r="S6" i="3" s="1"/>
  <c r="Q6" i="3"/>
  <c r="R7" i="3"/>
  <c r="S7" i="3" s="1"/>
  <c r="Q7" i="3"/>
  <c r="R8" i="3"/>
  <c r="S8" i="3" s="1"/>
  <c r="Q8" i="3"/>
  <c r="R9" i="3"/>
  <c r="S9" i="3" s="1"/>
  <c r="Q9" i="3"/>
  <c r="R10" i="3"/>
  <c r="S10" i="3" s="1"/>
  <c r="Q10" i="3"/>
  <c r="R11" i="3"/>
  <c r="S11" i="3" s="1"/>
  <c r="Q11" i="3"/>
  <c r="R12" i="3"/>
  <c r="S12" i="3" s="1"/>
  <c r="Q12" i="3"/>
  <c r="R13" i="3"/>
  <c r="S13" i="3" s="1"/>
  <c r="Q13" i="3"/>
  <c r="R14" i="3"/>
  <c r="S14" i="3" s="1"/>
  <c r="Q14" i="3"/>
  <c r="R15" i="3"/>
  <c r="S15" i="3" s="1"/>
  <c r="Q15" i="3"/>
  <c r="R16" i="3"/>
  <c r="S16" i="3" s="1"/>
  <c r="Q16" i="3"/>
  <c r="R17" i="3"/>
  <c r="S17" i="3" s="1"/>
  <c r="Q17" i="3"/>
  <c r="R18" i="3"/>
  <c r="S18" i="3" s="1"/>
  <c r="Q18" i="3"/>
  <c r="R19" i="3"/>
  <c r="S19" i="3" s="1"/>
  <c r="Q19" i="3"/>
  <c r="R20" i="3"/>
  <c r="S20" i="3" s="1"/>
  <c r="Q20" i="3"/>
  <c r="R21" i="3"/>
  <c r="S21" i="3" s="1"/>
  <c r="Q21" i="3"/>
  <c r="R22" i="3"/>
  <c r="S22" i="3" s="1"/>
  <c r="Q22" i="3"/>
  <c r="R23" i="3"/>
  <c r="S23" i="3" s="1"/>
  <c r="Q23" i="3"/>
  <c r="R24" i="3"/>
  <c r="S24" i="3" s="1"/>
  <c r="Q24" i="3"/>
  <c r="R25" i="3"/>
  <c r="S25" i="3" s="1"/>
  <c r="Q25" i="3"/>
  <c r="R26" i="3"/>
  <c r="S26" i="3" s="1"/>
  <c r="Q26" i="3"/>
  <c r="R27" i="3"/>
  <c r="S27" i="3" s="1"/>
  <c r="Q27" i="3"/>
  <c r="R28" i="3"/>
  <c r="S28" i="3" s="1"/>
  <c r="Q28" i="3"/>
  <c r="R29" i="3"/>
  <c r="S29" i="3" s="1"/>
  <c r="Q29" i="3"/>
  <c r="R30" i="3"/>
  <c r="S30" i="3" s="1"/>
  <c r="Q30" i="3"/>
  <c r="R31" i="3"/>
  <c r="S31" i="3" s="1"/>
  <c r="Q31" i="3"/>
  <c r="R32" i="3"/>
  <c r="S32" i="3" s="1"/>
  <c r="Q32" i="3"/>
  <c r="R33" i="3"/>
  <c r="S33" i="3" s="1"/>
  <c r="Q33" i="3"/>
  <c r="R34" i="3"/>
  <c r="S34" i="3" s="1"/>
  <c r="Q34" i="3"/>
  <c r="R35" i="3"/>
  <c r="S35" i="3" s="1"/>
  <c r="Q35" i="3"/>
  <c r="R36" i="3"/>
  <c r="S36" i="3" s="1"/>
  <c r="Q36" i="3"/>
  <c r="R37" i="3"/>
  <c r="S37" i="3" s="1"/>
  <c r="Q37" i="3"/>
  <c r="R38" i="3"/>
  <c r="S38" i="3" s="1"/>
  <c r="Q38" i="3"/>
  <c r="R39" i="3"/>
  <c r="S39" i="3" s="1"/>
  <c r="Q39" i="3"/>
  <c r="R40" i="3"/>
  <c r="S40" i="3" s="1"/>
  <c r="Q40" i="3"/>
  <c r="R41" i="3"/>
  <c r="S41" i="3" s="1"/>
  <c r="Q41" i="3"/>
  <c r="R42" i="3"/>
  <c r="S42" i="3" s="1"/>
  <c r="Q42" i="3"/>
  <c r="R43" i="3"/>
  <c r="S43" i="3" s="1"/>
  <c r="Q43" i="3"/>
  <c r="R44" i="3"/>
  <c r="S44" i="3" s="1"/>
  <c r="Q44" i="3"/>
  <c r="R45" i="3"/>
  <c r="S45" i="3" s="1"/>
  <c r="Q45" i="3"/>
  <c r="R46" i="3"/>
  <c r="S46" i="3" s="1"/>
  <c r="Q46" i="3"/>
  <c r="Q47" i="3"/>
  <c r="R47" i="3"/>
  <c r="S47" i="3" s="1"/>
  <c r="Q48" i="3"/>
  <c r="R48" i="3"/>
  <c r="S48" i="3" s="1"/>
  <c r="R49" i="3"/>
  <c r="S49" i="3" s="1"/>
  <c r="Q49" i="3"/>
  <c r="R50" i="3"/>
  <c r="S50" i="3" s="1"/>
  <c r="Q50" i="3"/>
  <c r="R51" i="3"/>
  <c r="S51" i="3" s="1"/>
  <c r="Q51" i="3"/>
  <c r="R52" i="3"/>
  <c r="S52" i="3" s="1"/>
  <c r="Q52" i="3"/>
  <c r="R53" i="3"/>
  <c r="S53" i="3" s="1"/>
  <c r="Q53" i="3"/>
  <c r="R54" i="3"/>
  <c r="S54" i="3" s="1"/>
  <c r="Q54" i="3"/>
  <c r="R55" i="3"/>
  <c r="S55" i="3" s="1"/>
  <c r="Q55" i="3"/>
  <c r="R56" i="3"/>
  <c r="S56" i="3" s="1"/>
  <c r="Q56" i="3"/>
  <c r="R57" i="3"/>
  <c r="S57" i="3" s="1"/>
  <c r="Q57" i="3"/>
  <c r="R58" i="3"/>
  <c r="S58" i="3" s="1"/>
  <c r="Q58" i="3"/>
  <c r="R59" i="3"/>
  <c r="S59" i="3" s="1"/>
  <c r="Q59" i="3"/>
  <c r="R60" i="3"/>
  <c r="S60" i="3" s="1"/>
  <c r="Q60" i="3"/>
  <c r="Q61" i="3"/>
  <c r="R61" i="3"/>
  <c r="S61" i="3" s="1"/>
  <c r="R62" i="3"/>
  <c r="S62" i="3" s="1"/>
  <c r="Q62" i="3"/>
  <c r="Q63" i="3"/>
  <c r="R63" i="3"/>
  <c r="S63" i="3" s="1"/>
  <c r="R64" i="3"/>
  <c r="S64" i="3" s="1"/>
  <c r="Q64" i="3"/>
  <c r="Q65" i="3"/>
  <c r="R65" i="3"/>
  <c r="S65" i="3" s="1"/>
  <c r="Q66" i="3"/>
  <c r="R66" i="3"/>
  <c r="S66" i="3" s="1"/>
  <c r="Q67" i="3"/>
  <c r="R67" i="3"/>
  <c r="S67" i="3" s="1"/>
  <c r="Q68" i="3"/>
  <c r="R68" i="3"/>
  <c r="S68" i="3" s="1"/>
  <c r="R69" i="3"/>
  <c r="S69" i="3" s="1"/>
  <c r="Q69" i="3"/>
  <c r="Q70" i="3"/>
  <c r="R70" i="3"/>
  <c r="S70" i="3" s="1"/>
  <c r="R71" i="3"/>
  <c r="S71" i="3" s="1"/>
  <c r="Q71" i="3"/>
  <c r="R72" i="3"/>
  <c r="S72" i="3" s="1"/>
  <c r="Q72" i="3"/>
  <c r="R73" i="3"/>
  <c r="S73" i="3" s="1"/>
  <c r="Q73" i="3"/>
  <c r="R74" i="3"/>
  <c r="S74" i="3" s="1"/>
  <c r="Q74" i="3"/>
  <c r="Q75" i="3"/>
  <c r="R75" i="3"/>
  <c r="S75" i="3" s="1"/>
  <c r="R76" i="3"/>
  <c r="S76" i="3" s="1"/>
  <c r="Q76" i="3"/>
  <c r="Q77" i="3"/>
  <c r="R77" i="3"/>
  <c r="S77" i="3" s="1"/>
  <c r="R78" i="3"/>
  <c r="S78" i="3" s="1"/>
  <c r="Q78" i="3"/>
  <c r="R79" i="3"/>
  <c r="S79" i="3" s="1"/>
  <c r="Q79" i="3"/>
  <c r="R80" i="3"/>
  <c r="S80" i="3" s="1"/>
  <c r="Q80" i="3"/>
  <c r="R81" i="3"/>
  <c r="S81" i="3" s="1"/>
  <c r="Q81" i="3"/>
  <c r="R82" i="3"/>
  <c r="S82" i="3" s="1"/>
  <c r="Q82" i="3"/>
  <c r="R83" i="3"/>
  <c r="S83" i="3" s="1"/>
  <c r="Q83" i="3"/>
  <c r="R84" i="3"/>
  <c r="S84" i="3" s="1"/>
  <c r="Q84" i="3"/>
  <c r="R85" i="3"/>
  <c r="S85" i="3" s="1"/>
  <c r="Q85" i="3"/>
  <c r="R86" i="3"/>
  <c r="S86" i="3" s="1"/>
  <c r="Q86" i="3"/>
  <c r="R87" i="3"/>
  <c r="S87" i="3" s="1"/>
  <c r="Q87" i="3"/>
  <c r="R88" i="3"/>
  <c r="S88" i="3" s="1"/>
  <c r="Q88" i="3"/>
  <c r="R89" i="3"/>
  <c r="S89" i="3" s="1"/>
  <c r="Q89" i="3"/>
  <c r="R90" i="3"/>
  <c r="S90" i="3" s="1"/>
  <c r="Q90" i="3"/>
  <c r="R91" i="3"/>
  <c r="S91" i="3" s="1"/>
  <c r="Q91" i="3"/>
  <c r="R92" i="3"/>
  <c r="S92" i="3" s="1"/>
  <c r="Q92" i="3"/>
  <c r="R93" i="3"/>
  <c r="S93" i="3" s="1"/>
  <c r="Q93" i="3"/>
  <c r="R94" i="3"/>
  <c r="S94" i="3" s="1"/>
  <c r="Q94" i="3"/>
  <c r="R95" i="3"/>
  <c r="S95" i="3" s="1"/>
  <c r="Q95" i="3"/>
  <c r="R96" i="3"/>
  <c r="S96" i="3" s="1"/>
  <c r="Q96" i="3"/>
  <c r="R97" i="3"/>
  <c r="S97" i="3" s="1"/>
  <c r="Q97" i="3"/>
  <c r="R98" i="3"/>
  <c r="S98" i="3" s="1"/>
  <c r="Q98" i="3"/>
  <c r="R99" i="3"/>
  <c r="S99" i="3" s="1"/>
  <c r="Q99" i="3"/>
  <c r="R100" i="3"/>
  <c r="S100" i="3" s="1"/>
  <c r="Q100" i="3"/>
  <c r="R101" i="3"/>
  <c r="S101" i="3" s="1"/>
  <c r="Q101" i="3"/>
  <c r="R102" i="3"/>
  <c r="S102" i="3" s="1"/>
  <c r="Q102" i="3"/>
  <c r="R103" i="3"/>
  <c r="S103" i="3" s="1"/>
  <c r="Q103" i="3"/>
  <c r="R104" i="3"/>
  <c r="S104" i="3" s="1"/>
  <c r="Q104" i="3"/>
  <c r="R105" i="3"/>
  <c r="S105" i="3" s="1"/>
  <c r="Q105" i="3"/>
  <c r="R106" i="3"/>
  <c r="S106" i="3" s="1"/>
  <c r="Q106" i="3"/>
  <c r="R107" i="3"/>
  <c r="S107" i="3" s="1"/>
  <c r="Q107" i="3"/>
  <c r="R108" i="3"/>
  <c r="S108" i="3" s="1"/>
  <c r="Q108" i="3"/>
  <c r="R109" i="3"/>
  <c r="S109" i="3" s="1"/>
  <c r="Q109" i="3"/>
  <c r="R110" i="3"/>
  <c r="S110" i="3" s="1"/>
  <c r="Q110" i="3"/>
  <c r="R111" i="3"/>
  <c r="S111" i="3" s="1"/>
  <c r="Q111" i="3"/>
  <c r="R112" i="3"/>
  <c r="S112" i="3" s="1"/>
  <c r="Q112" i="3"/>
  <c r="R113" i="3"/>
  <c r="S113" i="3" s="1"/>
  <c r="Q113" i="3"/>
  <c r="R114" i="3"/>
  <c r="S114" i="3" s="1"/>
  <c r="Q114" i="3"/>
  <c r="R115" i="3"/>
  <c r="S115" i="3" s="1"/>
  <c r="Q115" i="3"/>
  <c r="R116" i="3"/>
  <c r="S116" i="3" s="1"/>
  <c r="Q116" i="3"/>
  <c r="R117" i="3"/>
  <c r="S117" i="3" s="1"/>
  <c r="Q117" i="3"/>
  <c r="R118" i="3"/>
  <c r="S118" i="3" s="1"/>
  <c r="Q118" i="3"/>
  <c r="R119" i="3"/>
  <c r="S119" i="3" s="1"/>
  <c r="Q119" i="3"/>
  <c r="R120" i="3"/>
  <c r="S120" i="3" s="1"/>
  <c r="Q120" i="3"/>
  <c r="R121" i="3"/>
  <c r="S121" i="3" s="1"/>
  <c r="Q121" i="3"/>
  <c r="R122" i="3"/>
  <c r="S122" i="3" s="1"/>
  <c r="Q122" i="3"/>
  <c r="R123" i="3"/>
  <c r="S123" i="3" s="1"/>
  <c r="Q123" i="3"/>
  <c r="R124" i="3"/>
  <c r="S124" i="3" s="1"/>
  <c r="Q124" i="3"/>
  <c r="R125" i="3"/>
  <c r="S125" i="3" s="1"/>
  <c r="Q125" i="3"/>
  <c r="R126" i="3"/>
  <c r="S126" i="3" s="1"/>
  <c r="Q126" i="3"/>
  <c r="R127" i="3"/>
  <c r="S127" i="3" s="1"/>
  <c r="Q127" i="3"/>
  <c r="R128" i="3"/>
  <c r="S128" i="3" s="1"/>
  <c r="Q128" i="3"/>
  <c r="Q129" i="3"/>
  <c r="R129" i="3"/>
  <c r="S129" i="3" s="1"/>
  <c r="R130" i="3"/>
  <c r="S130" i="3" s="1"/>
  <c r="Q130" i="3"/>
  <c r="R131" i="3"/>
  <c r="S131" i="3" s="1"/>
  <c r="Q131" i="3"/>
  <c r="R132" i="3"/>
  <c r="S132" i="3" s="1"/>
  <c r="Q132" i="3"/>
  <c r="Q133" i="3"/>
  <c r="R133" i="3"/>
  <c r="S133" i="3" s="1"/>
  <c r="Q134" i="3"/>
  <c r="R134" i="3"/>
  <c r="S134" i="3" s="1"/>
  <c r="Q135" i="3"/>
  <c r="R135" i="3"/>
  <c r="S135" i="3" s="1"/>
  <c r="Q136" i="3"/>
  <c r="R136" i="3"/>
  <c r="S136" i="3" s="1"/>
  <c r="Q137" i="3"/>
  <c r="R137" i="3"/>
  <c r="S137" i="3" s="1"/>
  <c r="Q138" i="3"/>
  <c r="R138" i="3"/>
  <c r="S138" i="3" s="1"/>
  <c r="Q139" i="3"/>
  <c r="R139" i="3"/>
  <c r="S139" i="3" s="1"/>
  <c r="R140" i="3"/>
  <c r="S140" i="3" s="1"/>
  <c r="Q140" i="3"/>
  <c r="Q141" i="3"/>
  <c r="R141" i="3"/>
  <c r="S141" i="3" s="1"/>
  <c r="U6" i="3" l="1"/>
  <c r="V6" i="3" s="1"/>
  <c r="T6" i="3"/>
  <c r="U7" i="3"/>
  <c r="V7" i="3" s="1"/>
  <c r="T7" i="3"/>
  <c r="U8" i="3"/>
  <c r="V8" i="3" s="1"/>
  <c r="T8" i="3"/>
  <c r="U9" i="3"/>
  <c r="V9" i="3" s="1"/>
  <c r="T9" i="3"/>
  <c r="U10" i="3"/>
  <c r="V10" i="3" s="1"/>
  <c r="T10" i="3"/>
  <c r="U11" i="3"/>
  <c r="V11" i="3" s="1"/>
  <c r="T11" i="3"/>
  <c r="U12" i="3"/>
  <c r="V12" i="3" s="1"/>
  <c r="T12" i="3"/>
  <c r="U13" i="3"/>
  <c r="V13" i="3" s="1"/>
  <c r="T13" i="3"/>
  <c r="U14" i="3"/>
  <c r="V14" i="3" s="1"/>
  <c r="T14" i="3"/>
  <c r="U15" i="3"/>
  <c r="V15" i="3" s="1"/>
  <c r="T15" i="3"/>
  <c r="U16" i="3"/>
  <c r="V16" i="3" s="1"/>
  <c r="T16" i="3"/>
  <c r="U17" i="3"/>
  <c r="V17" i="3" s="1"/>
  <c r="T17" i="3"/>
  <c r="U18" i="3"/>
  <c r="V18" i="3" s="1"/>
  <c r="T18" i="3"/>
  <c r="U19" i="3"/>
  <c r="V19" i="3" s="1"/>
  <c r="T19" i="3"/>
  <c r="U20" i="3"/>
  <c r="V20" i="3" s="1"/>
  <c r="T20" i="3"/>
  <c r="U21" i="3"/>
  <c r="V21" i="3" s="1"/>
  <c r="T21" i="3"/>
  <c r="U22" i="3"/>
  <c r="V22" i="3" s="1"/>
  <c r="T22" i="3"/>
  <c r="U23" i="3"/>
  <c r="V23" i="3" s="1"/>
  <c r="T23" i="3"/>
  <c r="U24" i="3"/>
  <c r="V24" i="3" s="1"/>
  <c r="T24" i="3"/>
  <c r="U25" i="3"/>
  <c r="V25" i="3" s="1"/>
  <c r="T25" i="3"/>
  <c r="U26" i="3"/>
  <c r="V26" i="3" s="1"/>
  <c r="T26" i="3"/>
  <c r="U27" i="3"/>
  <c r="V27" i="3" s="1"/>
  <c r="T27" i="3"/>
  <c r="U28" i="3"/>
  <c r="V28" i="3" s="1"/>
  <c r="T28" i="3"/>
  <c r="U29" i="3"/>
  <c r="V29" i="3" s="1"/>
  <c r="T29" i="3"/>
  <c r="U30" i="3"/>
  <c r="V30" i="3" s="1"/>
  <c r="T30" i="3"/>
  <c r="U31" i="3"/>
  <c r="V31" i="3" s="1"/>
  <c r="T31" i="3"/>
  <c r="U32" i="3"/>
  <c r="V32" i="3" s="1"/>
  <c r="T32" i="3"/>
  <c r="U33" i="3"/>
  <c r="V33" i="3" s="1"/>
  <c r="T33" i="3"/>
  <c r="U34" i="3"/>
  <c r="V34" i="3" s="1"/>
  <c r="T34" i="3"/>
  <c r="U35" i="3"/>
  <c r="V35" i="3" s="1"/>
  <c r="T35" i="3"/>
  <c r="U36" i="3"/>
  <c r="V36" i="3" s="1"/>
  <c r="T36" i="3"/>
  <c r="U37" i="3"/>
  <c r="V37" i="3" s="1"/>
  <c r="T37" i="3"/>
  <c r="U38" i="3"/>
  <c r="V38" i="3" s="1"/>
  <c r="T38" i="3"/>
  <c r="U39" i="3"/>
  <c r="V39" i="3" s="1"/>
  <c r="T39" i="3"/>
  <c r="U40" i="3"/>
  <c r="V40" i="3" s="1"/>
  <c r="T40" i="3"/>
  <c r="U41" i="3"/>
  <c r="V41" i="3" s="1"/>
  <c r="T41" i="3"/>
  <c r="U42" i="3"/>
  <c r="V42" i="3" s="1"/>
  <c r="T42" i="3"/>
  <c r="U43" i="3"/>
  <c r="V43" i="3" s="1"/>
  <c r="T43" i="3"/>
  <c r="U44" i="3"/>
  <c r="V44" i="3" s="1"/>
  <c r="T44" i="3"/>
  <c r="U45" i="3"/>
  <c r="V45" i="3" s="1"/>
  <c r="T45" i="3"/>
  <c r="T46" i="3"/>
  <c r="U46" i="3"/>
  <c r="V46" i="3" s="1"/>
  <c r="T47" i="3"/>
  <c r="U47" i="3"/>
  <c r="V47" i="3" s="1"/>
  <c r="U48" i="3"/>
  <c r="V48" i="3" s="1"/>
  <c r="T48" i="3"/>
  <c r="U49" i="3"/>
  <c r="V49" i="3" s="1"/>
  <c r="T49" i="3"/>
  <c r="U50" i="3"/>
  <c r="V50" i="3" s="1"/>
  <c r="T50" i="3"/>
  <c r="U51" i="3"/>
  <c r="V51" i="3" s="1"/>
  <c r="T51" i="3"/>
  <c r="U52" i="3"/>
  <c r="V52" i="3" s="1"/>
  <c r="T52" i="3"/>
  <c r="U53" i="3"/>
  <c r="V53" i="3" s="1"/>
  <c r="T53" i="3"/>
  <c r="U54" i="3"/>
  <c r="V54" i="3" s="1"/>
  <c r="T54" i="3"/>
  <c r="U55" i="3"/>
  <c r="V55" i="3" s="1"/>
  <c r="T55" i="3"/>
  <c r="U56" i="3"/>
  <c r="V56" i="3" s="1"/>
  <c r="T56" i="3"/>
  <c r="U57" i="3"/>
  <c r="V57" i="3" s="1"/>
  <c r="T57" i="3"/>
  <c r="U58" i="3"/>
  <c r="V58" i="3" s="1"/>
  <c r="T58" i="3"/>
  <c r="U59" i="3"/>
  <c r="V59" i="3" s="1"/>
  <c r="T59" i="3"/>
  <c r="U60" i="3"/>
  <c r="V60" i="3" s="1"/>
  <c r="T60" i="3"/>
  <c r="U61" i="3"/>
  <c r="V61" i="3" s="1"/>
  <c r="T61" i="3"/>
  <c r="T62" i="3"/>
  <c r="U62" i="3"/>
  <c r="V62" i="3" s="1"/>
  <c r="U63" i="3"/>
  <c r="V63" i="3" s="1"/>
  <c r="T63" i="3"/>
  <c r="U64" i="3"/>
  <c r="V64" i="3" s="1"/>
  <c r="T64" i="3"/>
  <c r="U65" i="3"/>
  <c r="V65" i="3" s="1"/>
  <c r="T65" i="3"/>
  <c r="U66" i="3"/>
  <c r="V66" i="3" s="1"/>
  <c r="T66" i="3"/>
  <c r="U67" i="3"/>
  <c r="V67" i="3" s="1"/>
  <c r="T67" i="3"/>
  <c r="U68" i="3"/>
  <c r="V68" i="3" s="1"/>
  <c r="T68" i="3"/>
  <c r="T69" i="3"/>
  <c r="U69" i="3"/>
  <c r="V69" i="3" s="1"/>
  <c r="T70" i="3"/>
  <c r="U70" i="3"/>
  <c r="V70" i="3" s="1"/>
  <c r="U71" i="3"/>
  <c r="V71" i="3" s="1"/>
  <c r="T71" i="3"/>
  <c r="U72" i="3"/>
  <c r="V72" i="3" s="1"/>
  <c r="T72" i="3"/>
  <c r="T73" i="3"/>
  <c r="U73" i="3"/>
  <c r="V73" i="3" s="1"/>
  <c r="T74" i="3"/>
  <c r="U74" i="3"/>
  <c r="V74" i="3" s="1"/>
  <c r="U75" i="3"/>
  <c r="V75" i="3" s="1"/>
  <c r="T75" i="3"/>
  <c r="U76" i="3"/>
  <c r="V76" i="3" s="1"/>
  <c r="T76" i="3"/>
  <c r="T77" i="3"/>
  <c r="U77" i="3"/>
  <c r="V77" i="3" s="1"/>
  <c r="U78" i="3"/>
  <c r="V78" i="3" s="1"/>
  <c r="T78" i="3"/>
  <c r="U79" i="3"/>
  <c r="V79" i="3" s="1"/>
  <c r="T79" i="3"/>
  <c r="U80" i="3"/>
  <c r="V80" i="3" s="1"/>
  <c r="T80" i="3"/>
  <c r="U81" i="3"/>
  <c r="V81" i="3" s="1"/>
  <c r="T81" i="3"/>
  <c r="U82" i="3"/>
  <c r="V82" i="3" s="1"/>
  <c r="T82" i="3"/>
  <c r="U83" i="3"/>
  <c r="V83" i="3" s="1"/>
  <c r="T83" i="3"/>
  <c r="U84" i="3"/>
  <c r="V84" i="3" s="1"/>
  <c r="T84" i="3"/>
  <c r="U85" i="3"/>
  <c r="V85" i="3" s="1"/>
  <c r="T85" i="3"/>
  <c r="U86" i="3"/>
  <c r="V86" i="3" s="1"/>
  <c r="T86" i="3"/>
  <c r="U87" i="3"/>
  <c r="V87" i="3" s="1"/>
  <c r="T87" i="3"/>
  <c r="U88" i="3"/>
  <c r="V88" i="3" s="1"/>
  <c r="T88" i="3"/>
  <c r="U89" i="3"/>
  <c r="V89" i="3" s="1"/>
  <c r="T89" i="3"/>
  <c r="U90" i="3"/>
  <c r="V90" i="3" s="1"/>
  <c r="T90" i="3"/>
  <c r="U91" i="3"/>
  <c r="V91" i="3" s="1"/>
  <c r="T91" i="3"/>
  <c r="U92" i="3"/>
  <c r="V92" i="3" s="1"/>
  <c r="T92" i="3"/>
  <c r="U93" i="3"/>
  <c r="V93" i="3" s="1"/>
  <c r="T93" i="3"/>
  <c r="U94" i="3"/>
  <c r="V94" i="3" s="1"/>
  <c r="T94" i="3"/>
  <c r="U95" i="3"/>
  <c r="V95" i="3" s="1"/>
  <c r="T95" i="3"/>
  <c r="U96" i="3"/>
  <c r="V96" i="3" s="1"/>
  <c r="T96" i="3"/>
  <c r="U97" i="3"/>
  <c r="V97" i="3" s="1"/>
  <c r="T97" i="3"/>
  <c r="U98" i="3"/>
  <c r="V98" i="3" s="1"/>
  <c r="T98" i="3"/>
  <c r="U99" i="3"/>
  <c r="V99" i="3" s="1"/>
  <c r="T99" i="3"/>
  <c r="U100" i="3"/>
  <c r="V100" i="3" s="1"/>
  <c r="T100" i="3"/>
  <c r="U101" i="3"/>
  <c r="V101" i="3" s="1"/>
  <c r="T101" i="3"/>
  <c r="U102" i="3"/>
  <c r="V102" i="3" s="1"/>
  <c r="T102" i="3"/>
  <c r="U103" i="3"/>
  <c r="V103" i="3" s="1"/>
  <c r="T103" i="3"/>
  <c r="U104" i="3"/>
  <c r="V104" i="3" s="1"/>
  <c r="T104" i="3"/>
  <c r="U105" i="3"/>
  <c r="V105" i="3" s="1"/>
  <c r="T105" i="3"/>
  <c r="U106" i="3"/>
  <c r="V106" i="3" s="1"/>
  <c r="T106" i="3"/>
  <c r="U107" i="3"/>
  <c r="V107" i="3" s="1"/>
  <c r="T107" i="3"/>
  <c r="U108" i="3"/>
  <c r="V108" i="3" s="1"/>
  <c r="T108" i="3"/>
  <c r="U109" i="3"/>
  <c r="V109" i="3" s="1"/>
  <c r="T109" i="3"/>
  <c r="U110" i="3"/>
  <c r="V110" i="3" s="1"/>
  <c r="T110" i="3"/>
  <c r="U111" i="3"/>
  <c r="V111" i="3" s="1"/>
  <c r="T111" i="3"/>
  <c r="U112" i="3"/>
  <c r="V112" i="3" s="1"/>
  <c r="T112" i="3"/>
  <c r="U113" i="3"/>
  <c r="V113" i="3" s="1"/>
  <c r="T113" i="3"/>
  <c r="U114" i="3"/>
  <c r="V114" i="3" s="1"/>
  <c r="T114" i="3"/>
  <c r="U115" i="3"/>
  <c r="V115" i="3" s="1"/>
  <c r="T115" i="3"/>
  <c r="U116" i="3"/>
  <c r="V116" i="3" s="1"/>
  <c r="T116" i="3"/>
  <c r="U117" i="3"/>
  <c r="V117" i="3" s="1"/>
  <c r="T117" i="3"/>
  <c r="U118" i="3"/>
  <c r="V118" i="3" s="1"/>
  <c r="T118" i="3"/>
  <c r="U119" i="3"/>
  <c r="V119" i="3" s="1"/>
  <c r="T119" i="3"/>
  <c r="U120" i="3"/>
  <c r="V120" i="3" s="1"/>
  <c r="T120" i="3"/>
  <c r="U121" i="3"/>
  <c r="V121" i="3" s="1"/>
  <c r="T121" i="3"/>
  <c r="U122" i="3"/>
  <c r="V122" i="3" s="1"/>
  <c r="T122" i="3"/>
  <c r="U123" i="3"/>
  <c r="V123" i="3" s="1"/>
  <c r="T123" i="3"/>
  <c r="U124" i="3"/>
  <c r="V124" i="3" s="1"/>
  <c r="T124" i="3"/>
  <c r="U125" i="3"/>
  <c r="V125" i="3" s="1"/>
  <c r="T125" i="3"/>
  <c r="U126" i="3"/>
  <c r="V126" i="3" s="1"/>
  <c r="T126" i="3"/>
  <c r="T127" i="3"/>
  <c r="U127" i="3"/>
  <c r="V127" i="3" s="1"/>
  <c r="T128" i="3"/>
  <c r="U128" i="3"/>
  <c r="V128" i="3" s="1"/>
  <c r="U129" i="3"/>
  <c r="V129" i="3" s="1"/>
  <c r="T129" i="3"/>
  <c r="T130" i="3"/>
  <c r="U130" i="3"/>
  <c r="V130" i="3" s="1"/>
  <c r="T131" i="3"/>
  <c r="U131" i="3"/>
  <c r="V131" i="3" s="1"/>
  <c r="T132" i="3"/>
  <c r="U132" i="3"/>
  <c r="V132" i="3" s="1"/>
  <c r="U133" i="3"/>
  <c r="V133" i="3" s="1"/>
  <c r="T133" i="3"/>
  <c r="U134" i="3"/>
  <c r="V134" i="3" s="1"/>
  <c r="T134" i="3"/>
  <c r="U135" i="3"/>
  <c r="V135" i="3" s="1"/>
  <c r="T135" i="3"/>
  <c r="T136" i="3"/>
  <c r="U136" i="3"/>
  <c r="V136" i="3" s="1"/>
  <c r="U137" i="3"/>
  <c r="V137" i="3" s="1"/>
  <c r="T137" i="3"/>
  <c r="T138" i="3"/>
  <c r="U138" i="3"/>
  <c r="V138" i="3" s="1"/>
  <c r="U139" i="3"/>
  <c r="V139" i="3" s="1"/>
  <c r="T139" i="3"/>
  <c r="U140" i="3"/>
  <c r="V140" i="3" s="1"/>
  <c r="T140" i="3"/>
  <c r="T141" i="3"/>
  <c r="U141" i="3"/>
  <c r="V141" i="3" s="1"/>
  <c r="X6" i="3" l="1"/>
  <c r="Y6" i="3" s="1"/>
  <c r="W6" i="3"/>
  <c r="X7" i="3"/>
  <c r="Y7" i="3" s="1"/>
  <c r="W7" i="3"/>
  <c r="X8" i="3"/>
  <c r="Y8" i="3" s="1"/>
  <c r="W8" i="3"/>
  <c r="X9" i="3"/>
  <c r="Y9" i="3" s="1"/>
  <c r="W9" i="3"/>
  <c r="X10" i="3"/>
  <c r="Y10" i="3" s="1"/>
  <c r="W10" i="3"/>
  <c r="X11" i="3"/>
  <c r="Y11" i="3" s="1"/>
  <c r="W11" i="3"/>
  <c r="X12" i="3"/>
  <c r="Y12" i="3" s="1"/>
  <c r="W12" i="3"/>
  <c r="X13" i="3"/>
  <c r="Y13" i="3" s="1"/>
  <c r="W13" i="3"/>
  <c r="X14" i="3"/>
  <c r="Y14" i="3" s="1"/>
  <c r="W14" i="3"/>
  <c r="X15" i="3"/>
  <c r="Y15" i="3" s="1"/>
  <c r="W15" i="3"/>
  <c r="X16" i="3"/>
  <c r="Y16" i="3" s="1"/>
  <c r="W16" i="3"/>
  <c r="X17" i="3"/>
  <c r="Y17" i="3" s="1"/>
  <c r="W17" i="3"/>
  <c r="X18" i="3"/>
  <c r="Y18" i="3" s="1"/>
  <c r="W18" i="3"/>
  <c r="X19" i="3"/>
  <c r="Y19" i="3" s="1"/>
  <c r="W19" i="3"/>
  <c r="X20" i="3"/>
  <c r="Y20" i="3" s="1"/>
  <c r="W20" i="3"/>
  <c r="X21" i="3"/>
  <c r="Y21" i="3" s="1"/>
  <c r="W21" i="3"/>
  <c r="X22" i="3"/>
  <c r="Y22" i="3" s="1"/>
  <c r="W22" i="3"/>
  <c r="X23" i="3"/>
  <c r="Y23" i="3" s="1"/>
  <c r="W23" i="3"/>
  <c r="X24" i="3"/>
  <c r="Y24" i="3" s="1"/>
  <c r="W24" i="3"/>
  <c r="X25" i="3"/>
  <c r="Y25" i="3" s="1"/>
  <c r="W25" i="3"/>
  <c r="X26" i="3"/>
  <c r="Y26" i="3" s="1"/>
  <c r="W26" i="3"/>
  <c r="X27" i="3"/>
  <c r="Y27" i="3" s="1"/>
  <c r="W27" i="3"/>
  <c r="X28" i="3"/>
  <c r="Y28" i="3" s="1"/>
  <c r="W28" i="3"/>
  <c r="X29" i="3"/>
  <c r="Y29" i="3" s="1"/>
  <c r="W29" i="3"/>
  <c r="X30" i="3"/>
  <c r="Y30" i="3" s="1"/>
  <c r="W30" i="3"/>
  <c r="X31" i="3"/>
  <c r="Y31" i="3" s="1"/>
  <c r="W31" i="3"/>
  <c r="X32" i="3"/>
  <c r="Y32" i="3" s="1"/>
  <c r="W32" i="3"/>
  <c r="X33" i="3"/>
  <c r="Y33" i="3" s="1"/>
  <c r="W33" i="3"/>
  <c r="X34" i="3"/>
  <c r="Y34" i="3" s="1"/>
  <c r="W34" i="3"/>
  <c r="X35" i="3"/>
  <c r="Y35" i="3" s="1"/>
  <c r="W35" i="3"/>
  <c r="X36" i="3"/>
  <c r="Y36" i="3" s="1"/>
  <c r="W36" i="3"/>
  <c r="X37" i="3"/>
  <c r="Y37" i="3" s="1"/>
  <c r="W37" i="3"/>
  <c r="X38" i="3"/>
  <c r="Y38" i="3" s="1"/>
  <c r="W38" i="3"/>
  <c r="X39" i="3"/>
  <c r="Y39" i="3" s="1"/>
  <c r="W39" i="3"/>
  <c r="X40" i="3"/>
  <c r="Y40" i="3" s="1"/>
  <c r="W40" i="3"/>
  <c r="X41" i="3"/>
  <c r="Y41" i="3" s="1"/>
  <c r="W41" i="3"/>
  <c r="X42" i="3"/>
  <c r="Y42" i="3" s="1"/>
  <c r="W42" i="3"/>
  <c r="X43" i="3"/>
  <c r="Y43" i="3" s="1"/>
  <c r="W43" i="3"/>
  <c r="X44" i="3"/>
  <c r="Y44" i="3" s="1"/>
  <c r="W44" i="3"/>
  <c r="X45" i="3"/>
  <c r="Y45" i="3" s="1"/>
  <c r="W45" i="3"/>
  <c r="W46" i="3"/>
  <c r="X46" i="3"/>
  <c r="Y46" i="3" s="1"/>
  <c r="W47" i="3"/>
  <c r="X47" i="3"/>
  <c r="Y47" i="3" s="1"/>
  <c r="X48" i="3"/>
  <c r="Y48" i="3" s="1"/>
  <c r="W48" i="3"/>
  <c r="X49" i="3"/>
  <c r="Y49" i="3" s="1"/>
  <c r="W49" i="3"/>
  <c r="X50" i="3"/>
  <c r="Y50" i="3" s="1"/>
  <c r="W50" i="3"/>
  <c r="X51" i="3"/>
  <c r="Y51" i="3" s="1"/>
  <c r="W51" i="3"/>
  <c r="X52" i="3"/>
  <c r="Y52" i="3" s="1"/>
  <c r="W52" i="3"/>
  <c r="X53" i="3"/>
  <c r="Y53" i="3" s="1"/>
  <c r="W53" i="3"/>
  <c r="X54" i="3"/>
  <c r="Y54" i="3" s="1"/>
  <c r="W54" i="3"/>
  <c r="X55" i="3"/>
  <c r="Y55" i="3" s="1"/>
  <c r="W55" i="3"/>
  <c r="X56" i="3"/>
  <c r="Y56" i="3" s="1"/>
  <c r="W56" i="3"/>
  <c r="X57" i="3"/>
  <c r="Y57" i="3" s="1"/>
  <c r="W57" i="3"/>
  <c r="X58" i="3"/>
  <c r="Y58" i="3" s="1"/>
  <c r="W58" i="3"/>
  <c r="X59" i="3"/>
  <c r="Y59" i="3" s="1"/>
  <c r="W59" i="3"/>
  <c r="X60" i="3"/>
  <c r="Y60" i="3" s="1"/>
  <c r="W60" i="3"/>
  <c r="X61" i="3"/>
  <c r="Y61" i="3" s="1"/>
  <c r="W61" i="3"/>
  <c r="W62" i="3"/>
  <c r="X62" i="3"/>
  <c r="Y62" i="3" s="1"/>
  <c r="X63" i="3"/>
  <c r="Y63" i="3" s="1"/>
  <c r="W63" i="3"/>
  <c r="X64" i="3"/>
  <c r="Y64" i="3" s="1"/>
  <c r="W64" i="3"/>
  <c r="W65" i="3"/>
  <c r="X65" i="3"/>
  <c r="Y65" i="3" s="1"/>
  <c r="X66" i="3"/>
  <c r="Y66" i="3" s="1"/>
  <c r="W66" i="3"/>
  <c r="X67" i="3"/>
  <c r="Y67" i="3" s="1"/>
  <c r="W67" i="3"/>
  <c r="W68" i="3"/>
  <c r="X68" i="3"/>
  <c r="Y68" i="3" s="1"/>
  <c r="W69" i="3"/>
  <c r="X69" i="3"/>
  <c r="Y69" i="3" s="1"/>
  <c r="W70" i="3"/>
  <c r="X70" i="3"/>
  <c r="Y70" i="3" s="1"/>
  <c r="W71" i="3"/>
  <c r="X71" i="3"/>
  <c r="Y71" i="3" s="1"/>
  <c r="W72" i="3"/>
  <c r="X72" i="3"/>
  <c r="Y72" i="3" s="1"/>
  <c r="W73" i="3"/>
  <c r="X73" i="3"/>
  <c r="Y73" i="3" s="1"/>
  <c r="X74" i="3"/>
  <c r="Y74" i="3" s="1"/>
  <c r="W74" i="3"/>
  <c r="W75" i="3"/>
  <c r="X75" i="3"/>
  <c r="Y75" i="3" s="1"/>
  <c r="X76" i="3"/>
  <c r="Y76" i="3" s="1"/>
  <c r="W76" i="3"/>
  <c r="W77" i="3"/>
  <c r="X77" i="3"/>
  <c r="Y77" i="3" s="1"/>
  <c r="X78" i="3"/>
  <c r="Y78" i="3" s="1"/>
  <c r="W78" i="3"/>
  <c r="X79" i="3"/>
  <c r="Y79" i="3" s="1"/>
  <c r="W79" i="3"/>
  <c r="X80" i="3"/>
  <c r="Y80" i="3" s="1"/>
  <c r="W80" i="3"/>
  <c r="X81" i="3"/>
  <c r="Y81" i="3" s="1"/>
  <c r="W81" i="3"/>
  <c r="X82" i="3"/>
  <c r="Y82" i="3" s="1"/>
  <c r="W82" i="3"/>
  <c r="X83" i="3"/>
  <c r="Y83" i="3" s="1"/>
  <c r="W83" i="3"/>
  <c r="X84" i="3"/>
  <c r="Y84" i="3" s="1"/>
  <c r="W84" i="3"/>
  <c r="X85" i="3"/>
  <c r="Y85" i="3" s="1"/>
  <c r="W85" i="3"/>
  <c r="X86" i="3"/>
  <c r="Y86" i="3" s="1"/>
  <c r="W86" i="3"/>
  <c r="X87" i="3"/>
  <c r="Y87" i="3" s="1"/>
  <c r="W87" i="3"/>
  <c r="X88" i="3"/>
  <c r="Y88" i="3" s="1"/>
  <c r="W88" i="3"/>
  <c r="X89" i="3"/>
  <c r="Y89" i="3" s="1"/>
  <c r="W89" i="3"/>
  <c r="X90" i="3"/>
  <c r="Y90" i="3" s="1"/>
  <c r="W90" i="3"/>
  <c r="X91" i="3"/>
  <c r="Y91" i="3" s="1"/>
  <c r="W91" i="3"/>
  <c r="X92" i="3"/>
  <c r="Y92" i="3" s="1"/>
  <c r="W92" i="3"/>
  <c r="X93" i="3"/>
  <c r="Y93" i="3" s="1"/>
  <c r="W93" i="3"/>
  <c r="X94" i="3"/>
  <c r="Y94" i="3" s="1"/>
  <c r="W94" i="3"/>
  <c r="X95" i="3"/>
  <c r="Y95" i="3" s="1"/>
  <c r="W95" i="3"/>
  <c r="X96" i="3"/>
  <c r="Y96" i="3" s="1"/>
  <c r="W96" i="3"/>
  <c r="X97" i="3"/>
  <c r="Y97" i="3" s="1"/>
  <c r="W97" i="3"/>
  <c r="X98" i="3"/>
  <c r="Y98" i="3" s="1"/>
  <c r="W98" i="3"/>
  <c r="X99" i="3"/>
  <c r="Y99" i="3" s="1"/>
  <c r="W99" i="3"/>
  <c r="X100" i="3"/>
  <c r="Y100" i="3" s="1"/>
  <c r="W100" i="3"/>
  <c r="X101" i="3"/>
  <c r="Y101" i="3" s="1"/>
  <c r="W101" i="3"/>
  <c r="X102" i="3"/>
  <c r="Y102" i="3" s="1"/>
  <c r="W102" i="3"/>
  <c r="X103" i="3"/>
  <c r="Y103" i="3" s="1"/>
  <c r="W103" i="3"/>
  <c r="X104" i="3"/>
  <c r="Y104" i="3" s="1"/>
  <c r="W104" i="3"/>
  <c r="X105" i="3"/>
  <c r="Y105" i="3" s="1"/>
  <c r="W105" i="3"/>
  <c r="X106" i="3"/>
  <c r="Y106" i="3" s="1"/>
  <c r="W106" i="3"/>
  <c r="X107" i="3"/>
  <c r="Y107" i="3" s="1"/>
  <c r="W107" i="3"/>
  <c r="X108" i="3"/>
  <c r="Y108" i="3" s="1"/>
  <c r="W108" i="3"/>
  <c r="X109" i="3"/>
  <c r="Y109" i="3" s="1"/>
  <c r="W109" i="3"/>
  <c r="X110" i="3"/>
  <c r="Y110" i="3" s="1"/>
  <c r="W110" i="3"/>
  <c r="X111" i="3"/>
  <c r="Y111" i="3" s="1"/>
  <c r="W111" i="3"/>
  <c r="X112" i="3"/>
  <c r="Y112" i="3" s="1"/>
  <c r="W112" i="3"/>
  <c r="X113" i="3"/>
  <c r="Y113" i="3" s="1"/>
  <c r="W113" i="3"/>
  <c r="X114" i="3"/>
  <c r="Y114" i="3" s="1"/>
  <c r="W114" i="3"/>
  <c r="X115" i="3"/>
  <c r="Y115" i="3" s="1"/>
  <c r="W115" i="3"/>
  <c r="X116" i="3"/>
  <c r="Y116" i="3" s="1"/>
  <c r="W116" i="3"/>
  <c r="X117" i="3"/>
  <c r="Y117" i="3" s="1"/>
  <c r="W117" i="3"/>
  <c r="X118" i="3"/>
  <c r="Y118" i="3" s="1"/>
  <c r="W118" i="3"/>
  <c r="X119" i="3"/>
  <c r="Y119" i="3" s="1"/>
  <c r="W119" i="3"/>
  <c r="X120" i="3"/>
  <c r="Y120" i="3" s="1"/>
  <c r="W120" i="3"/>
  <c r="X121" i="3"/>
  <c r="Y121" i="3" s="1"/>
  <c r="W121" i="3"/>
  <c r="X122" i="3"/>
  <c r="Y122" i="3" s="1"/>
  <c r="W122" i="3"/>
  <c r="X123" i="3"/>
  <c r="Y123" i="3" s="1"/>
  <c r="W123" i="3"/>
  <c r="X124" i="3"/>
  <c r="Y124" i="3" s="1"/>
  <c r="W124" i="3"/>
  <c r="X125" i="3"/>
  <c r="Y125" i="3" s="1"/>
  <c r="W125" i="3"/>
  <c r="X126" i="3"/>
  <c r="Y126" i="3" s="1"/>
  <c r="W126" i="3"/>
  <c r="X127" i="3"/>
  <c r="Y127" i="3" s="1"/>
  <c r="W127" i="3"/>
  <c r="X128" i="3"/>
  <c r="Y128" i="3" s="1"/>
  <c r="W128" i="3"/>
  <c r="W129" i="3"/>
  <c r="X129" i="3"/>
  <c r="Y129" i="3" s="1"/>
  <c r="X130" i="3"/>
  <c r="Y130" i="3" s="1"/>
  <c r="W130" i="3"/>
  <c r="W131" i="3"/>
  <c r="X131" i="3"/>
  <c r="Y131" i="3" s="1"/>
  <c r="X132" i="3"/>
  <c r="Y132" i="3" s="1"/>
  <c r="W132" i="3"/>
  <c r="W133" i="3"/>
  <c r="X133" i="3"/>
  <c r="Y133" i="3" s="1"/>
  <c r="X134" i="3"/>
  <c r="Y134" i="3" s="1"/>
  <c r="W134" i="3"/>
  <c r="X135" i="3"/>
  <c r="Y135" i="3" s="1"/>
  <c r="W135" i="3"/>
  <c r="W136" i="3"/>
  <c r="X136" i="3"/>
  <c r="Y136" i="3" s="1"/>
  <c r="W137" i="3"/>
  <c r="X137" i="3"/>
  <c r="Y137" i="3" s="1"/>
  <c r="W138" i="3"/>
  <c r="X138" i="3"/>
  <c r="Y138" i="3" s="1"/>
  <c r="X139" i="3"/>
  <c r="Y139" i="3" s="1"/>
  <c r="W139" i="3"/>
  <c r="W140" i="3"/>
  <c r="X140" i="3"/>
  <c r="Y140" i="3" s="1"/>
  <c r="W141" i="3"/>
  <c r="X141" i="3"/>
  <c r="Y141" i="3" s="1"/>
  <c r="AA6" i="3" l="1"/>
  <c r="AB6" i="3" s="1"/>
  <c r="Z6" i="3"/>
  <c r="AA7" i="3"/>
  <c r="AB7" i="3" s="1"/>
  <c r="Z7" i="3"/>
  <c r="AA8" i="3"/>
  <c r="AB8" i="3" s="1"/>
  <c r="Z8" i="3"/>
  <c r="AA9" i="3"/>
  <c r="AB9" i="3" s="1"/>
  <c r="Z9" i="3"/>
  <c r="AA10" i="3"/>
  <c r="AB10" i="3" s="1"/>
  <c r="Z10" i="3"/>
  <c r="AA11" i="3"/>
  <c r="AB11" i="3" s="1"/>
  <c r="Z11" i="3"/>
  <c r="AA12" i="3"/>
  <c r="AB12" i="3" s="1"/>
  <c r="Z12" i="3"/>
  <c r="AA13" i="3"/>
  <c r="AB13" i="3" s="1"/>
  <c r="Z13" i="3"/>
  <c r="AA14" i="3"/>
  <c r="AB14" i="3" s="1"/>
  <c r="Z14" i="3"/>
  <c r="AA15" i="3"/>
  <c r="AB15" i="3" s="1"/>
  <c r="Z15" i="3"/>
  <c r="AA16" i="3"/>
  <c r="AB16" i="3" s="1"/>
  <c r="Z16" i="3"/>
  <c r="AA17" i="3"/>
  <c r="AB17" i="3" s="1"/>
  <c r="Z17" i="3"/>
  <c r="AA18" i="3"/>
  <c r="AB18" i="3" s="1"/>
  <c r="Z18" i="3"/>
  <c r="AA19" i="3"/>
  <c r="AB19" i="3" s="1"/>
  <c r="Z19" i="3"/>
  <c r="AA20" i="3"/>
  <c r="AB20" i="3" s="1"/>
  <c r="Z20" i="3"/>
  <c r="AA21" i="3"/>
  <c r="AB21" i="3" s="1"/>
  <c r="Z21" i="3"/>
  <c r="AA22" i="3"/>
  <c r="AB22" i="3" s="1"/>
  <c r="Z22" i="3"/>
  <c r="AA23" i="3"/>
  <c r="AB23" i="3" s="1"/>
  <c r="Z23" i="3"/>
  <c r="AA24" i="3"/>
  <c r="AB24" i="3" s="1"/>
  <c r="Z24" i="3"/>
  <c r="AA25" i="3"/>
  <c r="AB25" i="3" s="1"/>
  <c r="Z25" i="3"/>
  <c r="AA26" i="3"/>
  <c r="AB26" i="3" s="1"/>
  <c r="Z26" i="3"/>
  <c r="AA27" i="3"/>
  <c r="AB27" i="3" s="1"/>
  <c r="Z27" i="3"/>
  <c r="AA28" i="3"/>
  <c r="AB28" i="3" s="1"/>
  <c r="Z28" i="3"/>
  <c r="AA29" i="3"/>
  <c r="AB29" i="3" s="1"/>
  <c r="Z29" i="3"/>
  <c r="AA30" i="3"/>
  <c r="AB30" i="3" s="1"/>
  <c r="Z30" i="3"/>
  <c r="AA31" i="3"/>
  <c r="AB31" i="3" s="1"/>
  <c r="Z31" i="3"/>
  <c r="AA32" i="3"/>
  <c r="AB32" i="3" s="1"/>
  <c r="Z32" i="3"/>
  <c r="AA33" i="3"/>
  <c r="AB33" i="3" s="1"/>
  <c r="Z33" i="3"/>
  <c r="Z34" i="3"/>
  <c r="AA34" i="3"/>
  <c r="AB34" i="3" s="1"/>
  <c r="AA35" i="3"/>
  <c r="AB35" i="3" s="1"/>
  <c r="Z35" i="3"/>
  <c r="AA36" i="3"/>
  <c r="AB36" i="3" s="1"/>
  <c r="Z36" i="3"/>
  <c r="AA37" i="3"/>
  <c r="AB37" i="3" s="1"/>
  <c r="Z37" i="3"/>
  <c r="AA38" i="3"/>
  <c r="AB38" i="3" s="1"/>
  <c r="Z38" i="3"/>
  <c r="AA39" i="3"/>
  <c r="AB39" i="3" s="1"/>
  <c r="Z39" i="3"/>
  <c r="AA40" i="3"/>
  <c r="AB40" i="3" s="1"/>
  <c r="Z40" i="3"/>
  <c r="AA41" i="3"/>
  <c r="AB41" i="3" s="1"/>
  <c r="Z41" i="3"/>
  <c r="AA42" i="3"/>
  <c r="AB42" i="3" s="1"/>
  <c r="Z42" i="3"/>
  <c r="AA43" i="3"/>
  <c r="AB43" i="3" s="1"/>
  <c r="Z43" i="3"/>
  <c r="AA44" i="3"/>
  <c r="AB44" i="3" s="1"/>
  <c r="Z44" i="3"/>
  <c r="AA45" i="3"/>
  <c r="AB45" i="3" s="1"/>
  <c r="Z45" i="3"/>
  <c r="Z46" i="3"/>
  <c r="AA46" i="3"/>
  <c r="AB46" i="3" s="1"/>
  <c r="AA47" i="3"/>
  <c r="AB47" i="3" s="1"/>
  <c r="Z47" i="3"/>
  <c r="AA48" i="3"/>
  <c r="AB48" i="3" s="1"/>
  <c r="Z48" i="3"/>
  <c r="AA49" i="3"/>
  <c r="AB49" i="3" s="1"/>
  <c r="Z49" i="3"/>
  <c r="AA50" i="3"/>
  <c r="AB50" i="3" s="1"/>
  <c r="Z50" i="3"/>
  <c r="AA51" i="3"/>
  <c r="AB51" i="3" s="1"/>
  <c r="Z51" i="3"/>
  <c r="AA52" i="3"/>
  <c r="AB52" i="3" s="1"/>
  <c r="Z52" i="3"/>
  <c r="AA53" i="3"/>
  <c r="AB53" i="3" s="1"/>
  <c r="Z53" i="3"/>
  <c r="AA54" i="3"/>
  <c r="AB54" i="3" s="1"/>
  <c r="Z54" i="3"/>
  <c r="AA55" i="3"/>
  <c r="AB55" i="3" s="1"/>
  <c r="Z55" i="3"/>
  <c r="AA56" i="3"/>
  <c r="AB56" i="3" s="1"/>
  <c r="Z56" i="3"/>
  <c r="AA57" i="3"/>
  <c r="AB57" i="3" s="1"/>
  <c r="Z57" i="3"/>
  <c r="AA58" i="3"/>
  <c r="AB58" i="3" s="1"/>
  <c r="Z58" i="3"/>
  <c r="AA59" i="3"/>
  <c r="AB59" i="3" s="1"/>
  <c r="Z59" i="3"/>
  <c r="AA60" i="3"/>
  <c r="AB60" i="3" s="1"/>
  <c r="Z60" i="3"/>
  <c r="Z61" i="3"/>
  <c r="AA61" i="3"/>
  <c r="AB61" i="3" s="1"/>
  <c r="AA62" i="3"/>
  <c r="AB62" i="3" s="1"/>
  <c r="Z62" i="3"/>
  <c r="AA63" i="3"/>
  <c r="AB63" i="3" s="1"/>
  <c r="Z63" i="3"/>
  <c r="AA64" i="3"/>
  <c r="AB64" i="3" s="1"/>
  <c r="Z64" i="3"/>
  <c r="Z65" i="3"/>
  <c r="AA65" i="3"/>
  <c r="AB65" i="3" s="1"/>
  <c r="Z66" i="3"/>
  <c r="AA66" i="3"/>
  <c r="AB66" i="3" s="1"/>
  <c r="AA67" i="3"/>
  <c r="AB67" i="3" s="1"/>
  <c r="Z67" i="3"/>
  <c r="AA68" i="3"/>
  <c r="AB68" i="3" s="1"/>
  <c r="Z68" i="3"/>
  <c r="AA69" i="3"/>
  <c r="AB69" i="3" s="1"/>
  <c r="Z69" i="3"/>
  <c r="AA70" i="3"/>
  <c r="AB70" i="3" s="1"/>
  <c r="Z70" i="3"/>
  <c r="AA71" i="3"/>
  <c r="AB71" i="3" s="1"/>
  <c r="Z71" i="3"/>
  <c r="Z72" i="3"/>
  <c r="AA72" i="3"/>
  <c r="AB72" i="3" s="1"/>
  <c r="Z73" i="3"/>
  <c r="AA73" i="3"/>
  <c r="AB73" i="3" s="1"/>
  <c r="AA74" i="3"/>
  <c r="AB74" i="3" s="1"/>
  <c r="Z74" i="3"/>
  <c r="Z75" i="3"/>
  <c r="AA75" i="3"/>
  <c r="AB75" i="3" s="1"/>
  <c r="Z76" i="3"/>
  <c r="AA76" i="3"/>
  <c r="AB76" i="3" s="1"/>
  <c r="AA77" i="3"/>
  <c r="AB77" i="3" s="1"/>
  <c r="Z77" i="3"/>
  <c r="AA78" i="3"/>
  <c r="AB78" i="3" s="1"/>
  <c r="Z78" i="3"/>
  <c r="AA79" i="3"/>
  <c r="AB79" i="3" s="1"/>
  <c r="Z79" i="3"/>
  <c r="AA80" i="3"/>
  <c r="AB80" i="3" s="1"/>
  <c r="Z80" i="3"/>
  <c r="AA81" i="3"/>
  <c r="AB81" i="3" s="1"/>
  <c r="Z81" i="3"/>
  <c r="AA82" i="3"/>
  <c r="AB82" i="3" s="1"/>
  <c r="Z82" i="3"/>
  <c r="AA83" i="3"/>
  <c r="AB83" i="3" s="1"/>
  <c r="Z83" i="3"/>
  <c r="AA84" i="3"/>
  <c r="AB84" i="3" s="1"/>
  <c r="Z84" i="3"/>
  <c r="AA85" i="3"/>
  <c r="AB85" i="3" s="1"/>
  <c r="Z85" i="3"/>
  <c r="AA86" i="3"/>
  <c r="AB86" i="3" s="1"/>
  <c r="Z86" i="3"/>
  <c r="AA87" i="3"/>
  <c r="AB87" i="3" s="1"/>
  <c r="Z87" i="3"/>
  <c r="AA88" i="3"/>
  <c r="AB88" i="3" s="1"/>
  <c r="Z88" i="3"/>
  <c r="AA89" i="3"/>
  <c r="AB89" i="3" s="1"/>
  <c r="Z89" i="3"/>
  <c r="AA90" i="3"/>
  <c r="AB90" i="3" s="1"/>
  <c r="Z90" i="3"/>
  <c r="AA91" i="3"/>
  <c r="AB91" i="3" s="1"/>
  <c r="Z91" i="3"/>
  <c r="AA92" i="3"/>
  <c r="AB92" i="3" s="1"/>
  <c r="Z92" i="3"/>
  <c r="AA93" i="3"/>
  <c r="AB93" i="3" s="1"/>
  <c r="Z93" i="3"/>
  <c r="AA94" i="3"/>
  <c r="AB94" i="3" s="1"/>
  <c r="Z94" i="3"/>
  <c r="AA95" i="3"/>
  <c r="AB95" i="3" s="1"/>
  <c r="Z95" i="3"/>
  <c r="AA96" i="3"/>
  <c r="AB96" i="3" s="1"/>
  <c r="Z96" i="3"/>
  <c r="AA97" i="3"/>
  <c r="AB97" i="3" s="1"/>
  <c r="Z97" i="3"/>
  <c r="AA98" i="3"/>
  <c r="AB98" i="3" s="1"/>
  <c r="Z98" i="3"/>
  <c r="AA99" i="3"/>
  <c r="AB99" i="3" s="1"/>
  <c r="Z99" i="3"/>
  <c r="AA100" i="3"/>
  <c r="AB100" i="3" s="1"/>
  <c r="Z100" i="3"/>
  <c r="AA101" i="3"/>
  <c r="AB101" i="3" s="1"/>
  <c r="Z101" i="3"/>
  <c r="AA102" i="3"/>
  <c r="AB102" i="3" s="1"/>
  <c r="Z102" i="3"/>
  <c r="AA103" i="3"/>
  <c r="AB103" i="3" s="1"/>
  <c r="Z103" i="3"/>
  <c r="AA104" i="3"/>
  <c r="AB104" i="3" s="1"/>
  <c r="Z104" i="3"/>
  <c r="AA105" i="3"/>
  <c r="AB105" i="3" s="1"/>
  <c r="Z105" i="3"/>
  <c r="AA106" i="3"/>
  <c r="AB106" i="3" s="1"/>
  <c r="Z106" i="3"/>
  <c r="AA107" i="3"/>
  <c r="AB107" i="3" s="1"/>
  <c r="Z107" i="3"/>
  <c r="AA108" i="3"/>
  <c r="AB108" i="3" s="1"/>
  <c r="Z108" i="3"/>
  <c r="AA109" i="3"/>
  <c r="AB109" i="3" s="1"/>
  <c r="Z109" i="3"/>
  <c r="AA110" i="3"/>
  <c r="AB110" i="3" s="1"/>
  <c r="Z110" i="3"/>
  <c r="AA111" i="3"/>
  <c r="AB111" i="3" s="1"/>
  <c r="Z111" i="3"/>
  <c r="AA112" i="3"/>
  <c r="AB112" i="3" s="1"/>
  <c r="Z112" i="3"/>
  <c r="AA113" i="3"/>
  <c r="AB113" i="3" s="1"/>
  <c r="Z113" i="3"/>
  <c r="AA114" i="3"/>
  <c r="AB114" i="3" s="1"/>
  <c r="Z114" i="3"/>
  <c r="AA115" i="3"/>
  <c r="AB115" i="3" s="1"/>
  <c r="Z115" i="3"/>
  <c r="AA116" i="3"/>
  <c r="AB116" i="3" s="1"/>
  <c r="Z116" i="3"/>
  <c r="AA117" i="3"/>
  <c r="AB117" i="3" s="1"/>
  <c r="Z117" i="3"/>
  <c r="AA118" i="3"/>
  <c r="AB118" i="3" s="1"/>
  <c r="Z118" i="3"/>
  <c r="AA119" i="3"/>
  <c r="AB119" i="3" s="1"/>
  <c r="Z119" i="3"/>
  <c r="AA120" i="3"/>
  <c r="AB120" i="3" s="1"/>
  <c r="Z120" i="3"/>
  <c r="AA121" i="3"/>
  <c r="AB121" i="3" s="1"/>
  <c r="Z121" i="3"/>
  <c r="AA122" i="3"/>
  <c r="AB122" i="3" s="1"/>
  <c r="Z122" i="3"/>
  <c r="AA123" i="3"/>
  <c r="AB123" i="3" s="1"/>
  <c r="Z123" i="3"/>
  <c r="AA124" i="3"/>
  <c r="AB124" i="3" s="1"/>
  <c r="Z124" i="3"/>
  <c r="AA125" i="3"/>
  <c r="AB125" i="3" s="1"/>
  <c r="Z125" i="3"/>
  <c r="AA126" i="3"/>
  <c r="AB126" i="3" s="1"/>
  <c r="Z126" i="3"/>
  <c r="AA127" i="3"/>
  <c r="AB127" i="3" s="1"/>
  <c r="Z127" i="3"/>
  <c r="AA128" i="3"/>
  <c r="AB128" i="3" s="1"/>
  <c r="Z128" i="3"/>
  <c r="AA129" i="3"/>
  <c r="AB129" i="3" s="1"/>
  <c r="Z129" i="3"/>
  <c r="Z130" i="3"/>
  <c r="AA130" i="3"/>
  <c r="AB130" i="3" s="1"/>
  <c r="Z131" i="3"/>
  <c r="AA131" i="3"/>
  <c r="AB131" i="3" s="1"/>
  <c r="AA132" i="3"/>
  <c r="AB132" i="3" s="1"/>
  <c r="Z132" i="3"/>
  <c r="Z133" i="3"/>
  <c r="AA133" i="3"/>
  <c r="AB133" i="3" s="1"/>
  <c r="Z134" i="3"/>
  <c r="AA134" i="3"/>
  <c r="AB134" i="3" s="1"/>
  <c r="Z135" i="3"/>
  <c r="AA135" i="3"/>
  <c r="AB135" i="3" s="1"/>
  <c r="AA136" i="3"/>
  <c r="AB136" i="3" s="1"/>
  <c r="Z136" i="3"/>
  <c r="Z137" i="3"/>
  <c r="AA137" i="3"/>
  <c r="AB137" i="3" s="1"/>
  <c r="AA138" i="3"/>
  <c r="AB138" i="3" s="1"/>
  <c r="Z138" i="3"/>
  <c r="Z139" i="3"/>
  <c r="AA139" i="3"/>
  <c r="AB139" i="3" s="1"/>
  <c r="Z140" i="3"/>
  <c r="AA140" i="3"/>
  <c r="AB140" i="3" s="1"/>
  <c r="Z141" i="3"/>
  <c r="AA141" i="3"/>
  <c r="AB141" i="3" s="1"/>
  <c r="AD6" i="3" l="1"/>
  <c r="AE6" i="3" s="1"/>
  <c r="AC6" i="3"/>
  <c r="AD7" i="3"/>
  <c r="AE7" i="3" s="1"/>
  <c r="AC7" i="3"/>
  <c r="AD8" i="3"/>
  <c r="AE8" i="3" s="1"/>
  <c r="AC8" i="3"/>
  <c r="AD9" i="3"/>
  <c r="AE9" i="3" s="1"/>
  <c r="AC9" i="3"/>
  <c r="AD10" i="3"/>
  <c r="AE10" i="3" s="1"/>
  <c r="AC10" i="3"/>
  <c r="AD11" i="3"/>
  <c r="AE11" i="3" s="1"/>
  <c r="AC11" i="3"/>
  <c r="AD12" i="3"/>
  <c r="AE12" i="3" s="1"/>
  <c r="AC12" i="3"/>
  <c r="AD13" i="3"/>
  <c r="AE13" i="3" s="1"/>
  <c r="AC13" i="3"/>
  <c r="AD14" i="3"/>
  <c r="AE14" i="3" s="1"/>
  <c r="AC14" i="3"/>
  <c r="AD15" i="3"/>
  <c r="AE15" i="3" s="1"/>
  <c r="AC15" i="3"/>
  <c r="AD16" i="3"/>
  <c r="AE16" i="3" s="1"/>
  <c r="AC16" i="3"/>
  <c r="AD17" i="3"/>
  <c r="AE17" i="3" s="1"/>
  <c r="AC17" i="3"/>
  <c r="AD18" i="3"/>
  <c r="AE18" i="3" s="1"/>
  <c r="AC18" i="3"/>
  <c r="AD19" i="3"/>
  <c r="AE19" i="3" s="1"/>
  <c r="AC19" i="3"/>
  <c r="AD20" i="3"/>
  <c r="AE20" i="3" s="1"/>
  <c r="AC20" i="3"/>
  <c r="AD21" i="3"/>
  <c r="AE21" i="3" s="1"/>
  <c r="AC21" i="3"/>
  <c r="AD22" i="3"/>
  <c r="AE22" i="3" s="1"/>
  <c r="AC22" i="3"/>
  <c r="AD23" i="3"/>
  <c r="AE23" i="3" s="1"/>
  <c r="AC23" i="3"/>
  <c r="AD24" i="3"/>
  <c r="AE24" i="3" s="1"/>
  <c r="AC24" i="3"/>
  <c r="AD25" i="3"/>
  <c r="AE25" i="3" s="1"/>
  <c r="AC25" i="3"/>
  <c r="AD26" i="3"/>
  <c r="AE26" i="3" s="1"/>
  <c r="AC26" i="3"/>
  <c r="AD27" i="3"/>
  <c r="AE27" i="3" s="1"/>
  <c r="AC27" i="3"/>
  <c r="AD28" i="3"/>
  <c r="AE28" i="3" s="1"/>
  <c r="AC28" i="3"/>
  <c r="AD29" i="3"/>
  <c r="AE29" i="3" s="1"/>
  <c r="AC29" i="3"/>
  <c r="AD30" i="3"/>
  <c r="AE30" i="3" s="1"/>
  <c r="AC30" i="3"/>
  <c r="AD31" i="3"/>
  <c r="AE31" i="3" s="1"/>
  <c r="AC31" i="3"/>
  <c r="AD32" i="3"/>
  <c r="AE32" i="3" s="1"/>
  <c r="AC32" i="3"/>
  <c r="AD33" i="3"/>
  <c r="AE33" i="3" s="1"/>
  <c r="AC33" i="3"/>
  <c r="AC34" i="3"/>
  <c r="AD34" i="3"/>
  <c r="AE34" i="3" s="1"/>
  <c r="AD35" i="3"/>
  <c r="AE35" i="3" s="1"/>
  <c r="AC35" i="3"/>
  <c r="AD36" i="3"/>
  <c r="AE36" i="3" s="1"/>
  <c r="AC36" i="3"/>
  <c r="AD37" i="3"/>
  <c r="AE37" i="3" s="1"/>
  <c r="AC37" i="3"/>
  <c r="AD38" i="3"/>
  <c r="AE38" i="3" s="1"/>
  <c r="AC38" i="3"/>
  <c r="AD39" i="3"/>
  <c r="AE39" i="3" s="1"/>
  <c r="AC39" i="3"/>
  <c r="AD40" i="3"/>
  <c r="AE40" i="3" s="1"/>
  <c r="AC40" i="3"/>
  <c r="AD41" i="3"/>
  <c r="AE41" i="3" s="1"/>
  <c r="AC41" i="3"/>
  <c r="AD42" i="3"/>
  <c r="AE42" i="3" s="1"/>
  <c r="AC42" i="3"/>
  <c r="AD43" i="3"/>
  <c r="AE43" i="3" s="1"/>
  <c r="AC43" i="3"/>
  <c r="AD44" i="3"/>
  <c r="AE44" i="3" s="1"/>
  <c r="AC44" i="3"/>
  <c r="AD45" i="3"/>
  <c r="AE45" i="3" s="1"/>
  <c r="AC45" i="3"/>
  <c r="AC46" i="3"/>
  <c r="AD46" i="3"/>
  <c r="AE46" i="3" s="1"/>
  <c r="AC47" i="3"/>
  <c r="AD47" i="3"/>
  <c r="AE47" i="3" s="1"/>
  <c r="AD48" i="3"/>
  <c r="AE48" i="3" s="1"/>
  <c r="AC48" i="3"/>
  <c r="AD49" i="3"/>
  <c r="AE49" i="3" s="1"/>
  <c r="AC49" i="3"/>
  <c r="AD50" i="3"/>
  <c r="AE50" i="3" s="1"/>
  <c r="AC50" i="3"/>
  <c r="AD51" i="3"/>
  <c r="AE51" i="3" s="1"/>
  <c r="AC51" i="3"/>
  <c r="AD52" i="3"/>
  <c r="AE52" i="3" s="1"/>
  <c r="AC52" i="3"/>
  <c r="AD53" i="3"/>
  <c r="AE53" i="3" s="1"/>
  <c r="AC53" i="3"/>
  <c r="AD54" i="3"/>
  <c r="AE54" i="3" s="1"/>
  <c r="AC54" i="3"/>
  <c r="AD55" i="3"/>
  <c r="AE55" i="3" s="1"/>
  <c r="AC55" i="3"/>
  <c r="AD56" i="3"/>
  <c r="AE56" i="3" s="1"/>
  <c r="AC56" i="3"/>
  <c r="AD57" i="3"/>
  <c r="AE57" i="3" s="1"/>
  <c r="AC57" i="3"/>
  <c r="AD58" i="3"/>
  <c r="AE58" i="3" s="1"/>
  <c r="AC58" i="3"/>
  <c r="AD59" i="3"/>
  <c r="AE59" i="3" s="1"/>
  <c r="AC59" i="3"/>
  <c r="AD60" i="3"/>
  <c r="AE60" i="3" s="1"/>
  <c r="AC60" i="3"/>
  <c r="AD61" i="3"/>
  <c r="AE61" i="3" s="1"/>
  <c r="AC61" i="3"/>
  <c r="AC62" i="3"/>
  <c r="AD62" i="3"/>
  <c r="AE62" i="3" s="1"/>
  <c r="AD63" i="3"/>
  <c r="AE63" i="3" s="1"/>
  <c r="AC63" i="3"/>
  <c r="AD64" i="3"/>
  <c r="AE64" i="3" s="1"/>
  <c r="AC64" i="3"/>
  <c r="AD65" i="3"/>
  <c r="AE65" i="3" s="1"/>
  <c r="AC65" i="3"/>
  <c r="AC66" i="3"/>
  <c r="AD66" i="3"/>
  <c r="AE66" i="3" s="1"/>
  <c r="AC67" i="3"/>
  <c r="AD67" i="3"/>
  <c r="AE67" i="3" s="1"/>
  <c r="AC68" i="3"/>
  <c r="AD68" i="3"/>
  <c r="AE68" i="3" s="1"/>
  <c r="AC69" i="3"/>
  <c r="AD69" i="3"/>
  <c r="AE69" i="3" s="1"/>
  <c r="AC70" i="3"/>
  <c r="AD70" i="3"/>
  <c r="AE70" i="3" s="1"/>
  <c r="AC71" i="3"/>
  <c r="AD71" i="3"/>
  <c r="AE71" i="3" s="1"/>
  <c r="AC72" i="3"/>
  <c r="AD72" i="3"/>
  <c r="AE72" i="3" s="1"/>
  <c r="AD73" i="3"/>
  <c r="AE73" i="3" s="1"/>
  <c r="AC73" i="3"/>
  <c r="AC74" i="3"/>
  <c r="AD74" i="3"/>
  <c r="AE74" i="3" s="1"/>
  <c r="AD75" i="3"/>
  <c r="AE75" i="3" s="1"/>
  <c r="AC75" i="3"/>
  <c r="AC76" i="3"/>
  <c r="AD76" i="3"/>
  <c r="AE76" i="3" s="1"/>
  <c r="AC77" i="3"/>
  <c r="AD77" i="3"/>
  <c r="AE77" i="3" s="1"/>
  <c r="AD78" i="3"/>
  <c r="AE78" i="3" s="1"/>
  <c r="AC78" i="3"/>
  <c r="AD79" i="3"/>
  <c r="AE79" i="3" s="1"/>
  <c r="AC79" i="3"/>
  <c r="AD80" i="3"/>
  <c r="AE80" i="3" s="1"/>
  <c r="AC80" i="3"/>
  <c r="AD81" i="3"/>
  <c r="AE81" i="3" s="1"/>
  <c r="AC81" i="3"/>
  <c r="AD82" i="3"/>
  <c r="AE82" i="3" s="1"/>
  <c r="AC82" i="3"/>
  <c r="AD83" i="3"/>
  <c r="AE83" i="3" s="1"/>
  <c r="AC83" i="3"/>
  <c r="AD84" i="3"/>
  <c r="AE84" i="3" s="1"/>
  <c r="AC84" i="3"/>
  <c r="AD85" i="3"/>
  <c r="AE85" i="3" s="1"/>
  <c r="AC85" i="3"/>
  <c r="AD86" i="3"/>
  <c r="AE86" i="3" s="1"/>
  <c r="AC86" i="3"/>
  <c r="AD87" i="3"/>
  <c r="AE87" i="3" s="1"/>
  <c r="AC87" i="3"/>
  <c r="AD88" i="3"/>
  <c r="AE88" i="3" s="1"/>
  <c r="AC88" i="3"/>
  <c r="AD89" i="3"/>
  <c r="AE89" i="3" s="1"/>
  <c r="AC89" i="3"/>
  <c r="AD90" i="3"/>
  <c r="AE90" i="3" s="1"/>
  <c r="AC90" i="3"/>
  <c r="AD91" i="3"/>
  <c r="AE91" i="3" s="1"/>
  <c r="AC91" i="3"/>
  <c r="AD92" i="3"/>
  <c r="AE92" i="3" s="1"/>
  <c r="AC92" i="3"/>
  <c r="AD93" i="3"/>
  <c r="AE93" i="3" s="1"/>
  <c r="AC93" i="3"/>
  <c r="AD94" i="3"/>
  <c r="AE94" i="3" s="1"/>
  <c r="AC94" i="3"/>
  <c r="AD95" i="3"/>
  <c r="AE95" i="3" s="1"/>
  <c r="AC95" i="3"/>
  <c r="AD96" i="3"/>
  <c r="AE96" i="3" s="1"/>
  <c r="AC96" i="3"/>
  <c r="AD97" i="3"/>
  <c r="AE97" i="3" s="1"/>
  <c r="AC97" i="3"/>
  <c r="AD98" i="3"/>
  <c r="AE98" i="3" s="1"/>
  <c r="AC98" i="3"/>
  <c r="AD99" i="3"/>
  <c r="AE99" i="3" s="1"/>
  <c r="AC99" i="3"/>
  <c r="AD100" i="3"/>
  <c r="AE100" i="3" s="1"/>
  <c r="AC100" i="3"/>
  <c r="AD101" i="3"/>
  <c r="AE101" i="3" s="1"/>
  <c r="AC101" i="3"/>
  <c r="AD102" i="3"/>
  <c r="AE102" i="3" s="1"/>
  <c r="AC102" i="3"/>
  <c r="AD103" i="3"/>
  <c r="AE103" i="3" s="1"/>
  <c r="AC103" i="3"/>
  <c r="AD104" i="3"/>
  <c r="AE104" i="3" s="1"/>
  <c r="AC104" i="3"/>
  <c r="AD105" i="3"/>
  <c r="AE105" i="3" s="1"/>
  <c r="AC105" i="3"/>
  <c r="AD106" i="3"/>
  <c r="AE106" i="3" s="1"/>
  <c r="AC106" i="3"/>
  <c r="AD107" i="3"/>
  <c r="AE107" i="3" s="1"/>
  <c r="AC107" i="3"/>
  <c r="AD108" i="3"/>
  <c r="AE108" i="3" s="1"/>
  <c r="AC108" i="3"/>
  <c r="AD109" i="3"/>
  <c r="AE109" i="3" s="1"/>
  <c r="AC109" i="3"/>
  <c r="AD110" i="3"/>
  <c r="AE110" i="3" s="1"/>
  <c r="AC110" i="3"/>
  <c r="AD111" i="3"/>
  <c r="AE111" i="3" s="1"/>
  <c r="AC111" i="3"/>
  <c r="AD112" i="3"/>
  <c r="AE112" i="3" s="1"/>
  <c r="AC112" i="3"/>
  <c r="AD113" i="3"/>
  <c r="AE113" i="3" s="1"/>
  <c r="AC113" i="3"/>
  <c r="AD114" i="3"/>
  <c r="AE114" i="3" s="1"/>
  <c r="AC114" i="3"/>
  <c r="AD115" i="3"/>
  <c r="AE115" i="3" s="1"/>
  <c r="AC115" i="3"/>
  <c r="AD116" i="3"/>
  <c r="AE116" i="3" s="1"/>
  <c r="AC116" i="3"/>
  <c r="AD117" i="3"/>
  <c r="AE117" i="3" s="1"/>
  <c r="AC117" i="3"/>
  <c r="AD118" i="3"/>
  <c r="AE118" i="3" s="1"/>
  <c r="AC118" i="3"/>
  <c r="AD119" i="3"/>
  <c r="AE119" i="3" s="1"/>
  <c r="AC119" i="3"/>
  <c r="AD120" i="3"/>
  <c r="AE120" i="3" s="1"/>
  <c r="AC120" i="3"/>
  <c r="AD121" i="3"/>
  <c r="AE121" i="3" s="1"/>
  <c r="AC121" i="3"/>
  <c r="AD122" i="3"/>
  <c r="AE122" i="3" s="1"/>
  <c r="AC122" i="3"/>
  <c r="AD123" i="3"/>
  <c r="AE123" i="3" s="1"/>
  <c r="AC123" i="3"/>
  <c r="AD124" i="3"/>
  <c r="AE124" i="3" s="1"/>
  <c r="AC124" i="3"/>
  <c r="AD125" i="3"/>
  <c r="AE125" i="3" s="1"/>
  <c r="AC125" i="3"/>
  <c r="AD126" i="3"/>
  <c r="AE126" i="3" s="1"/>
  <c r="AC126" i="3"/>
  <c r="AD127" i="3"/>
  <c r="AE127" i="3" s="1"/>
  <c r="AC127" i="3"/>
  <c r="AD128" i="3"/>
  <c r="AE128" i="3" s="1"/>
  <c r="AC128" i="3"/>
  <c r="AC129" i="3"/>
  <c r="AD129" i="3"/>
  <c r="AE129" i="3" s="1"/>
  <c r="AC130" i="3"/>
  <c r="AD130" i="3"/>
  <c r="AE130" i="3" s="1"/>
  <c r="AD131" i="3"/>
  <c r="AE131" i="3" s="1"/>
  <c r="AC131" i="3"/>
  <c r="AD132" i="3"/>
  <c r="AE132" i="3" s="1"/>
  <c r="AC132" i="3"/>
  <c r="AC133" i="3"/>
  <c r="AD133" i="3"/>
  <c r="AE133" i="3" s="1"/>
  <c r="AD134" i="3"/>
  <c r="AE134" i="3" s="1"/>
  <c r="AC134" i="3"/>
  <c r="AD135" i="3"/>
  <c r="AE135" i="3" s="1"/>
  <c r="AC135" i="3"/>
  <c r="AC136" i="3"/>
  <c r="AD136" i="3"/>
  <c r="AE136" i="3" s="1"/>
  <c r="AD137" i="3"/>
  <c r="AE137" i="3" s="1"/>
  <c r="AC137" i="3"/>
  <c r="AD138" i="3"/>
  <c r="AE138" i="3" s="1"/>
  <c r="AC138" i="3"/>
  <c r="AC139" i="3"/>
  <c r="AD139" i="3"/>
  <c r="AE139" i="3" s="1"/>
  <c r="AC140" i="3"/>
  <c r="AD140" i="3"/>
  <c r="AE140" i="3" s="1"/>
  <c r="AD141" i="3"/>
  <c r="AE141" i="3" s="1"/>
  <c r="AC141" i="3"/>
  <c r="AG6" i="3" l="1"/>
  <c r="AH6" i="3" s="1"/>
  <c r="AF6" i="3"/>
  <c r="AG7" i="3"/>
  <c r="AH7" i="3" s="1"/>
  <c r="AF7" i="3"/>
  <c r="AG8" i="3"/>
  <c r="AH8" i="3" s="1"/>
  <c r="AF8" i="3"/>
  <c r="AG9" i="3"/>
  <c r="AH9" i="3" s="1"/>
  <c r="AF9" i="3"/>
  <c r="AG10" i="3"/>
  <c r="AH10" i="3" s="1"/>
  <c r="AF10" i="3"/>
  <c r="AG11" i="3"/>
  <c r="AH11" i="3" s="1"/>
  <c r="AF11" i="3"/>
  <c r="AG12" i="3"/>
  <c r="AH12" i="3" s="1"/>
  <c r="AF12" i="3"/>
  <c r="AG13" i="3"/>
  <c r="AH13" i="3" s="1"/>
  <c r="AF13" i="3"/>
  <c r="AG14" i="3"/>
  <c r="AH14" i="3" s="1"/>
  <c r="AF14" i="3"/>
  <c r="AG15" i="3"/>
  <c r="AH15" i="3" s="1"/>
  <c r="AF15" i="3"/>
  <c r="AG16" i="3"/>
  <c r="AH16" i="3" s="1"/>
  <c r="AF16" i="3"/>
  <c r="AG17" i="3"/>
  <c r="AH17" i="3" s="1"/>
  <c r="AF17" i="3"/>
  <c r="AG18" i="3"/>
  <c r="AH18" i="3" s="1"/>
  <c r="AF18" i="3"/>
  <c r="AG19" i="3"/>
  <c r="AH19" i="3" s="1"/>
  <c r="AF19" i="3"/>
  <c r="AG20" i="3"/>
  <c r="AH20" i="3" s="1"/>
  <c r="AF20" i="3"/>
  <c r="AG21" i="3"/>
  <c r="AH21" i="3" s="1"/>
  <c r="AF21" i="3"/>
  <c r="AG22" i="3"/>
  <c r="AH22" i="3" s="1"/>
  <c r="AF22" i="3"/>
  <c r="AG23" i="3"/>
  <c r="AH23" i="3" s="1"/>
  <c r="AF23" i="3"/>
  <c r="AG24" i="3"/>
  <c r="AH24" i="3" s="1"/>
  <c r="AF24" i="3"/>
  <c r="AG25" i="3"/>
  <c r="AH25" i="3" s="1"/>
  <c r="AF25" i="3"/>
  <c r="AG26" i="3"/>
  <c r="AH26" i="3" s="1"/>
  <c r="AF26" i="3"/>
  <c r="AG27" i="3"/>
  <c r="AH27" i="3" s="1"/>
  <c r="AF27" i="3"/>
  <c r="AG28" i="3"/>
  <c r="AH28" i="3" s="1"/>
  <c r="AF28" i="3"/>
  <c r="AG29" i="3"/>
  <c r="AH29" i="3" s="1"/>
  <c r="AF29" i="3"/>
  <c r="AG30" i="3"/>
  <c r="AH30" i="3" s="1"/>
  <c r="AF30" i="3"/>
  <c r="AG31" i="3"/>
  <c r="AH31" i="3" s="1"/>
  <c r="AF31" i="3"/>
  <c r="AG32" i="3"/>
  <c r="AH32" i="3" s="1"/>
  <c r="AF32" i="3"/>
  <c r="AG33" i="3"/>
  <c r="AH33" i="3" s="1"/>
  <c r="AF33" i="3"/>
  <c r="AG34" i="3"/>
  <c r="AH34" i="3" s="1"/>
  <c r="AF34" i="3"/>
  <c r="AG35" i="3"/>
  <c r="AH35" i="3" s="1"/>
  <c r="AF35" i="3"/>
  <c r="AG36" i="3"/>
  <c r="AH36" i="3" s="1"/>
  <c r="AF36" i="3"/>
  <c r="AG37" i="3"/>
  <c r="AH37" i="3" s="1"/>
  <c r="AF37" i="3"/>
  <c r="AG38" i="3"/>
  <c r="AH38" i="3" s="1"/>
  <c r="AF38" i="3"/>
  <c r="AG39" i="3"/>
  <c r="AH39" i="3" s="1"/>
  <c r="AF39" i="3"/>
  <c r="AG40" i="3"/>
  <c r="AH40" i="3" s="1"/>
  <c r="AF40" i="3"/>
  <c r="AG41" i="3"/>
  <c r="AH41" i="3" s="1"/>
  <c r="AF41" i="3"/>
  <c r="AG42" i="3"/>
  <c r="AH42" i="3" s="1"/>
  <c r="AF42" i="3"/>
  <c r="AG43" i="3"/>
  <c r="AH43" i="3" s="1"/>
  <c r="AF43" i="3"/>
  <c r="AG44" i="3"/>
  <c r="AH44" i="3" s="1"/>
  <c r="AF44" i="3"/>
  <c r="AG45" i="3"/>
  <c r="AH45" i="3" s="1"/>
  <c r="AF45" i="3"/>
  <c r="AG46" i="3"/>
  <c r="AH46" i="3" s="1"/>
  <c r="AF46" i="3"/>
  <c r="AF47" i="3"/>
  <c r="AG47" i="3"/>
  <c r="AH47" i="3" s="1"/>
  <c r="AG48" i="3"/>
  <c r="AH48" i="3" s="1"/>
  <c r="AF48" i="3"/>
  <c r="AG49" i="3"/>
  <c r="AH49" i="3" s="1"/>
  <c r="AF49" i="3"/>
  <c r="AG50" i="3"/>
  <c r="AH50" i="3" s="1"/>
  <c r="AF50" i="3"/>
  <c r="AG51" i="3"/>
  <c r="AH51" i="3" s="1"/>
  <c r="AF51" i="3"/>
  <c r="AG52" i="3"/>
  <c r="AH52" i="3" s="1"/>
  <c r="AF52" i="3"/>
  <c r="AG53" i="3"/>
  <c r="AH53" i="3" s="1"/>
  <c r="AF53" i="3"/>
  <c r="AG54" i="3"/>
  <c r="AH54" i="3" s="1"/>
  <c r="AF54" i="3"/>
  <c r="AG55" i="3"/>
  <c r="AH55" i="3" s="1"/>
  <c r="AF55" i="3"/>
  <c r="AG56" i="3"/>
  <c r="AH56" i="3" s="1"/>
  <c r="AF56" i="3"/>
  <c r="AG57" i="3"/>
  <c r="AH57" i="3" s="1"/>
  <c r="AF57" i="3"/>
  <c r="AG58" i="3"/>
  <c r="AH58" i="3" s="1"/>
  <c r="AF58" i="3"/>
  <c r="AG59" i="3"/>
  <c r="AH59" i="3" s="1"/>
  <c r="AF59" i="3"/>
  <c r="AG60" i="3"/>
  <c r="AH60" i="3" s="1"/>
  <c r="AF60" i="3"/>
  <c r="AF61" i="3"/>
  <c r="AG61" i="3"/>
  <c r="AH61" i="3" s="1"/>
  <c r="AF62" i="3"/>
  <c r="AG62" i="3"/>
  <c r="AH62" i="3" s="1"/>
  <c r="AG63" i="3"/>
  <c r="AH63" i="3" s="1"/>
  <c r="AF63" i="3"/>
  <c r="AG64" i="3"/>
  <c r="AH64" i="3" s="1"/>
  <c r="AF64" i="3"/>
  <c r="AF65" i="3"/>
  <c r="AG65" i="3"/>
  <c r="AH65" i="3" s="1"/>
  <c r="AF66" i="3"/>
  <c r="AG66" i="3"/>
  <c r="AH66" i="3" s="1"/>
  <c r="AF67" i="3"/>
  <c r="AG67" i="3"/>
  <c r="AH67" i="3" s="1"/>
  <c r="AF68" i="3"/>
  <c r="AG68" i="3"/>
  <c r="AH68" i="3" s="1"/>
  <c r="AF69" i="3"/>
  <c r="AG69" i="3"/>
  <c r="AH69" i="3" s="1"/>
  <c r="AF70" i="3"/>
  <c r="AG70" i="3"/>
  <c r="AH70" i="3" s="1"/>
  <c r="AG71" i="3"/>
  <c r="AH71" i="3" s="1"/>
  <c r="AF71" i="3"/>
  <c r="AF72" i="3"/>
  <c r="AG72" i="3"/>
  <c r="AH72" i="3" s="1"/>
  <c r="AG73" i="3"/>
  <c r="AH73" i="3" s="1"/>
  <c r="AF73" i="3"/>
  <c r="AG74" i="3"/>
  <c r="AH74" i="3" s="1"/>
  <c r="AF74" i="3"/>
  <c r="AG75" i="3"/>
  <c r="AH75" i="3" s="1"/>
  <c r="AF75" i="3"/>
  <c r="AG76" i="3"/>
  <c r="AH76" i="3" s="1"/>
  <c r="AF76" i="3"/>
  <c r="AF77" i="3"/>
  <c r="AG77" i="3"/>
  <c r="AH77" i="3" s="1"/>
  <c r="AG78" i="3"/>
  <c r="AH78" i="3" s="1"/>
  <c r="AF78" i="3"/>
  <c r="AG79" i="3"/>
  <c r="AH79" i="3" s="1"/>
  <c r="AF79" i="3"/>
  <c r="AG80" i="3"/>
  <c r="AH80" i="3" s="1"/>
  <c r="AF80" i="3"/>
  <c r="AG81" i="3"/>
  <c r="AH81" i="3" s="1"/>
  <c r="AF81" i="3"/>
  <c r="AG82" i="3"/>
  <c r="AH82" i="3" s="1"/>
  <c r="AF82" i="3"/>
  <c r="AG83" i="3"/>
  <c r="AH83" i="3" s="1"/>
  <c r="AF83" i="3"/>
  <c r="AG84" i="3"/>
  <c r="AH84" i="3" s="1"/>
  <c r="AF84" i="3"/>
  <c r="AG85" i="3"/>
  <c r="AH85" i="3" s="1"/>
  <c r="AF85" i="3"/>
  <c r="AG86" i="3"/>
  <c r="AH86" i="3" s="1"/>
  <c r="AF86" i="3"/>
  <c r="AG87" i="3"/>
  <c r="AH87" i="3" s="1"/>
  <c r="AF87" i="3"/>
  <c r="AG88" i="3"/>
  <c r="AH88" i="3" s="1"/>
  <c r="AF88" i="3"/>
  <c r="AG89" i="3"/>
  <c r="AH89" i="3" s="1"/>
  <c r="AF89" i="3"/>
  <c r="AG90" i="3"/>
  <c r="AH90" i="3" s="1"/>
  <c r="AF90" i="3"/>
  <c r="AG91" i="3"/>
  <c r="AH91" i="3" s="1"/>
  <c r="AF91" i="3"/>
  <c r="AG92" i="3"/>
  <c r="AH92" i="3" s="1"/>
  <c r="AF92" i="3"/>
  <c r="AG93" i="3"/>
  <c r="AH93" i="3" s="1"/>
  <c r="AF93" i="3"/>
  <c r="AG94" i="3"/>
  <c r="AH94" i="3" s="1"/>
  <c r="AF94" i="3"/>
  <c r="AG95" i="3"/>
  <c r="AH95" i="3" s="1"/>
  <c r="AF95" i="3"/>
  <c r="AG96" i="3"/>
  <c r="AH96" i="3" s="1"/>
  <c r="AF96" i="3"/>
  <c r="AG97" i="3"/>
  <c r="AH97" i="3" s="1"/>
  <c r="AF97" i="3"/>
  <c r="AG98" i="3"/>
  <c r="AH98" i="3" s="1"/>
  <c r="AF98" i="3"/>
  <c r="AG99" i="3"/>
  <c r="AH99" i="3" s="1"/>
  <c r="AF99" i="3"/>
  <c r="AG100" i="3"/>
  <c r="AH100" i="3" s="1"/>
  <c r="AF100" i="3"/>
  <c r="AG101" i="3"/>
  <c r="AH101" i="3" s="1"/>
  <c r="AF101" i="3"/>
  <c r="AG102" i="3"/>
  <c r="AH102" i="3" s="1"/>
  <c r="AF102" i="3"/>
  <c r="AG103" i="3"/>
  <c r="AH103" i="3" s="1"/>
  <c r="AF103" i="3"/>
  <c r="AG104" i="3"/>
  <c r="AH104" i="3" s="1"/>
  <c r="AF104" i="3"/>
  <c r="AG105" i="3"/>
  <c r="AH105" i="3" s="1"/>
  <c r="AF105" i="3"/>
  <c r="AG106" i="3"/>
  <c r="AH106" i="3" s="1"/>
  <c r="AF106" i="3"/>
  <c r="AG107" i="3"/>
  <c r="AH107" i="3" s="1"/>
  <c r="AF107" i="3"/>
  <c r="AG108" i="3"/>
  <c r="AH108" i="3" s="1"/>
  <c r="AF108" i="3"/>
  <c r="AG109" i="3"/>
  <c r="AH109" i="3" s="1"/>
  <c r="AF109" i="3"/>
  <c r="AG110" i="3"/>
  <c r="AH110" i="3" s="1"/>
  <c r="AF110" i="3"/>
  <c r="AG111" i="3"/>
  <c r="AH111" i="3" s="1"/>
  <c r="AF111" i="3"/>
  <c r="AG112" i="3"/>
  <c r="AH112" i="3" s="1"/>
  <c r="AF112" i="3"/>
  <c r="AG113" i="3"/>
  <c r="AH113" i="3" s="1"/>
  <c r="AF113" i="3"/>
  <c r="AG114" i="3"/>
  <c r="AH114" i="3" s="1"/>
  <c r="AF114" i="3"/>
  <c r="AG115" i="3"/>
  <c r="AH115" i="3" s="1"/>
  <c r="AF115" i="3"/>
  <c r="AG116" i="3"/>
  <c r="AH116" i="3" s="1"/>
  <c r="AF116" i="3"/>
  <c r="AG117" i="3"/>
  <c r="AH117" i="3" s="1"/>
  <c r="AF117" i="3"/>
  <c r="AG118" i="3"/>
  <c r="AH118" i="3" s="1"/>
  <c r="AF118" i="3"/>
  <c r="AG119" i="3"/>
  <c r="AH119" i="3" s="1"/>
  <c r="AF119" i="3"/>
  <c r="AG120" i="3"/>
  <c r="AH120" i="3" s="1"/>
  <c r="AF120" i="3"/>
  <c r="AG121" i="3"/>
  <c r="AH121" i="3" s="1"/>
  <c r="AF121" i="3"/>
  <c r="AG122" i="3"/>
  <c r="AH122" i="3" s="1"/>
  <c r="AF122" i="3"/>
  <c r="AG123" i="3"/>
  <c r="AH123" i="3" s="1"/>
  <c r="AF123" i="3"/>
  <c r="AG124" i="3"/>
  <c r="AH124" i="3" s="1"/>
  <c r="AF124" i="3"/>
  <c r="AG125" i="3"/>
  <c r="AH125" i="3" s="1"/>
  <c r="AF125" i="3"/>
  <c r="AG126" i="3"/>
  <c r="AH126" i="3" s="1"/>
  <c r="AF126" i="3"/>
  <c r="AF127" i="3"/>
  <c r="AG127" i="3"/>
  <c r="AH127" i="3" s="1"/>
  <c r="AF128" i="3"/>
  <c r="AG128" i="3"/>
  <c r="AH128" i="3" s="1"/>
  <c r="AG129" i="3"/>
  <c r="AH129" i="3" s="1"/>
  <c r="AF129" i="3"/>
  <c r="AG130" i="3"/>
  <c r="AH130" i="3" s="1"/>
  <c r="AF130" i="3"/>
  <c r="AF131" i="3"/>
  <c r="AG131" i="3"/>
  <c r="AH131" i="3" s="1"/>
  <c r="AF132" i="3"/>
  <c r="AG132" i="3"/>
  <c r="AH132" i="3" s="1"/>
  <c r="AG133" i="3"/>
  <c r="AH133" i="3" s="1"/>
  <c r="AF133" i="3"/>
  <c r="AG134" i="3"/>
  <c r="AH134" i="3" s="1"/>
  <c r="AF134" i="3"/>
  <c r="AG135" i="3"/>
  <c r="AH135" i="3" s="1"/>
  <c r="AF135" i="3"/>
  <c r="AF136" i="3"/>
  <c r="AG136" i="3"/>
  <c r="AH136" i="3" s="1"/>
  <c r="AG137" i="3"/>
  <c r="AH137" i="3" s="1"/>
  <c r="AF137" i="3"/>
  <c r="AG138" i="3"/>
  <c r="AH138" i="3" s="1"/>
  <c r="AF138" i="3"/>
  <c r="AF139" i="3"/>
  <c r="AG139" i="3"/>
  <c r="AH139" i="3" s="1"/>
  <c r="AG140" i="3"/>
  <c r="AH140" i="3" s="1"/>
  <c r="AF140" i="3"/>
  <c r="AF141" i="3"/>
  <c r="AG141" i="3"/>
  <c r="AH141" i="3" s="1"/>
  <c r="AJ6" i="3" l="1"/>
  <c r="AK6" i="3" s="1"/>
  <c r="AI6" i="3"/>
  <c r="AJ7" i="3"/>
  <c r="AK7" i="3" s="1"/>
  <c r="AI7" i="3"/>
  <c r="AJ8" i="3"/>
  <c r="AK8" i="3" s="1"/>
  <c r="AI8" i="3"/>
  <c r="AJ9" i="3"/>
  <c r="AK9" i="3" s="1"/>
  <c r="AI9" i="3"/>
  <c r="AJ10" i="3"/>
  <c r="AK10" i="3" s="1"/>
  <c r="AI10" i="3"/>
  <c r="AJ11" i="3"/>
  <c r="AK11" i="3" s="1"/>
  <c r="AI11" i="3"/>
  <c r="AJ12" i="3"/>
  <c r="AK12" i="3" s="1"/>
  <c r="AI12" i="3"/>
  <c r="AJ13" i="3"/>
  <c r="AK13" i="3" s="1"/>
  <c r="AI13" i="3"/>
  <c r="AJ14" i="3"/>
  <c r="AK14" i="3" s="1"/>
  <c r="AI14" i="3"/>
  <c r="AJ15" i="3"/>
  <c r="AK15" i="3" s="1"/>
  <c r="AI15" i="3"/>
  <c r="AJ16" i="3"/>
  <c r="AK16" i="3" s="1"/>
  <c r="AI16" i="3"/>
  <c r="AJ17" i="3"/>
  <c r="AK17" i="3" s="1"/>
  <c r="AI17" i="3"/>
  <c r="AJ18" i="3"/>
  <c r="AK18" i="3" s="1"/>
  <c r="AI18" i="3"/>
  <c r="AJ19" i="3"/>
  <c r="AK19" i="3" s="1"/>
  <c r="AI19" i="3"/>
  <c r="AJ20" i="3"/>
  <c r="AK20" i="3" s="1"/>
  <c r="AI20" i="3"/>
  <c r="AJ21" i="3"/>
  <c r="AK21" i="3" s="1"/>
  <c r="AI21" i="3"/>
  <c r="AJ22" i="3"/>
  <c r="AK22" i="3" s="1"/>
  <c r="AI22" i="3"/>
  <c r="AJ23" i="3"/>
  <c r="AK23" i="3" s="1"/>
  <c r="AI23" i="3"/>
  <c r="AJ24" i="3"/>
  <c r="AK24" i="3" s="1"/>
  <c r="AI24" i="3"/>
  <c r="AJ25" i="3"/>
  <c r="AK25" i="3" s="1"/>
  <c r="AI25" i="3"/>
  <c r="AJ26" i="3"/>
  <c r="AK26" i="3" s="1"/>
  <c r="AI26" i="3"/>
  <c r="AJ27" i="3"/>
  <c r="AK27" i="3" s="1"/>
  <c r="AI27" i="3"/>
  <c r="AJ28" i="3"/>
  <c r="AK28" i="3" s="1"/>
  <c r="AI28" i="3"/>
  <c r="AJ29" i="3"/>
  <c r="AK29" i="3" s="1"/>
  <c r="AI29" i="3"/>
  <c r="AJ30" i="3"/>
  <c r="AK30" i="3" s="1"/>
  <c r="AI30" i="3"/>
  <c r="AJ31" i="3"/>
  <c r="AK31" i="3" s="1"/>
  <c r="AI31" i="3"/>
  <c r="AJ32" i="3"/>
  <c r="AK32" i="3" s="1"/>
  <c r="AI32" i="3"/>
  <c r="AJ33" i="3"/>
  <c r="AK33" i="3" s="1"/>
  <c r="AI33" i="3"/>
  <c r="AJ34" i="3"/>
  <c r="AK34" i="3" s="1"/>
  <c r="AI34" i="3"/>
  <c r="AJ35" i="3"/>
  <c r="AK35" i="3" s="1"/>
  <c r="AI35" i="3"/>
  <c r="AJ36" i="3"/>
  <c r="AK36" i="3" s="1"/>
  <c r="AI36" i="3"/>
  <c r="AJ37" i="3"/>
  <c r="AK37" i="3" s="1"/>
  <c r="AI37" i="3"/>
  <c r="AJ38" i="3"/>
  <c r="AK38" i="3" s="1"/>
  <c r="AI38" i="3"/>
  <c r="AJ39" i="3"/>
  <c r="AK39" i="3" s="1"/>
  <c r="AI39" i="3"/>
  <c r="AJ40" i="3"/>
  <c r="AK40" i="3" s="1"/>
  <c r="AI40" i="3"/>
  <c r="AJ41" i="3"/>
  <c r="AK41" i="3" s="1"/>
  <c r="AI41" i="3"/>
  <c r="AJ42" i="3"/>
  <c r="AK42" i="3" s="1"/>
  <c r="AI42" i="3"/>
  <c r="AJ43" i="3"/>
  <c r="AK43" i="3" s="1"/>
  <c r="AI43" i="3"/>
  <c r="AJ44" i="3"/>
  <c r="AK44" i="3" s="1"/>
  <c r="AI44" i="3"/>
  <c r="AJ45" i="3"/>
  <c r="AK45" i="3" s="1"/>
  <c r="AI45" i="3"/>
  <c r="AI46" i="3"/>
  <c r="AJ46" i="3"/>
  <c r="AK46" i="3" s="1"/>
  <c r="AJ47" i="3"/>
  <c r="AK47" i="3" s="1"/>
  <c r="AI47" i="3"/>
  <c r="AI48" i="3"/>
  <c r="AJ48" i="3"/>
  <c r="AK48" i="3" s="1"/>
  <c r="AJ49" i="3"/>
  <c r="AK49" i="3" s="1"/>
  <c r="AI49" i="3"/>
  <c r="AJ50" i="3"/>
  <c r="AK50" i="3" s="1"/>
  <c r="AI50" i="3"/>
  <c r="AJ51" i="3"/>
  <c r="AK51" i="3" s="1"/>
  <c r="AI51" i="3"/>
  <c r="AJ52" i="3"/>
  <c r="AK52" i="3" s="1"/>
  <c r="AI52" i="3"/>
  <c r="AJ53" i="3"/>
  <c r="AK53" i="3" s="1"/>
  <c r="AI53" i="3"/>
  <c r="AJ54" i="3"/>
  <c r="AK54" i="3" s="1"/>
  <c r="AI54" i="3"/>
  <c r="AJ55" i="3"/>
  <c r="AK55" i="3" s="1"/>
  <c r="AI55" i="3"/>
  <c r="AJ56" i="3"/>
  <c r="AK56" i="3" s="1"/>
  <c r="AI56" i="3"/>
  <c r="AJ57" i="3"/>
  <c r="AK57" i="3" s="1"/>
  <c r="AI57" i="3"/>
  <c r="AJ58" i="3"/>
  <c r="AK58" i="3" s="1"/>
  <c r="AI58" i="3"/>
  <c r="AJ59" i="3"/>
  <c r="AK59" i="3" s="1"/>
  <c r="AI59" i="3"/>
  <c r="AJ60" i="3"/>
  <c r="AK60" i="3" s="1"/>
  <c r="AI60" i="3"/>
  <c r="AI61" i="3"/>
  <c r="AJ61" i="3"/>
  <c r="AK61" i="3" s="1"/>
  <c r="AI62" i="3"/>
  <c r="AJ62" i="3"/>
  <c r="AK62" i="3" s="1"/>
  <c r="AJ63" i="3"/>
  <c r="AK63" i="3" s="1"/>
  <c r="AI63" i="3"/>
  <c r="AJ64" i="3"/>
  <c r="AK64" i="3" s="1"/>
  <c r="AI64" i="3"/>
  <c r="AJ65" i="3"/>
  <c r="AK65" i="3" s="1"/>
  <c r="AI65" i="3"/>
  <c r="AJ66" i="3"/>
  <c r="AK66" i="3" s="1"/>
  <c r="AI66" i="3"/>
  <c r="AJ67" i="3"/>
  <c r="AK67" i="3" s="1"/>
  <c r="AI67" i="3"/>
  <c r="AI68" i="3"/>
  <c r="AJ68" i="3"/>
  <c r="AK68" i="3" s="1"/>
  <c r="AI69" i="3"/>
  <c r="AJ69" i="3"/>
  <c r="AK69" i="3" s="1"/>
  <c r="AI70" i="3"/>
  <c r="AJ70" i="3"/>
  <c r="AK70" i="3" s="1"/>
  <c r="AI71" i="3"/>
  <c r="AJ71" i="3"/>
  <c r="AK71" i="3" s="1"/>
  <c r="AJ72" i="3"/>
  <c r="AK72" i="3" s="1"/>
  <c r="AI72" i="3"/>
  <c r="AI73" i="3"/>
  <c r="AJ73" i="3"/>
  <c r="AK73" i="3" s="1"/>
  <c r="AI74" i="3"/>
  <c r="AJ74" i="3"/>
  <c r="AK74" i="3" s="1"/>
  <c r="AJ75" i="3"/>
  <c r="AK75" i="3" s="1"/>
  <c r="AI75" i="3"/>
  <c r="AI76" i="3"/>
  <c r="AJ76" i="3"/>
  <c r="AK76" i="3" s="1"/>
  <c r="AI77" i="3"/>
  <c r="AJ77" i="3"/>
  <c r="AK77" i="3" s="1"/>
  <c r="AJ78" i="3"/>
  <c r="AK78" i="3" s="1"/>
  <c r="AI78" i="3"/>
  <c r="AJ79" i="3"/>
  <c r="AK79" i="3" s="1"/>
  <c r="AI79" i="3"/>
  <c r="AJ80" i="3"/>
  <c r="AK80" i="3" s="1"/>
  <c r="AI80" i="3"/>
  <c r="AJ81" i="3"/>
  <c r="AK81" i="3" s="1"/>
  <c r="AI81" i="3"/>
  <c r="AJ82" i="3"/>
  <c r="AK82" i="3" s="1"/>
  <c r="AI82" i="3"/>
  <c r="AJ83" i="3"/>
  <c r="AK83" i="3" s="1"/>
  <c r="AI83" i="3"/>
  <c r="AJ84" i="3"/>
  <c r="AK84" i="3" s="1"/>
  <c r="AI84" i="3"/>
  <c r="AJ85" i="3"/>
  <c r="AK85" i="3" s="1"/>
  <c r="AI85" i="3"/>
  <c r="AJ86" i="3"/>
  <c r="AK86" i="3" s="1"/>
  <c r="AI86" i="3"/>
  <c r="AJ87" i="3"/>
  <c r="AK87" i="3" s="1"/>
  <c r="AI87" i="3"/>
  <c r="AJ88" i="3"/>
  <c r="AK88" i="3" s="1"/>
  <c r="AI88" i="3"/>
  <c r="AJ89" i="3"/>
  <c r="AK89" i="3" s="1"/>
  <c r="AI89" i="3"/>
  <c r="AJ90" i="3"/>
  <c r="AK90" i="3" s="1"/>
  <c r="AI90" i="3"/>
  <c r="AJ91" i="3"/>
  <c r="AK91" i="3" s="1"/>
  <c r="AI91" i="3"/>
  <c r="AJ92" i="3"/>
  <c r="AK92" i="3" s="1"/>
  <c r="AI92" i="3"/>
  <c r="AJ93" i="3"/>
  <c r="AK93" i="3" s="1"/>
  <c r="AI93" i="3"/>
  <c r="AJ94" i="3"/>
  <c r="AK94" i="3" s="1"/>
  <c r="AI94" i="3"/>
  <c r="AJ95" i="3"/>
  <c r="AK95" i="3" s="1"/>
  <c r="AI95" i="3"/>
  <c r="AJ96" i="3"/>
  <c r="AK96" i="3" s="1"/>
  <c r="AI96" i="3"/>
  <c r="AJ97" i="3"/>
  <c r="AK97" i="3" s="1"/>
  <c r="AI97" i="3"/>
  <c r="AJ98" i="3"/>
  <c r="AK98" i="3" s="1"/>
  <c r="AI98" i="3"/>
  <c r="AJ99" i="3"/>
  <c r="AK99" i="3" s="1"/>
  <c r="AI99" i="3"/>
  <c r="AJ100" i="3"/>
  <c r="AK100" i="3" s="1"/>
  <c r="AI100" i="3"/>
  <c r="AJ101" i="3"/>
  <c r="AK101" i="3" s="1"/>
  <c r="AI101" i="3"/>
  <c r="AJ102" i="3"/>
  <c r="AK102" i="3" s="1"/>
  <c r="AI102" i="3"/>
  <c r="AJ103" i="3"/>
  <c r="AK103" i="3" s="1"/>
  <c r="AI103" i="3"/>
  <c r="AJ104" i="3"/>
  <c r="AK104" i="3" s="1"/>
  <c r="AI104" i="3"/>
  <c r="AJ105" i="3"/>
  <c r="AK105" i="3" s="1"/>
  <c r="AI105" i="3"/>
  <c r="AJ106" i="3"/>
  <c r="AK106" i="3" s="1"/>
  <c r="AI106" i="3"/>
  <c r="AJ107" i="3"/>
  <c r="AK107" i="3" s="1"/>
  <c r="AI107" i="3"/>
  <c r="AJ108" i="3"/>
  <c r="AK108" i="3" s="1"/>
  <c r="AI108" i="3"/>
  <c r="AJ109" i="3"/>
  <c r="AK109" i="3" s="1"/>
  <c r="AI109" i="3"/>
  <c r="AJ110" i="3"/>
  <c r="AK110" i="3" s="1"/>
  <c r="AI110" i="3"/>
  <c r="AJ111" i="3"/>
  <c r="AK111" i="3" s="1"/>
  <c r="AI111" i="3"/>
  <c r="AJ112" i="3"/>
  <c r="AK112" i="3" s="1"/>
  <c r="AI112" i="3"/>
  <c r="AJ113" i="3"/>
  <c r="AK113" i="3" s="1"/>
  <c r="AI113" i="3"/>
  <c r="AJ114" i="3"/>
  <c r="AK114" i="3" s="1"/>
  <c r="AI114" i="3"/>
  <c r="AJ115" i="3"/>
  <c r="AK115" i="3" s="1"/>
  <c r="AI115" i="3"/>
  <c r="AJ116" i="3"/>
  <c r="AK116" i="3" s="1"/>
  <c r="AI116" i="3"/>
  <c r="AJ117" i="3"/>
  <c r="AK117" i="3" s="1"/>
  <c r="AI117" i="3"/>
  <c r="AJ118" i="3"/>
  <c r="AK118" i="3" s="1"/>
  <c r="AI118" i="3"/>
  <c r="AJ119" i="3"/>
  <c r="AK119" i="3" s="1"/>
  <c r="AI119" i="3"/>
  <c r="AJ120" i="3"/>
  <c r="AK120" i="3" s="1"/>
  <c r="AI120" i="3"/>
  <c r="AJ121" i="3"/>
  <c r="AK121" i="3" s="1"/>
  <c r="AI121" i="3"/>
  <c r="AJ122" i="3"/>
  <c r="AK122" i="3" s="1"/>
  <c r="AI122" i="3"/>
  <c r="AJ123" i="3"/>
  <c r="AK123" i="3" s="1"/>
  <c r="AI123" i="3"/>
  <c r="AJ124" i="3"/>
  <c r="AK124" i="3" s="1"/>
  <c r="AI124" i="3"/>
  <c r="AJ125" i="3"/>
  <c r="AK125" i="3" s="1"/>
  <c r="AI125" i="3"/>
  <c r="AJ126" i="3"/>
  <c r="AK126" i="3" s="1"/>
  <c r="AI126" i="3"/>
  <c r="AJ127" i="3"/>
  <c r="AK127" i="3" s="1"/>
  <c r="AI127" i="3"/>
  <c r="AJ128" i="3"/>
  <c r="AK128" i="3" s="1"/>
  <c r="AI128" i="3"/>
  <c r="AJ129" i="3"/>
  <c r="AK129" i="3" s="1"/>
  <c r="AI129" i="3"/>
  <c r="AI130" i="3"/>
  <c r="AJ130" i="3"/>
  <c r="AK130" i="3" s="1"/>
  <c r="AI131" i="3"/>
  <c r="AJ131" i="3"/>
  <c r="AK131" i="3" s="1"/>
  <c r="AJ132" i="3"/>
  <c r="AK132" i="3" s="1"/>
  <c r="AI132" i="3"/>
  <c r="AJ133" i="3"/>
  <c r="AK133" i="3" s="1"/>
  <c r="AI133" i="3"/>
  <c r="AJ134" i="3"/>
  <c r="AK134" i="3" s="1"/>
  <c r="AI134" i="3"/>
  <c r="AI135" i="3"/>
  <c r="AJ135" i="3"/>
  <c r="AK135" i="3" s="1"/>
  <c r="AJ136" i="3"/>
  <c r="AK136" i="3" s="1"/>
  <c r="AI136" i="3"/>
  <c r="AI137" i="3"/>
  <c r="AJ137" i="3"/>
  <c r="AK137" i="3" s="1"/>
  <c r="AJ138" i="3"/>
  <c r="AK138" i="3" s="1"/>
  <c r="AI138" i="3"/>
  <c r="AI139" i="3"/>
  <c r="AJ139" i="3"/>
  <c r="AK139" i="3" s="1"/>
  <c r="AI140" i="3"/>
  <c r="AJ140" i="3"/>
  <c r="AK140" i="3" s="1"/>
  <c r="AI141" i="3"/>
  <c r="AJ141" i="3"/>
  <c r="AK141" i="3" s="1"/>
  <c r="AM6" i="3" l="1"/>
  <c r="AN6" i="3" s="1"/>
  <c r="AL6" i="3"/>
  <c r="AM7" i="3"/>
  <c r="AN7" i="3" s="1"/>
  <c r="AL7" i="3"/>
  <c r="AM8" i="3"/>
  <c r="AN8" i="3" s="1"/>
  <c r="AL8" i="3"/>
  <c r="AM9" i="3"/>
  <c r="AN9" i="3" s="1"/>
  <c r="AL9" i="3"/>
  <c r="AM10" i="3"/>
  <c r="AN10" i="3" s="1"/>
  <c r="AL10" i="3"/>
  <c r="AM11" i="3"/>
  <c r="AN11" i="3" s="1"/>
  <c r="AL11" i="3"/>
  <c r="AM12" i="3"/>
  <c r="AN12" i="3" s="1"/>
  <c r="AL12" i="3"/>
  <c r="AM13" i="3"/>
  <c r="AN13" i="3" s="1"/>
  <c r="AL13" i="3"/>
  <c r="AM14" i="3"/>
  <c r="AN14" i="3" s="1"/>
  <c r="AL14" i="3"/>
  <c r="AM15" i="3"/>
  <c r="AN15" i="3" s="1"/>
  <c r="AL15" i="3"/>
  <c r="AM16" i="3"/>
  <c r="AN16" i="3" s="1"/>
  <c r="AL16" i="3"/>
  <c r="AM17" i="3"/>
  <c r="AN17" i="3" s="1"/>
  <c r="AL17" i="3"/>
  <c r="AM18" i="3"/>
  <c r="AN18" i="3" s="1"/>
  <c r="AL18" i="3"/>
  <c r="AM19" i="3"/>
  <c r="AN19" i="3" s="1"/>
  <c r="AL19" i="3"/>
  <c r="AM20" i="3"/>
  <c r="AN20" i="3" s="1"/>
  <c r="AL20" i="3"/>
  <c r="AM21" i="3"/>
  <c r="AN21" i="3" s="1"/>
  <c r="AL21" i="3"/>
  <c r="AM22" i="3"/>
  <c r="AN22" i="3" s="1"/>
  <c r="AL22" i="3"/>
  <c r="AM23" i="3"/>
  <c r="AN23" i="3" s="1"/>
  <c r="AL23" i="3"/>
  <c r="AM24" i="3"/>
  <c r="AN24" i="3" s="1"/>
  <c r="AL24" i="3"/>
  <c r="AM25" i="3"/>
  <c r="AN25" i="3" s="1"/>
  <c r="AL25" i="3"/>
  <c r="AM26" i="3"/>
  <c r="AN26" i="3" s="1"/>
  <c r="AL26" i="3"/>
  <c r="AM27" i="3"/>
  <c r="AN27" i="3" s="1"/>
  <c r="AL27" i="3"/>
  <c r="AM28" i="3"/>
  <c r="AN28" i="3" s="1"/>
  <c r="AL28" i="3"/>
  <c r="AM29" i="3"/>
  <c r="AN29" i="3" s="1"/>
  <c r="AL29" i="3"/>
  <c r="AM30" i="3"/>
  <c r="AN30" i="3" s="1"/>
  <c r="AL30" i="3"/>
  <c r="AM31" i="3"/>
  <c r="AN31" i="3" s="1"/>
  <c r="AL31" i="3"/>
  <c r="AM32" i="3"/>
  <c r="AN32" i="3" s="1"/>
  <c r="AL32" i="3"/>
  <c r="AM33" i="3"/>
  <c r="AN33" i="3" s="1"/>
  <c r="AL33" i="3"/>
  <c r="AL34" i="3"/>
  <c r="AM34" i="3"/>
  <c r="AN34" i="3" s="1"/>
  <c r="AM35" i="3"/>
  <c r="AN35" i="3" s="1"/>
  <c r="AL35" i="3"/>
  <c r="AM36" i="3"/>
  <c r="AN36" i="3" s="1"/>
  <c r="AL36" i="3"/>
  <c r="AM37" i="3"/>
  <c r="AN37" i="3" s="1"/>
  <c r="AL37" i="3"/>
  <c r="AM38" i="3"/>
  <c r="AN38" i="3" s="1"/>
  <c r="AL38" i="3"/>
  <c r="AM39" i="3"/>
  <c r="AN39" i="3" s="1"/>
  <c r="AL39" i="3"/>
  <c r="AM40" i="3"/>
  <c r="AN40" i="3" s="1"/>
  <c r="AL40" i="3"/>
  <c r="AM41" i="3"/>
  <c r="AN41" i="3" s="1"/>
  <c r="AL41" i="3"/>
  <c r="AM42" i="3"/>
  <c r="AN42" i="3" s="1"/>
  <c r="AL42" i="3"/>
  <c r="AM43" i="3"/>
  <c r="AN43" i="3" s="1"/>
  <c r="AL43" i="3"/>
  <c r="AM44" i="3"/>
  <c r="AN44" i="3" s="1"/>
  <c r="AL44" i="3"/>
  <c r="AM45" i="3"/>
  <c r="AN45" i="3" s="1"/>
  <c r="AL45" i="3"/>
  <c r="AL46" i="3"/>
  <c r="AM46" i="3"/>
  <c r="AN46" i="3" s="1"/>
  <c r="AM47" i="3"/>
  <c r="AN47" i="3" s="1"/>
  <c r="AL47" i="3"/>
  <c r="AM48" i="3"/>
  <c r="AN48" i="3" s="1"/>
  <c r="AL48" i="3"/>
  <c r="AM49" i="3"/>
  <c r="AN49" i="3" s="1"/>
  <c r="AL49" i="3"/>
  <c r="AM50" i="3"/>
  <c r="AN50" i="3" s="1"/>
  <c r="AL50" i="3"/>
  <c r="AM51" i="3"/>
  <c r="AN51" i="3" s="1"/>
  <c r="AL51" i="3"/>
  <c r="AM52" i="3"/>
  <c r="AN52" i="3" s="1"/>
  <c r="AL52" i="3"/>
  <c r="AM53" i="3"/>
  <c r="AN53" i="3" s="1"/>
  <c r="AL53" i="3"/>
  <c r="AM54" i="3"/>
  <c r="AN54" i="3" s="1"/>
  <c r="AL54" i="3"/>
  <c r="AM55" i="3"/>
  <c r="AN55" i="3" s="1"/>
  <c r="AL55" i="3"/>
  <c r="AM56" i="3"/>
  <c r="AN56" i="3" s="1"/>
  <c r="AL56" i="3"/>
  <c r="AM57" i="3"/>
  <c r="AN57" i="3" s="1"/>
  <c r="AL57" i="3"/>
  <c r="AM58" i="3"/>
  <c r="AN58" i="3" s="1"/>
  <c r="AL58" i="3"/>
  <c r="AM59" i="3"/>
  <c r="AN59" i="3" s="1"/>
  <c r="AL59" i="3"/>
  <c r="AM60" i="3"/>
  <c r="AN60" i="3" s="1"/>
  <c r="AL60" i="3"/>
  <c r="AL61" i="3"/>
  <c r="AM61" i="3"/>
  <c r="AN61" i="3" s="1"/>
  <c r="AL62" i="3"/>
  <c r="AM62" i="3"/>
  <c r="AN62" i="3" s="1"/>
  <c r="AM63" i="3"/>
  <c r="AN63" i="3" s="1"/>
  <c r="AL63" i="3"/>
  <c r="AM64" i="3"/>
  <c r="AN64" i="3" s="1"/>
  <c r="AL64" i="3"/>
  <c r="AM65" i="3"/>
  <c r="AN65" i="3" s="1"/>
  <c r="AL65" i="3"/>
  <c r="AL66" i="3"/>
  <c r="AM66" i="3"/>
  <c r="AN66" i="3" s="1"/>
  <c r="AL67" i="3"/>
  <c r="AM67" i="3"/>
  <c r="AN67" i="3" s="1"/>
  <c r="AM68" i="3"/>
  <c r="AN68" i="3" s="1"/>
  <c r="AL68" i="3"/>
  <c r="AM69" i="3"/>
  <c r="AN69" i="3" s="1"/>
  <c r="AL69" i="3"/>
  <c r="AL70" i="3"/>
  <c r="AM70" i="3"/>
  <c r="AN70" i="3" s="1"/>
  <c r="AM71" i="3"/>
  <c r="AN71" i="3" s="1"/>
  <c r="AL71" i="3"/>
  <c r="AL72" i="3"/>
  <c r="AM72" i="3"/>
  <c r="AN72" i="3" s="1"/>
  <c r="AM73" i="3"/>
  <c r="AN73" i="3" s="1"/>
  <c r="AL73" i="3"/>
  <c r="AM74" i="3"/>
  <c r="AN74" i="3" s="1"/>
  <c r="AL74" i="3"/>
  <c r="AL75" i="3"/>
  <c r="AM75" i="3"/>
  <c r="AN75" i="3" s="1"/>
  <c r="AM76" i="3"/>
  <c r="AN76" i="3" s="1"/>
  <c r="AL76" i="3"/>
  <c r="AM77" i="3"/>
  <c r="AN77" i="3" s="1"/>
  <c r="AL77" i="3"/>
  <c r="AM78" i="3"/>
  <c r="AN78" i="3" s="1"/>
  <c r="AL78" i="3"/>
  <c r="AM79" i="3"/>
  <c r="AN79" i="3" s="1"/>
  <c r="AL79" i="3"/>
  <c r="AM80" i="3"/>
  <c r="AN80" i="3" s="1"/>
  <c r="AL80" i="3"/>
  <c r="AM81" i="3"/>
  <c r="AN81" i="3" s="1"/>
  <c r="AL81" i="3"/>
  <c r="AM82" i="3"/>
  <c r="AN82" i="3" s="1"/>
  <c r="AL82" i="3"/>
  <c r="AM83" i="3"/>
  <c r="AN83" i="3" s="1"/>
  <c r="AL83" i="3"/>
  <c r="AM84" i="3"/>
  <c r="AN84" i="3" s="1"/>
  <c r="AL84" i="3"/>
  <c r="AM85" i="3"/>
  <c r="AN85" i="3" s="1"/>
  <c r="AL85" i="3"/>
  <c r="AM86" i="3"/>
  <c r="AN86" i="3" s="1"/>
  <c r="AL86" i="3"/>
  <c r="AM87" i="3"/>
  <c r="AN87" i="3" s="1"/>
  <c r="AL87" i="3"/>
  <c r="AM88" i="3"/>
  <c r="AN88" i="3" s="1"/>
  <c r="AL88" i="3"/>
  <c r="AM89" i="3"/>
  <c r="AN89" i="3" s="1"/>
  <c r="AL89" i="3"/>
  <c r="AM90" i="3"/>
  <c r="AN90" i="3" s="1"/>
  <c r="AL90" i="3"/>
  <c r="AM91" i="3"/>
  <c r="AN91" i="3" s="1"/>
  <c r="AL91" i="3"/>
  <c r="AM92" i="3"/>
  <c r="AN92" i="3" s="1"/>
  <c r="AL92" i="3"/>
  <c r="AM93" i="3"/>
  <c r="AN93" i="3" s="1"/>
  <c r="AL93" i="3"/>
  <c r="AM94" i="3"/>
  <c r="AN94" i="3" s="1"/>
  <c r="AL94" i="3"/>
  <c r="AM95" i="3"/>
  <c r="AN95" i="3" s="1"/>
  <c r="AL95" i="3"/>
  <c r="AM96" i="3"/>
  <c r="AN96" i="3" s="1"/>
  <c r="AL96" i="3"/>
  <c r="AM97" i="3"/>
  <c r="AN97" i="3" s="1"/>
  <c r="AL97" i="3"/>
  <c r="AM98" i="3"/>
  <c r="AN98" i="3" s="1"/>
  <c r="AL98" i="3"/>
  <c r="AM99" i="3"/>
  <c r="AN99" i="3" s="1"/>
  <c r="AL99" i="3"/>
  <c r="AM100" i="3"/>
  <c r="AN100" i="3" s="1"/>
  <c r="AL100" i="3"/>
  <c r="AM101" i="3"/>
  <c r="AN101" i="3" s="1"/>
  <c r="AL101" i="3"/>
  <c r="AM102" i="3"/>
  <c r="AN102" i="3" s="1"/>
  <c r="AL102" i="3"/>
  <c r="AM103" i="3"/>
  <c r="AN103" i="3" s="1"/>
  <c r="AL103" i="3"/>
  <c r="AM104" i="3"/>
  <c r="AN104" i="3" s="1"/>
  <c r="AL104" i="3"/>
  <c r="AM105" i="3"/>
  <c r="AN105" i="3" s="1"/>
  <c r="AL105" i="3"/>
  <c r="AM106" i="3"/>
  <c r="AN106" i="3" s="1"/>
  <c r="AL106" i="3"/>
  <c r="AM107" i="3"/>
  <c r="AN107" i="3" s="1"/>
  <c r="AL107" i="3"/>
  <c r="AM108" i="3"/>
  <c r="AN108" i="3" s="1"/>
  <c r="AL108" i="3"/>
  <c r="AM109" i="3"/>
  <c r="AN109" i="3" s="1"/>
  <c r="AL109" i="3"/>
  <c r="AM110" i="3"/>
  <c r="AN110" i="3" s="1"/>
  <c r="AL110" i="3"/>
  <c r="AM111" i="3"/>
  <c r="AN111" i="3" s="1"/>
  <c r="AL111" i="3"/>
  <c r="AM112" i="3"/>
  <c r="AN112" i="3" s="1"/>
  <c r="AL112" i="3"/>
  <c r="AM113" i="3"/>
  <c r="AN113" i="3" s="1"/>
  <c r="AL113" i="3"/>
  <c r="AM114" i="3"/>
  <c r="AN114" i="3" s="1"/>
  <c r="AL114" i="3"/>
  <c r="AM115" i="3"/>
  <c r="AN115" i="3" s="1"/>
  <c r="AL115" i="3"/>
  <c r="AM116" i="3"/>
  <c r="AN116" i="3" s="1"/>
  <c r="AL116" i="3"/>
  <c r="AM117" i="3"/>
  <c r="AN117" i="3" s="1"/>
  <c r="AL117" i="3"/>
  <c r="AM118" i="3"/>
  <c r="AN118" i="3" s="1"/>
  <c r="AL118" i="3"/>
  <c r="AM119" i="3"/>
  <c r="AN119" i="3" s="1"/>
  <c r="AL119" i="3"/>
  <c r="AM120" i="3"/>
  <c r="AN120" i="3" s="1"/>
  <c r="AL120" i="3"/>
  <c r="AM121" i="3"/>
  <c r="AN121" i="3" s="1"/>
  <c r="AL121" i="3"/>
  <c r="AM122" i="3"/>
  <c r="AN122" i="3" s="1"/>
  <c r="AL122" i="3"/>
  <c r="AM123" i="3"/>
  <c r="AN123" i="3" s="1"/>
  <c r="AL123" i="3"/>
  <c r="AM124" i="3"/>
  <c r="AN124" i="3" s="1"/>
  <c r="AL124" i="3"/>
  <c r="AM125" i="3"/>
  <c r="AN125" i="3" s="1"/>
  <c r="AL125" i="3"/>
  <c r="AM126" i="3"/>
  <c r="AN126" i="3" s="1"/>
  <c r="AL126" i="3"/>
  <c r="AM127" i="3"/>
  <c r="AN127" i="3" s="1"/>
  <c r="AL127" i="3"/>
  <c r="AM128" i="3"/>
  <c r="AN128" i="3" s="1"/>
  <c r="AL128" i="3"/>
  <c r="AM129" i="3"/>
  <c r="AN129" i="3" s="1"/>
  <c r="AL129" i="3"/>
  <c r="AL130" i="3"/>
  <c r="AM130" i="3"/>
  <c r="AN130" i="3" s="1"/>
  <c r="AL131" i="3"/>
  <c r="AM131" i="3"/>
  <c r="AN131" i="3" s="1"/>
  <c r="AL132" i="3"/>
  <c r="AM132" i="3"/>
  <c r="AN132" i="3" s="1"/>
  <c r="AM133" i="3"/>
  <c r="AN133" i="3" s="1"/>
  <c r="AL133" i="3"/>
  <c r="AM134" i="3"/>
  <c r="AN134" i="3" s="1"/>
  <c r="AL134" i="3"/>
  <c r="AL135" i="3"/>
  <c r="AM135" i="3"/>
  <c r="AN135" i="3" s="1"/>
  <c r="AM136" i="3"/>
  <c r="AN136" i="3" s="1"/>
  <c r="AL136" i="3"/>
  <c r="AM137" i="3"/>
  <c r="AN137" i="3" s="1"/>
  <c r="AL137" i="3"/>
  <c r="AL138" i="3"/>
  <c r="AM138" i="3"/>
  <c r="AN138" i="3" s="1"/>
  <c r="AL139" i="3"/>
  <c r="AM139" i="3"/>
  <c r="AN139" i="3" s="1"/>
  <c r="AL140" i="3"/>
  <c r="AM140" i="3"/>
  <c r="AN140" i="3" s="1"/>
  <c r="AM141" i="3"/>
  <c r="AN141" i="3" s="1"/>
  <c r="AL141" i="3"/>
  <c r="AP6" i="3" l="1"/>
  <c r="AQ6" i="3" s="1"/>
  <c r="AO6" i="3"/>
  <c r="AP7" i="3"/>
  <c r="AQ7" i="3" s="1"/>
  <c r="AO7" i="3"/>
  <c r="AP8" i="3"/>
  <c r="AQ8" i="3" s="1"/>
  <c r="AO8" i="3"/>
  <c r="AP9" i="3"/>
  <c r="AQ9" i="3" s="1"/>
  <c r="AO9" i="3"/>
  <c r="AP10" i="3"/>
  <c r="AQ10" i="3" s="1"/>
  <c r="AO10" i="3"/>
  <c r="AP11" i="3"/>
  <c r="AQ11" i="3" s="1"/>
  <c r="AO11" i="3"/>
  <c r="AP12" i="3"/>
  <c r="AQ12" i="3" s="1"/>
  <c r="AO12" i="3"/>
  <c r="AP13" i="3"/>
  <c r="AQ13" i="3" s="1"/>
  <c r="AO13" i="3"/>
  <c r="AP14" i="3"/>
  <c r="AQ14" i="3" s="1"/>
  <c r="AO14" i="3"/>
  <c r="AP15" i="3"/>
  <c r="AQ15" i="3" s="1"/>
  <c r="AO15" i="3"/>
  <c r="AP16" i="3"/>
  <c r="AQ16" i="3" s="1"/>
  <c r="AO16" i="3"/>
  <c r="AP17" i="3"/>
  <c r="AQ17" i="3" s="1"/>
  <c r="AO17" i="3"/>
  <c r="AP18" i="3"/>
  <c r="AQ18" i="3" s="1"/>
  <c r="AO18" i="3"/>
  <c r="AP19" i="3"/>
  <c r="AQ19" i="3" s="1"/>
  <c r="AO19" i="3"/>
  <c r="AP20" i="3"/>
  <c r="AQ20" i="3" s="1"/>
  <c r="AO20" i="3"/>
  <c r="AP21" i="3"/>
  <c r="AQ21" i="3" s="1"/>
  <c r="AO21" i="3"/>
  <c r="AP22" i="3"/>
  <c r="AQ22" i="3" s="1"/>
  <c r="AO22" i="3"/>
  <c r="AP23" i="3"/>
  <c r="AQ23" i="3" s="1"/>
  <c r="AO23" i="3"/>
  <c r="AP24" i="3"/>
  <c r="AQ24" i="3" s="1"/>
  <c r="AO24" i="3"/>
  <c r="AP25" i="3"/>
  <c r="AQ25" i="3" s="1"/>
  <c r="AO25" i="3"/>
  <c r="AP26" i="3"/>
  <c r="AQ26" i="3" s="1"/>
  <c r="AO26" i="3"/>
  <c r="AP27" i="3"/>
  <c r="AQ27" i="3" s="1"/>
  <c r="AO27" i="3"/>
  <c r="AP28" i="3"/>
  <c r="AQ28" i="3" s="1"/>
  <c r="AO28" i="3"/>
  <c r="AP29" i="3"/>
  <c r="AQ29" i="3" s="1"/>
  <c r="AO29" i="3"/>
  <c r="AP30" i="3"/>
  <c r="AQ30" i="3" s="1"/>
  <c r="AO30" i="3"/>
  <c r="AP31" i="3"/>
  <c r="AQ31" i="3" s="1"/>
  <c r="AO31" i="3"/>
  <c r="AP32" i="3"/>
  <c r="AQ32" i="3" s="1"/>
  <c r="AO32" i="3"/>
  <c r="AP33" i="3"/>
  <c r="AQ33" i="3" s="1"/>
  <c r="AO33" i="3"/>
  <c r="AP34" i="3"/>
  <c r="AQ34" i="3" s="1"/>
  <c r="AO34" i="3"/>
  <c r="AP35" i="3"/>
  <c r="AQ35" i="3" s="1"/>
  <c r="AO35" i="3"/>
  <c r="AP36" i="3"/>
  <c r="AQ36" i="3" s="1"/>
  <c r="AO36" i="3"/>
  <c r="AP37" i="3"/>
  <c r="AQ37" i="3" s="1"/>
  <c r="AO37" i="3"/>
  <c r="AP38" i="3"/>
  <c r="AQ38" i="3" s="1"/>
  <c r="AO38" i="3"/>
  <c r="AP39" i="3"/>
  <c r="AQ39" i="3" s="1"/>
  <c r="AO39" i="3"/>
  <c r="AP40" i="3"/>
  <c r="AQ40" i="3" s="1"/>
  <c r="AO40" i="3"/>
  <c r="AP41" i="3"/>
  <c r="AQ41" i="3" s="1"/>
  <c r="AO41" i="3"/>
  <c r="AP42" i="3"/>
  <c r="AQ42" i="3" s="1"/>
  <c r="AO42" i="3"/>
  <c r="AP43" i="3"/>
  <c r="AQ43" i="3" s="1"/>
  <c r="AO43" i="3"/>
  <c r="AP44" i="3"/>
  <c r="AQ44" i="3" s="1"/>
  <c r="AO44" i="3"/>
  <c r="AP45" i="3"/>
  <c r="AQ45" i="3" s="1"/>
  <c r="AO45" i="3"/>
  <c r="AP46" i="3"/>
  <c r="AQ46" i="3" s="1"/>
  <c r="AO46" i="3"/>
  <c r="AP47" i="3"/>
  <c r="AQ47" i="3" s="1"/>
  <c r="AO47" i="3"/>
  <c r="AP48" i="3"/>
  <c r="AQ48" i="3" s="1"/>
  <c r="AO48" i="3"/>
  <c r="AP49" i="3"/>
  <c r="AQ49" i="3" s="1"/>
  <c r="AO49" i="3"/>
  <c r="AP50" i="3"/>
  <c r="AQ50" i="3" s="1"/>
  <c r="AO50" i="3"/>
  <c r="AP51" i="3"/>
  <c r="AQ51" i="3" s="1"/>
  <c r="AO51" i="3"/>
  <c r="AP52" i="3"/>
  <c r="AQ52" i="3" s="1"/>
  <c r="AO52" i="3"/>
  <c r="AP53" i="3"/>
  <c r="AQ53" i="3" s="1"/>
  <c r="AO53" i="3"/>
  <c r="AP54" i="3"/>
  <c r="AQ54" i="3" s="1"/>
  <c r="AO54" i="3"/>
  <c r="AP55" i="3"/>
  <c r="AQ55" i="3" s="1"/>
  <c r="AO55" i="3"/>
  <c r="AP56" i="3"/>
  <c r="AQ56" i="3" s="1"/>
  <c r="AO56" i="3"/>
  <c r="AP57" i="3"/>
  <c r="AQ57" i="3" s="1"/>
  <c r="AO57" i="3"/>
  <c r="AP58" i="3"/>
  <c r="AQ58" i="3" s="1"/>
  <c r="AO58" i="3"/>
  <c r="AP59" i="3"/>
  <c r="AQ59" i="3" s="1"/>
  <c r="AO59" i="3"/>
  <c r="AP60" i="3"/>
  <c r="AQ60" i="3" s="1"/>
  <c r="AO60" i="3"/>
  <c r="AP61" i="3"/>
  <c r="AQ61" i="3" s="1"/>
  <c r="AO61" i="3"/>
  <c r="AO62" i="3"/>
  <c r="AP62" i="3"/>
  <c r="AQ62" i="3" s="1"/>
  <c r="AP63" i="3"/>
  <c r="AQ63" i="3" s="1"/>
  <c r="AO63" i="3"/>
  <c r="AP64" i="3"/>
  <c r="AQ64" i="3" s="1"/>
  <c r="AO64" i="3"/>
  <c r="AP65" i="3"/>
  <c r="AQ65" i="3" s="1"/>
  <c r="AO65" i="3"/>
  <c r="AO66" i="3"/>
  <c r="AP66" i="3"/>
  <c r="AQ66" i="3" s="1"/>
  <c r="AO67" i="3"/>
  <c r="AP67" i="3"/>
  <c r="AQ67" i="3" s="1"/>
  <c r="AO68" i="3"/>
  <c r="AP68" i="3"/>
  <c r="AQ68" i="3" s="1"/>
  <c r="AO69" i="3"/>
  <c r="AP69" i="3"/>
  <c r="AQ69" i="3" s="1"/>
  <c r="AP70" i="3"/>
  <c r="AQ70" i="3" s="1"/>
  <c r="AO70" i="3"/>
  <c r="AO71" i="3"/>
  <c r="AP71" i="3"/>
  <c r="AQ71" i="3" s="1"/>
  <c r="AO72" i="3"/>
  <c r="AP72" i="3"/>
  <c r="AQ72" i="3" s="1"/>
  <c r="AO73" i="3"/>
  <c r="AP73" i="3"/>
  <c r="AQ73" i="3" s="1"/>
  <c r="AO74" i="3"/>
  <c r="AP74" i="3"/>
  <c r="AQ74" i="3" s="1"/>
  <c r="AP75" i="3"/>
  <c r="AQ75" i="3" s="1"/>
  <c r="AO75" i="3"/>
  <c r="AO76" i="3"/>
  <c r="AP76" i="3"/>
  <c r="AQ76" i="3" s="1"/>
  <c r="AP77" i="3"/>
  <c r="AQ77" i="3" s="1"/>
  <c r="AO77" i="3"/>
  <c r="AP78" i="3"/>
  <c r="AQ78" i="3" s="1"/>
  <c r="AO78" i="3"/>
  <c r="AP79" i="3"/>
  <c r="AQ79" i="3" s="1"/>
  <c r="AO79" i="3"/>
  <c r="AP80" i="3"/>
  <c r="AQ80" i="3" s="1"/>
  <c r="AO80" i="3"/>
  <c r="AP81" i="3"/>
  <c r="AQ81" i="3" s="1"/>
  <c r="AO81" i="3"/>
  <c r="AP82" i="3"/>
  <c r="AQ82" i="3" s="1"/>
  <c r="AO82" i="3"/>
  <c r="AP83" i="3"/>
  <c r="AQ83" i="3" s="1"/>
  <c r="AO83" i="3"/>
  <c r="AP84" i="3"/>
  <c r="AQ84" i="3" s="1"/>
  <c r="AO84" i="3"/>
  <c r="AP85" i="3"/>
  <c r="AQ85" i="3" s="1"/>
  <c r="AO85" i="3"/>
  <c r="AP86" i="3"/>
  <c r="AQ86" i="3" s="1"/>
  <c r="AO86" i="3"/>
  <c r="AP87" i="3"/>
  <c r="AQ87" i="3" s="1"/>
  <c r="AO87" i="3"/>
  <c r="AP88" i="3"/>
  <c r="AQ88" i="3" s="1"/>
  <c r="AO88" i="3"/>
  <c r="AP89" i="3"/>
  <c r="AQ89" i="3" s="1"/>
  <c r="AO89" i="3"/>
  <c r="AP90" i="3"/>
  <c r="AQ90" i="3" s="1"/>
  <c r="AO90" i="3"/>
  <c r="AP91" i="3"/>
  <c r="AQ91" i="3" s="1"/>
  <c r="AO91" i="3"/>
  <c r="AP92" i="3"/>
  <c r="AQ92" i="3" s="1"/>
  <c r="AO92" i="3"/>
  <c r="AP93" i="3"/>
  <c r="AQ93" i="3" s="1"/>
  <c r="AO93" i="3"/>
  <c r="AP94" i="3"/>
  <c r="AQ94" i="3" s="1"/>
  <c r="AO94" i="3"/>
  <c r="AP95" i="3"/>
  <c r="AQ95" i="3" s="1"/>
  <c r="AO95" i="3"/>
  <c r="AP96" i="3"/>
  <c r="AQ96" i="3" s="1"/>
  <c r="AO96" i="3"/>
  <c r="AP97" i="3"/>
  <c r="AQ97" i="3" s="1"/>
  <c r="AO97" i="3"/>
  <c r="AP98" i="3"/>
  <c r="AQ98" i="3" s="1"/>
  <c r="AO98" i="3"/>
  <c r="AP99" i="3"/>
  <c r="AQ99" i="3" s="1"/>
  <c r="AO99" i="3"/>
  <c r="AP100" i="3"/>
  <c r="AQ100" i="3" s="1"/>
  <c r="AO100" i="3"/>
  <c r="AP101" i="3"/>
  <c r="AQ101" i="3" s="1"/>
  <c r="AO101" i="3"/>
  <c r="AP102" i="3"/>
  <c r="AQ102" i="3" s="1"/>
  <c r="AO102" i="3"/>
  <c r="AP103" i="3"/>
  <c r="AQ103" i="3" s="1"/>
  <c r="AO103" i="3"/>
  <c r="AP104" i="3"/>
  <c r="AQ104" i="3" s="1"/>
  <c r="AO104" i="3"/>
  <c r="AP105" i="3"/>
  <c r="AQ105" i="3" s="1"/>
  <c r="AO105" i="3"/>
  <c r="AP106" i="3"/>
  <c r="AQ106" i="3" s="1"/>
  <c r="AO106" i="3"/>
  <c r="AP107" i="3"/>
  <c r="AQ107" i="3" s="1"/>
  <c r="AO107" i="3"/>
  <c r="AP108" i="3"/>
  <c r="AQ108" i="3" s="1"/>
  <c r="AO108" i="3"/>
  <c r="AP109" i="3"/>
  <c r="AQ109" i="3" s="1"/>
  <c r="AO109" i="3"/>
  <c r="AP110" i="3"/>
  <c r="AQ110" i="3" s="1"/>
  <c r="AO110" i="3"/>
  <c r="AP111" i="3"/>
  <c r="AQ111" i="3" s="1"/>
  <c r="AO111" i="3"/>
  <c r="AP112" i="3"/>
  <c r="AQ112" i="3" s="1"/>
  <c r="AO112" i="3"/>
  <c r="AP113" i="3"/>
  <c r="AQ113" i="3" s="1"/>
  <c r="AO113" i="3"/>
  <c r="AP114" i="3"/>
  <c r="AQ114" i="3" s="1"/>
  <c r="AO114" i="3"/>
  <c r="AP115" i="3"/>
  <c r="AQ115" i="3" s="1"/>
  <c r="AO115" i="3"/>
  <c r="AP116" i="3"/>
  <c r="AQ116" i="3" s="1"/>
  <c r="AO116" i="3"/>
  <c r="AP117" i="3"/>
  <c r="AQ117" i="3" s="1"/>
  <c r="AO117" i="3"/>
  <c r="AP118" i="3"/>
  <c r="AQ118" i="3" s="1"/>
  <c r="AO118" i="3"/>
  <c r="AP119" i="3"/>
  <c r="AQ119" i="3" s="1"/>
  <c r="AO119" i="3"/>
  <c r="AP120" i="3"/>
  <c r="AQ120" i="3" s="1"/>
  <c r="AO120" i="3"/>
  <c r="AP121" i="3"/>
  <c r="AQ121" i="3" s="1"/>
  <c r="AO121" i="3"/>
  <c r="AP122" i="3"/>
  <c r="AQ122" i="3" s="1"/>
  <c r="AO122" i="3"/>
  <c r="AP123" i="3"/>
  <c r="AQ123" i="3" s="1"/>
  <c r="AO123" i="3"/>
  <c r="AP124" i="3"/>
  <c r="AQ124" i="3" s="1"/>
  <c r="AO124" i="3"/>
  <c r="AP125" i="3"/>
  <c r="AQ125" i="3" s="1"/>
  <c r="AO125" i="3"/>
  <c r="AP126" i="3"/>
  <c r="AQ126" i="3" s="1"/>
  <c r="AO126" i="3"/>
  <c r="AP127" i="3"/>
  <c r="AQ127" i="3" s="1"/>
  <c r="AO127" i="3"/>
  <c r="AP128" i="3"/>
  <c r="AQ128" i="3" s="1"/>
  <c r="AO128" i="3"/>
  <c r="AO129" i="3"/>
  <c r="AP129" i="3"/>
  <c r="AQ129" i="3" s="1"/>
  <c r="AO130" i="3"/>
  <c r="AP130" i="3"/>
  <c r="AQ130" i="3" s="1"/>
  <c r="AO131" i="3"/>
  <c r="AP131" i="3"/>
  <c r="AQ131" i="3" s="1"/>
  <c r="AP132" i="3"/>
  <c r="AQ132" i="3" s="1"/>
  <c r="AO132" i="3"/>
  <c r="AP133" i="3"/>
  <c r="AQ133" i="3" s="1"/>
  <c r="AO133" i="3"/>
  <c r="AP134" i="3"/>
  <c r="AQ134" i="3" s="1"/>
  <c r="AO134" i="3"/>
  <c r="AP135" i="3"/>
  <c r="AQ135" i="3" s="1"/>
  <c r="AO135" i="3"/>
  <c r="AP136" i="3"/>
  <c r="AQ136" i="3" s="1"/>
  <c r="AO136" i="3"/>
  <c r="AO137" i="3"/>
  <c r="AP137" i="3"/>
  <c r="AQ137" i="3" s="1"/>
  <c r="AO138" i="3"/>
  <c r="AP138" i="3"/>
  <c r="AQ138" i="3" s="1"/>
  <c r="AO139" i="3"/>
  <c r="AP139" i="3"/>
  <c r="AQ139" i="3" s="1"/>
  <c r="AP140" i="3"/>
  <c r="AQ140" i="3" s="1"/>
  <c r="AO140" i="3"/>
  <c r="AO141" i="3"/>
  <c r="AP141" i="3"/>
  <c r="AQ141" i="3" s="1"/>
  <c r="AS6" i="3" l="1"/>
  <c r="AT6" i="3" s="1"/>
  <c r="AR6" i="3"/>
  <c r="AS7" i="3"/>
  <c r="AT7" i="3" s="1"/>
  <c r="AR7" i="3"/>
  <c r="AS8" i="3"/>
  <c r="AT8" i="3" s="1"/>
  <c r="AR8" i="3"/>
  <c r="AS9" i="3"/>
  <c r="AT9" i="3" s="1"/>
  <c r="AR9" i="3"/>
  <c r="AS10" i="3"/>
  <c r="AT10" i="3" s="1"/>
  <c r="AR10" i="3"/>
  <c r="AS11" i="3"/>
  <c r="AT11" i="3" s="1"/>
  <c r="AR11" i="3"/>
  <c r="AS12" i="3"/>
  <c r="AT12" i="3" s="1"/>
  <c r="AR12" i="3"/>
  <c r="AS13" i="3"/>
  <c r="AT13" i="3" s="1"/>
  <c r="AR13" i="3"/>
  <c r="AS14" i="3"/>
  <c r="AT14" i="3" s="1"/>
  <c r="AR14" i="3"/>
  <c r="AS15" i="3"/>
  <c r="AT15" i="3" s="1"/>
  <c r="AR15" i="3"/>
  <c r="AS16" i="3"/>
  <c r="AT16" i="3" s="1"/>
  <c r="AR16" i="3"/>
  <c r="AS17" i="3"/>
  <c r="AT17" i="3" s="1"/>
  <c r="AR17" i="3"/>
  <c r="AS18" i="3"/>
  <c r="AT18" i="3" s="1"/>
  <c r="AR18" i="3"/>
  <c r="AS19" i="3"/>
  <c r="AT19" i="3" s="1"/>
  <c r="AR19" i="3"/>
  <c r="AS20" i="3"/>
  <c r="AT20" i="3" s="1"/>
  <c r="AR20" i="3"/>
  <c r="AS21" i="3"/>
  <c r="AT21" i="3" s="1"/>
  <c r="AR21" i="3"/>
  <c r="AS22" i="3"/>
  <c r="AT22" i="3" s="1"/>
  <c r="AR22" i="3"/>
  <c r="AS23" i="3"/>
  <c r="AT23" i="3" s="1"/>
  <c r="AR23" i="3"/>
  <c r="AS24" i="3"/>
  <c r="AT24" i="3" s="1"/>
  <c r="AR24" i="3"/>
  <c r="AS25" i="3"/>
  <c r="AT25" i="3" s="1"/>
  <c r="AR25" i="3"/>
  <c r="AS26" i="3"/>
  <c r="AT26" i="3" s="1"/>
  <c r="AR26" i="3"/>
  <c r="AS27" i="3"/>
  <c r="AT27" i="3" s="1"/>
  <c r="AR27" i="3"/>
  <c r="AS28" i="3"/>
  <c r="AT28" i="3" s="1"/>
  <c r="AR28" i="3"/>
  <c r="AS29" i="3"/>
  <c r="AT29" i="3" s="1"/>
  <c r="AR29" i="3"/>
  <c r="AS30" i="3"/>
  <c r="AT30" i="3" s="1"/>
  <c r="AR30" i="3"/>
  <c r="AS31" i="3"/>
  <c r="AT31" i="3" s="1"/>
  <c r="AR31" i="3"/>
  <c r="AS32" i="3"/>
  <c r="AT32" i="3" s="1"/>
  <c r="AR32" i="3"/>
  <c r="AS33" i="3"/>
  <c r="AT33" i="3" s="1"/>
  <c r="AR33" i="3"/>
  <c r="AS34" i="3"/>
  <c r="AT34" i="3" s="1"/>
  <c r="AR34" i="3"/>
  <c r="AS35" i="3"/>
  <c r="AT35" i="3" s="1"/>
  <c r="AR35" i="3"/>
  <c r="AS36" i="3"/>
  <c r="AT36" i="3" s="1"/>
  <c r="AR36" i="3"/>
  <c r="AS37" i="3"/>
  <c r="AT37" i="3" s="1"/>
  <c r="AR37" i="3"/>
  <c r="AS38" i="3"/>
  <c r="AT38" i="3" s="1"/>
  <c r="AR38" i="3"/>
  <c r="AS39" i="3"/>
  <c r="AT39" i="3" s="1"/>
  <c r="AR39" i="3"/>
  <c r="AS40" i="3"/>
  <c r="AT40" i="3" s="1"/>
  <c r="AR40" i="3"/>
  <c r="AS41" i="3"/>
  <c r="AT41" i="3" s="1"/>
  <c r="AR41" i="3"/>
  <c r="AS42" i="3"/>
  <c r="AT42" i="3" s="1"/>
  <c r="AR42" i="3"/>
  <c r="AS43" i="3"/>
  <c r="AT43" i="3" s="1"/>
  <c r="AR43" i="3"/>
  <c r="AS44" i="3"/>
  <c r="AT44" i="3" s="1"/>
  <c r="AR44" i="3"/>
  <c r="AS45" i="3"/>
  <c r="AT45" i="3" s="1"/>
  <c r="AR45" i="3"/>
  <c r="AS46" i="3"/>
  <c r="AT46" i="3" s="1"/>
  <c r="AR46" i="3"/>
  <c r="AS47" i="3"/>
  <c r="AT47" i="3" s="1"/>
  <c r="AR47" i="3"/>
  <c r="AS48" i="3"/>
  <c r="AT48" i="3" s="1"/>
  <c r="AR48" i="3"/>
  <c r="AS49" i="3"/>
  <c r="AT49" i="3" s="1"/>
  <c r="AR49" i="3"/>
  <c r="AS50" i="3"/>
  <c r="AT50" i="3" s="1"/>
  <c r="AR50" i="3"/>
  <c r="AS51" i="3"/>
  <c r="AT51" i="3" s="1"/>
  <c r="AR51" i="3"/>
  <c r="AS52" i="3"/>
  <c r="AT52" i="3" s="1"/>
  <c r="AR52" i="3"/>
  <c r="AS53" i="3"/>
  <c r="AT53" i="3" s="1"/>
  <c r="AR53" i="3"/>
  <c r="AS54" i="3"/>
  <c r="AT54" i="3" s="1"/>
  <c r="AR54" i="3"/>
  <c r="AS55" i="3"/>
  <c r="AT55" i="3" s="1"/>
  <c r="AR55" i="3"/>
  <c r="AS56" i="3"/>
  <c r="AT56" i="3" s="1"/>
  <c r="AR56" i="3"/>
  <c r="AS57" i="3"/>
  <c r="AT57" i="3" s="1"/>
  <c r="AR57" i="3"/>
  <c r="AS58" i="3"/>
  <c r="AT58" i="3" s="1"/>
  <c r="AR58" i="3"/>
  <c r="AS59" i="3"/>
  <c r="AT59" i="3" s="1"/>
  <c r="AR59" i="3"/>
  <c r="AS60" i="3"/>
  <c r="AT60" i="3" s="1"/>
  <c r="AR60" i="3"/>
  <c r="AR61" i="3"/>
  <c r="AS61" i="3"/>
  <c r="AT61" i="3" s="1"/>
  <c r="AR62" i="3"/>
  <c r="AS62" i="3"/>
  <c r="AT62" i="3" s="1"/>
  <c r="AS63" i="3"/>
  <c r="AT63" i="3" s="1"/>
  <c r="AR63" i="3"/>
  <c r="AS64" i="3"/>
  <c r="AT64" i="3" s="1"/>
  <c r="AR64" i="3"/>
  <c r="AR65" i="3"/>
  <c r="AS65" i="3"/>
  <c r="AT65" i="3" s="1"/>
  <c r="AR66" i="3"/>
  <c r="AS66" i="3"/>
  <c r="AT66" i="3" s="1"/>
  <c r="AS67" i="3"/>
  <c r="AT67" i="3" s="1"/>
  <c r="AR67" i="3"/>
  <c r="AS68" i="3"/>
  <c r="AT68" i="3" s="1"/>
  <c r="AR68" i="3"/>
  <c r="AR69" i="3"/>
  <c r="AS69" i="3"/>
  <c r="AT69" i="3" s="1"/>
  <c r="AR70" i="3"/>
  <c r="AS70" i="3"/>
  <c r="AT70" i="3" s="1"/>
  <c r="AS71" i="3"/>
  <c r="AT71" i="3" s="1"/>
  <c r="AR71" i="3"/>
  <c r="AS72" i="3"/>
  <c r="AT72" i="3" s="1"/>
  <c r="AR72" i="3"/>
  <c r="AS73" i="3"/>
  <c r="AT73" i="3" s="1"/>
  <c r="AR73" i="3"/>
  <c r="AS74" i="3"/>
  <c r="AT74" i="3" s="1"/>
  <c r="AR74" i="3"/>
  <c r="AR75" i="3"/>
  <c r="AS75" i="3"/>
  <c r="AT75" i="3" s="1"/>
  <c r="AR76" i="3"/>
  <c r="AS76" i="3"/>
  <c r="AT76" i="3" s="1"/>
  <c r="AS77" i="3"/>
  <c r="AT77" i="3" s="1"/>
  <c r="AR77" i="3"/>
  <c r="AS78" i="3"/>
  <c r="AT78" i="3" s="1"/>
  <c r="AR78" i="3"/>
  <c r="AS79" i="3"/>
  <c r="AT79" i="3" s="1"/>
  <c r="AR79" i="3"/>
  <c r="AS80" i="3"/>
  <c r="AT80" i="3" s="1"/>
  <c r="AR80" i="3"/>
  <c r="AS81" i="3"/>
  <c r="AT81" i="3" s="1"/>
  <c r="AR81" i="3"/>
  <c r="AS82" i="3"/>
  <c r="AT82" i="3" s="1"/>
  <c r="AR82" i="3"/>
  <c r="AS83" i="3"/>
  <c r="AT83" i="3" s="1"/>
  <c r="AR83" i="3"/>
  <c r="AS84" i="3"/>
  <c r="AT84" i="3" s="1"/>
  <c r="AR84" i="3"/>
  <c r="AS85" i="3"/>
  <c r="AT85" i="3" s="1"/>
  <c r="AR85" i="3"/>
  <c r="AS86" i="3"/>
  <c r="AT86" i="3" s="1"/>
  <c r="AR86" i="3"/>
  <c r="AS87" i="3"/>
  <c r="AT87" i="3" s="1"/>
  <c r="AR87" i="3"/>
  <c r="AS88" i="3"/>
  <c r="AT88" i="3" s="1"/>
  <c r="AR88" i="3"/>
  <c r="AS89" i="3"/>
  <c r="AT89" i="3" s="1"/>
  <c r="AR89" i="3"/>
  <c r="AS90" i="3"/>
  <c r="AT90" i="3" s="1"/>
  <c r="AR90" i="3"/>
  <c r="AS91" i="3"/>
  <c r="AT91" i="3" s="1"/>
  <c r="AR91" i="3"/>
  <c r="AS92" i="3"/>
  <c r="AT92" i="3" s="1"/>
  <c r="AR92" i="3"/>
  <c r="AS93" i="3"/>
  <c r="AT93" i="3" s="1"/>
  <c r="AR93" i="3"/>
  <c r="AS94" i="3"/>
  <c r="AT94" i="3" s="1"/>
  <c r="AR94" i="3"/>
  <c r="AS95" i="3"/>
  <c r="AT95" i="3" s="1"/>
  <c r="AR95" i="3"/>
  <c r="AS96" i="3"/>
  <c r="AT96" i="3" s="1"/>
  <c r="AR96" i="3"/>
  <c r="AS97" i="3"/>
  <c r="AT97" i="3" s="1"/>
  <c r="AR97" i="3"/>
  <c r="AS98" i="3"/>
  <c r="AT98" i="3" s="1"/>
  <c r="AR98" i="3"/>
  <c r="AS99" i="3"/>
  <c r="AT99" i="3" s="1"/>
  <c r="AR99" i="3"/>
  <c r="AS100" i="3"/>
  <c r="AT100" i="3" s="1"/>
  <c r="AR100" i="3"/>
  <c r="AS101" i="3"/>
  <c r="AT101" i="3" s="1"/>
  <c r="AR101" i="3"/>
  <c r="AS102" i="3"/>
  <c r="AT102" i="3" s="1"/>
  <c r="AR102" i="3"/>
  <c r="AS103" i="3"/>
  <c r="AT103" i="3" s="1"/>
  <c r="AR103" i="3"/>
  <c r="AS104" i="3"/>
  <c r="AT104" i="3" s="1"/>
  <c r="AR104" i="3"/>
  <c r="AS105" i="3"/>
  <c r="AT105" i="3" s="1"/>
  <c r="AR105" i="3"/>
  <c r="AS106" i="3"/>
  <c r="AT106" i="3" s="1"/>
  <c r="AR106" i="3"/>
  <c r="AS107" i="3"/>
  <c r="AT107" i="3" s="1"/>
  <c r="AR107" i="3"/>
  <c r="AS108" i="3"/>
  <c r="AT108" i="3" s="1"/>
  <c r="AR108" i="3"/>
  <c r="AS109" i="3"/>
  <c r="AT109" i="3" s="1"/>
  <c r="AR109" i="3"/>
  <c r="AS110" i="3"/>
  <c r="AT110" i="3" s="1"/>
  <c r="AR110" i="3"/>
  <c r="AS111" i="3"/>
  <c r="AT111" i="3" s="1"/>
  <c r="AR111" i="3"/>
  <c r="AS112" i="3"/>
  <c r="AT112" i="3" s="1"/>
  <c r="AR112" i="3"/>
  <c r="AS113" i="3"/>
  <c r="AT113" i="3" s="1"/>
  <c r="AR113" i="3"/>
  <c r="AS114" i="3"/>
  <c r="AT114" i="3" s="1"/>
  <c r="AR114" i="3"/>
  <c r="AS115" i="3"/>
  <c r="AT115" i="3" s="1"/>
  <c r="AR115" i="3"/>
  <c r="AS116" i="3"/>
  <c r="AT116" i="3" s="1"/>
  <c r="AR116" i="3"/>
  <c r="AS117" i="3"/>
  <c r="AT117" i="3" s="1"/>
  <c r="AR117" i="3"/>
  <c r="AS118" i="3"/>
  <c r="AT118" i="3" s="1"/>
  <c r="AR118" i="3"/>
  <c r="AS119" i="3"/>
  <c r="AT119" i="3" s="1"/>
  <c r="AR119" i="3"/>
  <c r="AS120" i="3"/>
  <c r="AT120" i="3" s="1"/>
  <c r="AR120" i="3"/>
  <c r="AS121" i="3"/>
  <c r="AT121" i="3" s="1"/>
  <c r="AR121" i="3"/>
  <c r="AS122" i="3"/>
  <c r="AT122" i="3" s="1"/>
  <c r="AR122" i="3"/>
  <c r="AS123" i="3"/>
  <c r="AT123" i="3" s="1"/>
  <c r="AR123" i="3"/>
  <c r="AS124" i="3"/>
  <c r="AT124" i="3" s="1"/>
  <c r="AR124" i="3"/>
  <c r="AS125" i="3"/>
  <c r="AT125" i="3" s="1"/>
  <c r="AR125" i="3"/>
  <c r="AR126" i="3"/>
  <c r="AS126" i="3"/>
  <c r="AT126" i="3" s="1"/>
  <c r="AR127" i="3"/>
  <c r="AS127" i="3"/>
  <c r="AT127" i="3" s="1"/>
  <c r="AR128" i="3"/>
  <c r="AS128" i="3"/>
  <c r="AT128" i="3" s="1"/>
  <c r="AS129" i="3"/>
  <c r="AT129" i="3" s="1"/>
  <c r="AR129" i="3"/>
  <c r="AR130" i="3"/>
  <c r="AS130" i="3"/>
  <c r="AT130" i="3" s="1"/>
  <c r="AS131" i="3"/>
  <c r="AT131" i="3" s="1"/>
  <c r="AR131" i="3"/>
  <c r="AS132" i="3"/>
  <c r="AT132" i="3" s="1"/>
  <c r="AR132" i="3"/>
  <c r="AS133" i="3"/>
  <c r="AT133" i="3" s="1"/>
  <c r="AR133" i="3"/>
  <c r="AR134" i="3"/>
  <c r="AS134" i="3"/>
  <c r="AT134" i="3" s="1"/>
  <c r="AS135" i="3"/>
  <c r="AT135" i="3" s="1"/>
  <c r="AR135" i="3"/>
  <c r="AS136" i="3"/>
  <c r="AT136" i="3" s="1"/>
  <c r="AR136" i="3"/>
  <c r="AR137" i="3"/>
  <c r="AS137" i="3"/>
  <c r="AT137" i="3" s="1"/>
  <c r="AS138" i="3"/>
  <c r="AT138" i="3" s="1"/>
  <c r="AR138" i="3"/>
  <c r="AR139" i="3"/>
  <c r="AS139" i="3"/>
  <c r="AT139" i="3" s="1"/>
  <c r="AS140" i="3"/>
  <c r="AT140" i="3" s="1"/>
  <c r="AR140" i="3"/>
  <c r="AS141" i="3"/>
  <c r="AT141" i="3" s="1"/>
  <c r="AR141" i="3"/>
  <c r="AV6" i="3" l="1"/>
  <c r="AW6" i="3" s="1"/>
  <c r="AU6" i="3"/>
  <c r="AV7" i="3"/>
  <c r="AW7" i="3" s="1"/>
  <c r="AU7" i="3"/>
  <c r="AV8" i="3"/>
  <c r="AW8" i="3" s="1"/>
  <c r="AU8" i="3"/>
  <c r="AV9" i="3"/>
  <c r="AW9" i="3" s="1"/>
  <c r="AU9" i="3"/>
  <c r="AV10" i="3"/>
  <c r="AW10" i="3" s="1"/>
  <c r="AU10" i="3"/>
  <c r="AV11" i="3"/>
  <c r="AW11" i="3" s="1"/>
  <c r="AU11" i="3"/>
  <c r="AV12" i="3"/>
  <c r="AW12" i="3" s="1"/>
  <c r="AU12" i="3"/>
  <c r="AV13" i="3"/>
  <c r="AW13" i="3" s="1"/>
  <c r="AU13" i="3"/>
  <c r="AV14" i="3"/>
  <c r="AW14" i="3" s="1"/>
  <c r="AU14" i="3"/>
  <c r="AV15" i="3"/>
  <c r="AW15" i="3" s="1"/>
  <c r="AU15" i="3"/>
  <c r="AV16" i="3"/>
  <c r="AW16" i="3" s="1"/>
  <c r="AU16" i="3"/>
  <c r="AV17" i="3"/>
  <c r="AW17" i="3" s="1"/>
  <c r="AU17" i="3"/>
  <c r="AV18" i="3"/>
  <c r="AW18" i="3" s="1"/>
  <c r="AU18" i="3"/>
  <c r="AV19" i="3"/>
  <c r="AW19" i="3" s="1"/>
  <c r="AU19" i="3"/>
  <c r="AV20" i="3"/>
  <c r="AW20" i="3" s="1"/>
  <c r="AU20" i="3"/>
  <c r="AV21" i="3"/>
  <c r="AW21" i="3" s="1"/>
  <c r="AU21" i="3"/>
  <c r="AV22" i="3"/>
  <c r="AW22" i="3" s="1"/>
  <c r="AU22" i="3"/>
  <c r="AV23" i="3"/>
  <c r="AW23" i="3" s="1"/>
  <c r="AU23" i="3"/>
  <c r="AV24" i="3"/>
  <c r="AW24" i="3" s="1"/>
  <c r="AU24" i="3"/>
  <c r="AV25" i="3"/>
  <c r="AW25" i="3" s="1"/>
  <c r="AU25" i="3"/>
  <c r="AV26" i="3"/>
  <c r="AW26" i="3" s="1"/>
  <c r="AU26" i="3"/>
  <c r="AV27" i="3"/>
  <c r="AW27" i="3" s="1"/>
  <c r="AU27" i="3"/>
  <c r="AV28" i="3"/>
  <c r="AW28" i="3" s="1"/>
  <c r="AU28" i="3"/>
  <c r="AV29" i="3"/>
  <c r="AW29" i="3" s="1"/>
  <c r="AU29" i="3"/>
  <c r="AV30" i="3"/>
  <c r="AW30" i="3" s="1"/>
  <c r="AU30" i="3"/>
  <c r="AV31" i="3"/>
  <c r="AW31" i="3" s="1"/>
  <c r="AU31" i="3"/>
  <c r="AV32" i="3"/>
  <c r="AW32" i="3" s="1"/>
  <c r="AU32" i="3"/>
  <c r="AV33" i="3"/>
  <c r="AW33" i="3" s="1"/>
  <c r="AU33" i="3"/>
  <c r="AV34" i="3"/>
  <c r="AW34" i="3" s="1"/>
  <c r="AU34" i="3"/>
  <c r="AV35" i="3"/>
  <c r="AW35" i="3" s="1"/>
  <c r="AU35" i="3"/>
  <c r="AV36" i="3"/>
  <c r="AW36" i="3" s="1"/>
  <c r="AU36" i="3"/>
  <c r="AV37" i="3"/>
  <c r="AW37" i="3" s="1"/>
  <c r="AU37" i="3"/>
  <c r="AV38" i="3"/>
  <c r="AW38" i="3" s="1"/>
  <c r="AU38" i="3"/>
  <c r="AV39" i="3"/>
  <c r="AW39" i="3" s="1"/>
  <c r="AU39" i="3"/>
  <c r="AV40" i="3"/>
  <c r="AW40" i="3" s="1"/>
  <c r="AU40" i="3"/>
  <c r="AV41" i="3"/>
  <c r="AW41" i="3" s="1"/>
  <c r="AU41" i="3"/>
  <c r="AV42" i="3"/>
  <c r="AW42" i="3" s="1"/>
  <c r="AU42" i="3"/>
  <c r="AV43" i="3"/>
  <c r="AW43" i="3" s="1"/>
  <c r="AU43" i="3"/>
  <c r="AV44" i="3"/>
  <c r="AW44" i="3" s="1"/>
  <c r="AU44" i="3"/>
  <c r="AV45" i="3"/>
  <c r="AW45" i="3" s="1"/>
  <c r="AU45" i="3"/>
  <c r="AU46" i="3"/>
  <c r="AV46" i="3"/>
  <c r="AW46" i="3" s="1"/>
  <c r="AV47" i="3"/>
  <c r="AW47" i="3" s="1"/>
  <c r="AU47" i="3"/>
  <c r="AU48" i="3"/>
  <c r="AV48" i="3"/>
  <c r="AW48" i="3" s="1"/>
  <c r="AV49" i="3"/>
  <c r="AW49" i="3" s="1"/>
  <c r="AU49" i="3"/>
  <c r="AV50" i="3"/>
  <c r="AW50" i="3" s="1"/>
  <c r="AU50" i="3"/>
  <c r="AV51" i="3"/>
  <c r="AW51" i="3" s="1"/>
  <c r="AU51" i="3"/>
  <c r="AV52" i="3"/>
  <c r="AW52" i="3" s="1"/>
  <c r="AU52" i="3"/>
  <c r="AV53" i="3"/>
  <c r="AW53" i="3" s="1"/>
  <c r="AU53" i="3"/>
  <c r="AV54" i="3"/>
  <c r="AW54" i="3" s="1"/>
  <c r="AU54" i="3"/>
  <c r="AV55" i="3"/>
  <c r="AW55" i="3" s="1"/>
  <c r="AU55" i="3"/>
  <c r="AV56" i="3"/>
  <c r="AW56" i="3" s="1"/>
  <c r="AU56" i="3"/>
  <c r="AV57" i="3"/>
  <c r="AW57" i="3" s="1"/>
  <c r="AU57" i="3"/>
  <c r="AV58" i="3"/>
  <c r="AW58" i="3" s="1"/>
  <c r="AU58" i="3"/>
  <c r="AV59" i="3"/>
  <c r="AW59" i="3" s="1"/>
  <c r="AU59" i="3"/>
  <c r="AV60" i="3"/>
  <c r="AW60" i="3" s="1"/>
  <c r="AU60" i="3"/>
  <c r="AU61" i="3"/>
  <c r="AV61" i="3"/>
  <c r="AW61" i="3" s="1"/>
  <c r="AU62" i="3"/>
  <c r="AV62" i="3"/>
  <c r="AW62" i="3" s="1"/>
  <c r="AV63" i="3"/>
  <c r="AW63" i="3" s="1"/>
  <c r="AU63" i="3"/>
  <c r="AV64" i="3"/>
  <c r="AW64" i="3" s="1"/>
  <c r="AU64" i="3"/>
  <c r="AU65" i="3"/>
  <c r="AV65" i="3"/>
  <c r="AW65" i="3" s="1"/>
  <c r="AV66" i="3"/>
  <c r="AW66" i="3" s="1"/>
  <c r="AU66" i="3"/>
  <c r="AV67" i="3"/>
  <c r="AW67" i="3" s="1"/>
  <c r="AU67" i="3"/>
  <c r="AU68" i="3"/>
  <c r="AV68" i="3"/>
  <c r="AW68" i="3" s="1"/>
  <c r="AU69" i="3"/>
  <c r="AV69" i="3"/>
  <c r="AW69" i="3" s="1"/>
  <c r="AV70" i="3"/>
  <c r="AW70" i="3" s="1"/>
  <c r="AU70" i="3"/>
  <c r="AV71" i="3"/>
  <c r="AW71" i="3" s="1"/>
  <c r="AU71" i="3"/>
  <c r="AV72" i="3"/>
  <c r="AW72" i="3" s="1"/>
  <c r="AU72" i="3"/>
  <c r="AU73" i="3"/>
  <c r="AV73" i="3"/>
  <c r="AW73" i="3" s="1"/>
  <c r="AV74" i="3"/>
  <c r="AW74" i="3" s="1"/>
  <c r="AU74" i="3"/>
  <c r="AV75" i="3"/>
  <c r="AW75" i="3" s="1"/>
  <c r="AU75" i="3"/>
  <c r="AU76" i="3"/>
  <c r="AV76" i="3"/>
  <c r="AW76" i="3" s="1"/>
  <c r="AV77" i="3"/>
  <c r="AW77" i="3" s="1"/>
  <c r="AU77" i="3"/>
  <c r="AV78" i="3"/>
  <c r="AW78" i="3" s="1"/>
  <c r="AU78" i="3"/>
  <c r="AV79" i="3"/>
  <c r="AW79" i="3" s="1"/>
  <c r="AU79" i="3"/>
  <c r="AV80" i="3"/>
  <c r="AW80" i="3" s="1"/>
  <c r="AU80" i="3"/>
  <c r="AV81" i="3"/>
  <c r="AW81" i="3" s="1"/>
  <c r="AU81" i="3"/>
  <c r="AV82" i="3"/>
  <c r="AW82" i="3" s="1"/>
  <c r="AU82" i="3"/>
  <c r="AV83" i="3"/>
  <c r="AW83" i="3" s="1"/>
  <c r="AU83" i="3"/>
  <c r="AV84" i="3"/>
  <c r="AW84" i="3" s="1"/>
  <c r="AU84" i="3"/>
  <c r="AV85" i="3"/>
  <c r="AW85" i="3" s="1"/>
  <c r="AU85" i="3"/>
  <c r="AV86" i="3"/>
  <c r="AW86" i="3" s="1"/>
  <c r="AU86" i="3"/>
  <c r="AV87" i="3"/>
  <c r="AW87" i="3" s="1"/>
  <c r="AU87" i="3"/>
  <c r="AV88" i="3"/>
  <c r="AW88" i="3" s="1"/>
  <c r="AU88" i="3"/>
  <c r="AV89" i="3"/>
  <c r="AW89" i="3" s="1"/>
  <c r="AU89" i="3"/>
  <c r="AV90" i="3"/>
  <c r="AW90" i="3" s="1"/>
  <c r="AU90" i="3"/>
  <c r="AV91" i="3"/>
  <c r="AW91" i="3" s="1"/>
  <c r="AU91" i="3"/>
  <c r="AV92" i="3"/>
  <c r="AW92" i="3" s="1"/>
  <c r="AU92" i="3"/>
  <c r="AV93" i="3"/>
  <c r="AW93" i="3" s="1"/>
  <c r="AU93" i="3"/>
  <c r="AV94" i="3"/>
  <c r="AW94" i="3" s="1"/>
  <c r="AU94" i="3"/>
  <c r="AV95" i="3"/>
  <c r="AW95" i="3" s="1"/>
  <c r="AU95" i="3"/>
  <c r="AV96" i="3"/>
  <c r="AW96" i="3" s="1"/>
  <c r="AU96" i="3"/>
  <c r="AV97" i="3"/>
  <c r="AW97" i="3" s="1"/>
  <c r="AU97" i="3"/>
  <c r="AV98" i="3"/>
  <c r="AW98" i="3" s="1"/>
  <c r="AU98" i="3"/>
  <c r="AV99" i="3"/>
  <c r="AW99" i="3" s="1"/>
  <c r="AU99" i="3"/>
  <c r="AV100" i="3"/>
  <c r="AW100" i="3" s="1"/>
  <c r="AU100" i="3"/>
  <c r="AV101" i="3"/>
  <c r="AW101" i="3" s="1"/>
  <c r="AU101" i="3"/>
  <c r="AV102" i="3"/>
  <c r="AW102" i="3" s="1"/>
  <c r="AU102" i="3"/>
  <c r="AV103" i="3"/>
  <c r="AW103" i="3" s="1"/>
  <c r="AU103" i="3"/>
  <c r="AV104" i="3"/>
  <c r="AW104" i="3" s="1"/>
  <c r="AU104" i="3"/>
  <c r="AV105" i="3"/>
  <c r="AW105" i="3" s="1"/>
  <c r="AU105" i="3"/>
  <c r="AV106" i="3"/>
  <c r="AW106" i="3" s="1"/>
  <c r="AU106" i="3"/>
  <c r="AV107" i="3"/>
  <c r="AW107" i="3" s="1"/>
  <c r="AU107" i="3"/>
  <c r="AV108" i="3"/>
  <c r="AW108" i="3" s="1"/>
  <c r="AU108" i="3"/>
  <c r="AV109" i="3"/>
  <c r="AW109" i="3" s="1"/>
  <c r="AU109" i="3"/>
  <c r="AV110" i="3"/>
  <c r="AW110" i="3" s="1"/>
  <c r="AU110" i="3"/>
  <c r="AV111" i="3"/>
  <c r="AW111" i="3" s="1"/>
  <c r="AU111" i="3"/>
  <c r="AV112" i="3"/>
  <c r="AW112" i="3" s="1"/>
  <c r="AU112" i="3"/>
  <c r="AV113" i="3"/>
  <c r="AW113" i="3" s="1"/>
  <c r="AU113" i="3"/>
  <c r="AV114" i="3"/>
  <c r="AW114" i="3" s="1"/>
  <c r="AU114" i="3"/>
  <c r="AV115" i="3"/>
  <c r="AW115" i="3" s="1"/>
  <c r="AU115" i="3"/>
  <c r="AV116" i="3"/>
  <c r="AW116" i="3" s="1"/>
  <c r="AU116" i="3"/>
  <c r="AV117" i="3"/>
  <c r="AW117" i="3" s="1"/>
  <c r="AU117" i="3"/>
  <c r="AV118" i="3"/>
  <c r="AW118" i="3" s="1"/>
  <c r="AU118" i="3"/>
  <c r="AV119" i="3"/>
  <c r="AW119" i="3" s="1"/>
  <c r="AU119" i="3"/>
  <c r="AV120" i="3"/>
  <c r="AW120" i="3" s="1"/>
  <c r="AU120" i="3"/>
  <c r="AV121" i="3"/>
  <c r="AW121" i="3" s="1"/>
  <c r="AU121" i="3"/>
  <c r="AV122" i="3"/>
  <c r="AW122" i="3" s="1"/>
  <c r="AU122" i="3"/>
  <c r="AV123" i="3"/>
  <c r="AW123" i="3" s="1"/>
  <c r="AU123" i="3"/>
  <c r="AV124" i="3"/>
  <c r="AW124" i="3" s="1"/>
  <c r="AU124" i="3"/>
  <c r="AV125" i="3"/>
  <c r="AW125" i="3" s="1"/>
  <c r="AU125" i="3"/>
  <c r="AV126" i="3"/>
  <c r="AW126" i="3" s="1"/>
  <c r="AU126" i="3"/>
  <c r="AV127" i="3"/>
  <c r="AW127" i="3" s="1"/>
  <c r="AU127" i="3"/>
  <c r="AV128" i="3"/>
  <c r="AW128" i="3" s="1"/>
  <c r="AU128" i="3"/>
  <c r="AU129" i="3"/>
  <c r="AV129" i="3"/>
  <c r="AW129" i="3" s="1"/>
  <c r="AV130" i="3"/>
  <c r="AW130" i="3" s="1"/>
  <c r="AU130" i="3"/>
  <c r="AV131" i="3"/>
  <c r="AW131" i="3" s="1"/>
  <c r="AU131" i="3"/>
  <c r="AV132" i="3"/>
  <c r="AW132" i="3" s="1"/>
  <c r="AU132" i="3"/>
  <c r="AU133" i="3"/>
  <c r="AV133" i="3"/>
  <c r="AW133" i="3" s="1"/>
  <c r="AU134" i="3"/>
  <c r="AV134" i="3"/>
  <c r="AW134" i="3" s="1"/>
  <c r="AU135" i="3"/>
  <c r="AV135" i="3"/>
  <c r="AW135" i="3" s="1"/>
  <c r="AV136" i="3"/>
  <c r="AW136" i="3" s="1"/>
  <c r="AU136" i="3"/>
  <c r="AU137" i="3"/>
  <c r="AV137" i="3"/>
  <c r="AW137" i="3" s="1"/>
  <c r="AU138" i="3"/>
  <c r="AV138" i="3"/>
  <c r="AW138" i="3" s="1"/>
  <c r="AU139" i="3"/>
  <c r="AV139" i="3"/>
  <c r="AW139" i="3" s="1"/>
  <c r="AV140" i="3"/>
  <c r="AW140" i="3" s="1"/>
  <c r="AU140" i="3"/>
  <c r="AU141" i="3"/>
  <c r="AV141" i="3"/>
  <c r="AW141" i="3" s="1"/>
  <c r="AY6" i="3" l="1"/>
  <c r="AZ6" i="3" s="1"/>
  <c r="AX6" i="3"/>
  <c r="AY7" i="3"/>
  <c r="AZ7" i="3" s="1"/>
  <c r="AX7" i="3"/>
  <c r="AY8" i="3"/>
  <c r="AZ8" i="3" s="1"/>
  <c r="AX8" i="3"/>
  <c r="AY9" i="3"/>
  <c r="AZ9" i="3" s="1"/>
  <c r="AX9" i="3"/>
  <c r="AY10" i="3"/>
  <c r="AZ10" i="3" s="1"/>
  <c r="AX10" i="3"/>
  <c r="AY11" i="3"/>
  <c r="AZ11" i="3" s="1"/>
  <c r="AX11" i="3"/>
  <c r="AY12" i="3"/>
  <c r="AZ12" i="3" s="1"/>
  <c r="AX12" i="3"/>
  <c r="AY13" i="3"/>
  <c r="AZ13" i="3" s="1"/>
  <c r="AX13" i="3"/>
  <c r="AY14" i="3"/>
  <c r="AZ14" i="3" s="1"/>
  <c r="AX14" i="3"/>
  <c r="AY15" i="3"/>
  <c r="AZ15" i="3" s="1"/>
  <c r="AX15" i="3"/>
  <c r="AY16" i="3"/>
  <c r="AZ16" i="3" s="1"/>
  <c r="AX16" i="3"/>
  <c r="AY17" i="3"/>
  <c r="AZ17" i="3" s="1"/>
  <c r="AX17" i="3"/>
  <c r="AY18" i="3"/>
  <c r="AZ18" i="3" s="1"/>
  <c r="AX18" i="3"/>
  <c r="AY19" i="3"/>
  <c r="AZ19" i="3" s="1"/>
  <c r="AX19" i="3"/>
  <c r="AY20" i="3"/>
  <c r="AZ20" i="3" s="1"/>
  <c r="AX20" i="3"/>
  <c r="AY21" i="3"/>
  <c r="AZ21" i="3" s="1"/>
  <c r="AX21" i="3"/>
  <c r="AY22" i="3"/>
  <c r="AZ22" i="3" s="1"/>
  <c r="AX22" i="3"/>
  <c r="AY23" i="3"/>
  <c r="AZ23" i="3" s="1"/>
  <c r="AX23" i="3"/>
  <c r="AY24" i="3"/>
  <c r="AZ24" i="3" s="1"/>
  <c r="AX24" i="3"/>
  <c r="AY25" i="3"/>
  <c r="AZ25" i="3" s="1"/>
  <c r="AX25" i="3"/>
  <c r="AY26" i="3"/>
  <c r="AZ26" i="3" s="1"/>
  <c r="AX26" i="3"/>
  <c r="AY27" i="3"/>
  <c r="AZ27" i="3" s="1"/>
  <c r="AX27" i="3"/>
  <c r="AY28" i="3"/>
  <c r="AZ28" i="3" s="1"/>
  <c r="AX28" i="3"/>
  <c r="AY29" i="3"/>
  <c r="AZ29" i="3" s="1"/>
  <c r="AX29" i="3"/>
  <c r="AY30" i="3"/>
  <c r="AZ30" i="3" s="1"/>
  <c r="AX30" i="3"/>
  <c r="AY31" i="3"/>
  <c r="AZ31" i="3" s="1"/>
  <c r="AX31" i="3"/>
  <c r="AY32" i="3"/>
  <c r="AZ32" i="3" s="1"/>
  <c r="AX32" i="3"/>
  <c r="AY33" i="3"/>
  <c r="AZ33" i="3" s="1"/>
  <c r="AX33" i="3"/>
  <c r="AY34" i="3"/>
  <c r="AZ34" i="3" s="1"/>
  <c r="AX34" i="3"/>
  <c r="AY35" i="3"/>
  <c r="AZ35" i="3" s="1"/>
  <c r="AX35" i="3"/>
  <c r="AY36" i="3"/>
  <c r="AZ36" i="3" s="1"/>
  <c r="AX36" i="3"/>
  <c r="AY37" i="3"/>
  <c r="AZ37" i="3" s="1"/>
  <c r="AX37" i="3"/>
  <c r="AY38" i="3"/>
  <c r="AZ38" i="3" s="1"/>
  <c r="AX38" i="3"/>
  <c r="AY39" i="3"/>
  <c r="AZ39" i="3" s="1"/>
  <c r="AX39" i="3"/>
  <c r="AY40" i="3"/>
  <c r="AZ40" i="3" s="1"/>
  <c r="AX40" i="3"/>
  <c r="AY41" i="3"/>
  <c r="AZ41" i="3" s="1"/>
  <c r="AX41" i="3"/>
  <c r="AY42" i="3"/>
  <c r="AZ42" i="3" s="1"/>
  <c r="AX42" i="3"/>
  <c r="AY43" i="3"/>
  <c r="AZ43" i="3" s="1"/>
  <c r="AX43" i="3"/>
  <c r="AY44" i="3"/>
  <c r="AZ44" i="3" s="1"/>
  <c r="AX44" i="3"/>
  <c r="AY45" i="3"/>
  <c r="AZ45" i="3" s="1"/>
  <c r="AX45" i="3"/>
  <c r="AX46" i="3"/>
  <c r="AY46" i="3"/>
  <c r="AZ46" i="3" s="1"/>
  <c r="AX47" i="3"/>
  <c r="AY47" i="3"/>
  <c r="AZ47" i="3" s="1"/>
  <c r="AX48" i="3"/>
  <c r="AY48" i="3"/>
  <c r="AZ48" i="3" s="1"/>
  <c r="AY49" i="3"/>
  <c r="AZ49" i="3" s="1"/>
  <c r="AX49" i="3"/>
  <c r="AY50" i="3"/>
  <c r="AZ50" i="3" s="1"/>
  <c r="AX50" i="3"/>
  <c r="AY51" i="3"/>
  <c r="AZ51" i="3" s="1"/>
  <c r="AX51" i="3"/>
  <c r="AY52" i="3"/>
  <c r="AZ52" i="3" s="1"/>
  <c r="AX52" i="3"/>
  <c r="AY53" i="3"/>
  <c r="AZ53" i="3" s="1"/>
  <c r="AX53" i="3"/>
  <c r="AY54" i="3"/>
  <c r="AZ54" i="3" s="1"/>
  <c r="AX54" i="3"/>
  <c r="AY55" i="3"/>
  <c r="AZ55" i="3" s="1"/>
  <c r="AX55" i="3"/>
  <c r="AY56" i="3"/>
  <c r="AZ56" i="3" s="1"/>
  <c r="AX56" i="3"/>
  <c r="AY57" i="3"/>
  <c r="AZ57" i="3" s="1"/>
  <c r="AX57" i="3"/>
  <c r="AY58" i="3"/>
  <c r="AZ58" i="3" s="1"/>
  <c r="AX58" i="3"/>
  <c r="AY59" i="3"/>
  <c r="AZ59" i="3" s="1"/>
  <c r="AX59" i="3"/>
  <c r="AY60" i="3"/>
  <c r="AZ60" i="3" s="1"/>
  <c r="AX60" i="3"/>
  <c r="AX61" i="3"/>
  <c r="AY61" i="3"/>
  <c r="AZ61" i="3" s="1"/>
  <c r="AX62" i="3"/>
  <c r="AY62" i="3"/>
  <c r="AZ62" i="3" s="1"/>
  <c r="AY63" i="3"/>
  <c r="AZ63" i="3" s="1"/>
  <c r="AX63" i="3"/>
  <c r="AY64" i="3"/>
  <c r="AZ64" i="3" s="1"/>
  <c r="AX64" i="3"/>
  <c r="AX65" i="3"/>
  <c r="AY65" i="3"/>
  <c r="AZ65" i="3" s="1"/>
  <c r="AY66" i="3"/>
  <c r="AZ66" i="3" s="1"/>
  <c r="AX66" i="3"/>
  <c r="AX67" i="3"/>
  <c r="AY67" i="3"/>
  <c r="AZ67" i="3" s="1"/>
  <c r="AY68" i="3"/>
  <c r="AZ68" i="3" s="1"/>
  <c r="AX68" i="3"/>
  <c r="AX69" i="3"/>
  <c r="AY69" i="3"/>
  <c r="AZ69" i="3" s="1"/>
  <c r="AY70" i="3"/>
  <c r="AZ70" i="3" s="1"/>
  <c r="AX70" i="3"/>
  <c r="AX71" i="3"/>
  <c r="AY71" i="3"/>
  <c r="AZ71" i="3" s="1"/>
  <c r="AY72" i="3"/>
  <c r="AZ72" i="3" s="1"/>
  <c r="AX72" i="3"/>
  <c r="AX73" i="3"/>
  <c r="AY73" i="3"/>
  <c r="AZ73" i="3" s="1"/>
  <c r="AY74" i="3"/>
  <c r="AZ74" i="3" s="1"/>
  <c r="AX74" i="3"/>
  <c r="AX75" i="3"/>
  <c r="AY75" i="3"/>
  <c r="AZ75" i="3" s="1"/>
  <c r="AY76" i="3"/>
  <c r="AZ76" i="3" s="1"/>
  <c r="AX76" i="3"/>
  <c r="AY77" i="3"/>
  <c r="AZ77" i="3" s="1"/>
  <c r="AX77" i="3"/>
  <c r="AY78" i="3"/>
  <c r="AZ78" i="3" s="1"/>
  <c r="AX78" i="3"/>
  <c r="AY79" i="3"/>
  <c r="AZ79" i="3" s="1"/>
  <c r="AX79" i="3"/>
  <c r="AY80" i="3"/>
  <c r="AZ80" i="3" s="1"/>
  <c r="AX80" i="3"/>
  <c r="AY81" i="3"/>
  <c r="AZ81" i="3" s="1"/>
  <c r="AX81" i="3"/>
  <c r="AY82" i="3"/>
  <c r="AZ82" i="3" s="1"/>
  <c r="AX82" i="3"/>
  <c r="AY83" i="3"/>
  <c r="AZ83" i="3" s="1"/>
  <c r="AX83" i="3"/>
  <c r="AY84" i="3"/>
  <c r="AZ84" i="3" s="1"/>
  <c r="AX84" i="3"/>
  <c r="AY85" i="3"/>
  <c r="AZ85" i="3" s="1"/>
  <c r="AX85" i="3"/>
  <c r="AY86" i="3"/>
  <c r="AZ86" i="3" s="1"/>
  <c r="AX86" i="3"/>
  <c r="AY87" i="3"/>
  <c r="AZ87" i="3" s="1"/>
  <c r="AX87" i="3"/>
  <c r="AY88" i="3"/>
  <c r="AZ88" i="3" s="1"/>
  <c r="AX88" i="3"/>
  <c r="AY89" i="3"/>
  <c r="AZ89" i="3" s="1"/>
  <c r="AX89" i="3"/>
  <c r="AY90" i="3"/>
  <c r="AZ90" i="3" s="1"/>
  <c r="AX90" i="3"/>
  <c r="AY91" i="3"/>
  <c r="AZ91" i="3" s="1"/>
  <c r="AX91" i="3"/>
  <c r="AY92" i="3"/>
  <c r="AZ92" i="3" s="1"/>
  <c r="AX92" i="3"/>
  <c r="AY93" i="3"/>
  <c r="AZ93" i="3" s="1"/>
  <c r="AX93" i="3"/>
  <c r="AY94" i="3"/>
  <c r="AZ94" i="3" s="1"/>
  <c r="AX94" i="3"/>
  <c r="AY95" i="3"/>
  <c r="AZ95" i="3" s="1"/>
  <c r="AX95" i="3"/>
  <c r="AY96" i="3"/>
  <c r="AZ96" i="3" s="1"/>
  <c r="AX96" i="3"/>
  <c r="AY97" i="3"/>
  <c r="AZ97" i="3" s="1"/>
  <c r="AX97" i="3"/>
  <c r="AY98" i="3"/>
  <c r="AZ98" i="3" s="1"/>
  <c r="AX98" i="3"/>
  <c r="AY99" i="3"/>
  <c r="AZ99" i="3" s="1"/>
  <c r="AX99" i="3"/>
  <c r="AY100" i="3"/>
  <c r="AZ100" i="3" s="1"/>
  <c r="AX100" i="3"/>
  <c r="AY101" i="3"/>
  <c r="AZ101" i="3" s="1"/>
  <c r="AX101" i="3"/>
  <c r="AY102" i="3"/>
  <c r="AZ102" i="3" s="1"/>
  <c r="AX102" i="3"/>
  <c r="AY103" i="3"/>
  <c r="AZ103" i="3" s="1"/>
  <c r="AX103" i="3"/>
  <c r="AY104" i="3"/>
  <c r="AZ104" i="3" s="1"/>
  <c r="AX104" i="3"/>
  <c r="AY105" i="3"/>
  <c r="AZ105" i="3" s="1"/>
  <c r="AX105" i="3"/>
  <c r="AY106" i="3"/>
  <c r="AZ106" i="3" s="1"/>
  <c r="AX106" i="3"/>
  <c r="AY107" i="3"/>
  <c r="AZ107" i="3" s="1"/>
  <c r="AX107" i="3"/>
  <c r="AY108" i="3"/>
  <c r="AZ108" i="3" s="1"/>
  <c r="AX108" i="3"/>
  <c r="AY109" i="3"/>
  <c r="AZ109" i="3" s="1"/>
  <c r="AX109" i="3"/>
  <c r="AY110" i="3"/>
  <c r="AZ110" i="3" s="1"/>
  <c r="AX110" i="3"/>
  <c r="AY111" i="3"/>
  <c r="AZ111" i="3" s="1"/>
  <c r="AX111" i="3"/>
  <c r="AY112" i="3"/>
  <c r="AZ112" i="3" s="1"/>
  <c r="AX112" i="3"/>
  <c r="AY113" i="3"/>
  <c r="AZ113" i="3" s="1"/>
  <c r="AX113" i="3"/>
  <c r="AY114" i="3"/>
  <c r="AZ114" i="3" s="1"/>
  <c r="AX114" i="3"/>
  <c r="AY115" i="3"/>
  <c r="AZ115" i="3" s="1"/>
  <c r="AX115" i="3"/>
  <c r="AY116" i="3"/>
  <c r="AZ116" i="3" s="1"/>
  <c r="AX116" i="3"/>
  <c r="AY117" i="3"/>
  <c r="AZ117" i="3" s="1"/>
  <c r="AX117" i="3"/>
  <c r="AY118" i="3"/>
  <c r="AZ118" i="3" s="1"/>
  <c r="AX118" i="3"/>
  <c r="AY119" i="3"/>
  <c r="AZ119" i="3" s="1"/>
  <c r="AX119" i="3"/>
  <c r="AY120" i="3"/>
  <c r="AZ120" i="3" s="1"/>
  <c r="AX120" i="3"/>
  <c r="AY121" i="3"/>
  <c r="AZ121" i="3" s="1"/>
  <c r="AX121" i="3"/>
  <c r="AY122" i="3"/>
  <c r="AZ122" i="3" s="1"/>
  <c r="AX122" i="3"/>
  <c r="AY123" i="3"/>
  <c r="AZ123" i="3" s="1"/>
  <c r="AX123" i="3"/>
  <c r="AY124" i="3"/>
  <c r="AZ124" i="3" s="1"/>
  <c r="AX124" i="3"/>
  <c r="AY125" i="3"/>
  <c r="AZ125" i="3" s="1"/>
  <c r="AX125" i="3"/>
  <c r="AY126" i="3"/>
  <c r="AZ126" i="3" s="1"/>
  <c r="AX126" i="3"/>
  <c r="AX127" i="3"/>
  <c r="AY127" i="3"/>
  <c r="AZ127" i="3" s="1"/>
  <c r="AY128" i="3"/>
  <c r="AZ128" i="3" s="1"/>
  <c r="AX128" i="3"/>
  <c r="AY129" i="3"/>
  <c r="AZ129" i="3" s="1"/>
  <c r="AX129" i="3"/>
  <c r="AX130" i="3"/>
  <c r="AY130" i="3"/>
  <c r="AZ130" i="3" s="1"/>
  <c r="AX131" i="3"/>
  <c r="AY131" i="3"/>
  <c r="AZ131" i="3" s="1"/>
  <c r="AX132" i="3"/>
  <c r="AY132" i="3"/>
  <c r="AZ132" i="3" s="1"/>
  <c r="AX133" i="3"/>
  <c r="AY133" i="3"/>
  <c r="AZ133" i="3" s="1"/>
  <c r="AY134" i="3"/>
  <c r="AZ134" i="3" s="1"/>
  <c r="AX134" i="3"/>
  <c r="AX135" i="3"/>
  <c r="AY135" i="3"/>
  <c r="AZ135" i="3" s="1"/>
  <c r="AX136" i="3"/>
  <c r="AY136" i="3"/>
  <c r="AZ136" i="3" s="1"/>
  <c r="AX137" i="3"/>
  <c r="AY137" i="3"/>
  <c r="AZ137" i="3" s="1"/>
  <c r="AX138" i="3"/>
  <c r="AY138" i="3"/>
  <c r="AZ138" i="3" s="1"/>
  <c r="AX139" i="3"/>
  <c r="AY139" i="3"/>
  <c r="AZ139" i="3" s="1"/>
  <c r="AY140" i="3"/>
  <c r="AZ140" i="3" s="1"/>
  <c r="AX140" i="3"/>
  <c r="AY141" i="3"/>
  <c r="AZ141" i="3" s="1"/>
  <c r="AX141" i="3"/>
  <c r="BB6" i="3" l="1"/>
  <c r="BC6" i="3" s="1"/>
  <c r="BA6" i="3"/>
  <c r="BB7" i="3"/>
  <c r="BC7" i="3" s="1"/>
  <c r="BA7" i="3"/>
  <c r="BB8" i="3"/>
  <c r="BC8" i="3" s="1"/>
  <c r="BA8" i="3"/>
  <c r="BB9" i="3"/>
  <c r="BC9" i="3" s="1"/>
  <c r="BA9" i="3"/>
  <c r="BB10" i="3"/>
  <c r="BC10" i="3" s="1"/>
  <c r="BA10" i="3"/>
  <c r="BB11" i="3"/>
  <c r="BC11" i="3" s="1"/>
  <c r="BA11" i="3"/>
  <c r="BB12" i="3"/>
  <c r="BC12" i="3" s="1"/>
  <c r="BA12" i="3"/>
  <c r="BB13" i="3"/>
  <c r="BC13" i="3" s="1"/>
  <c r="BA13" i="3"/>
  <c r="BB14" i="3"/>
  <c r="BC14" i="3" s="1"/>
  <c r="BA14" i="3"/>
  <c r="BB15" i="3"/>
  <c r="BC15" i="3" s="1"/>
  <c r="BA15" i="3"/>
  <c r="BB16" i="3"/>
  <c r="BC16" i="3" s="1"/>
  <c r="BA16" i="3"/>
  <c r="BB17" i="3"/>
  <c r="BC17" i="3" s="1"/>
  <c r="BA17" i="3"/>
  <c r="BB18" i="3"/>
  <c r="BC18" i="3" s="1"/>
  <c r="BA18" i="3"/>
  <c r="BB19" i="3"/>
  <c r="BC19" i="3" s="1"/>
  <c r="BA19" i="3"/>
  <c r="BB20" i="3"/>
  <c r="BC20" i="3" s="1"/>
  <c r="BA20" i="3"/>
  <c r="BB21" i="3"/>
  <c r="BC21" i="3" s="1"/>
  <c r="BA21" i="3"/>
  <c r="BB22" i="3"/>
  <c r="BC22" i="3" s="1"/>
  <c r="BA22" i="3"/>
  <c r="BB23" i="3"/>
  <c r="BC23" i="3" s="1"/>
  <c r="BA23" i="3"/>
  <c r="BB24" i="3"/>
  <c r="BC24" i="3" s="1"/>
  <c r="BA24" i="3"/>
  <c r="BB25" i="3"/>
  <c r="BC25" i="3" s="1"/>
  <c r="BA25" i="3"/>
  <c r="BB26" i="3"/>
  <c r="BC26" i="3" s="1"/>
  <c r="BA26" i="3"/>
  <c r="BB27" i="3"/>
  <c r="BC27" i="3" s="1"/>
  <c r="BA27" i="3"/>
  <c r="BB28" i="3"/>
  <c r="BC28" i="3" s="1"/>
  <c r="BA28" i="3"/>
  <c r="BB29" i="3"/>
  <c r="BC29" i="3" s="1"/>
  <c r="BA29" i="3"/>
  <c r="BB30" i="3"/>
  <c r="BC30" i="3" s="1"/>
  <c r="BA30" i="3"/>
  <c r="BB31" i="3"/>
  <c r="BC31" i="3" s="1"/>
  <c r="BA31" i="3"/>
  <c r="BB32" i="3"/>
  <c r="BC32" i="3" s="1"/>
  <c r="BA32" i="3"/>
  <c r="BB33" i="3"/>
  <c r="BC33" i="3" s="1"/>
  <c r="BA33" i="3"/>
  <c r="BB34" i="3"/>
  <c r="BC34" i="3" s="1"/>
  <c r="BA34" i="3"/>
  <c r="BB35" i="3"/>
  <c r="BC35" i="3" s="1"/>
  <c r="BA35" i="3"/>
  <c r="BB36" i="3"/>
  <c r="BC36" i="3" s="1"/>
  <c r="BA36" i="3"/>
  <c r="BB37" i="3"/>
  <c r="BC37" i="3" s="1"/>
  <c r="BA37" i="3"/>
  <c r="BB38" i="3"/>
  <c r="BC38" i="3" s="1"/>
  <c r="BA38" i="3"/>
  <c r="BB39" i="3"/>
  <c r="BC39" i="3" s="1"/>
  <c r="BA39" i="3"/>
  <c r="BB40" i="3"/>
  <c r="BC40" i="3" s="1"/>
  <c r="BA40" i="3"/>
  <c r="BB41" i="3"/>
  <c r="BC41" i="3" s="1"/>
  <c r="BA41" i="3"/>
  <c r="BB42" i="3"/>
  <c r="BC42" i="3" s="1"/>
  <c r="BA42" i="3"/>
  <c r="BB43" i="3"/>
  <c r="BC43" i="3" s="1"/>
  <c r="BA43" i="3"/>
  <c r="BB44" i="3"/>
  <c r="BC44" i="3" s="1"/>
  <c r="BA44" i="3"/>
  <c r="BA45" i="3"/>
  <c r="BB45" i="3"/>
  <c r="BC45" i="3" s="1"/>
  <c r="BA46" i="3"/>
  <c r="BB46" i="3"/>
  <c r="BC46" i="3" s="1"/>
  <c r="BA47" i="3"/>
  <c r="BB47" i="3"/>
  <c r="BC47" i="3" s="1"/>
  <c r="BB48" i="3"/>
  <c r="BC48" i="3" s="1"/>
  <c r="BA48" i="3"/>
  <c r="BB49" i="3"/>
  <c r="BC49" i="3" s="1"/>
  <c r="BA49" i="3"/>
  <c r="BB50" i="3"/>
  <c r="BC50" i="3" s="1"/>
  <c r="BA50" i="3"/>
  <c r="BB51" i="3"/>
  <c r="BC51" i="3" s="1"/>
  <c r="BA51" i="3"/>
  <c r="BB52" i="3"/>
  <c r="BC52" i="3" s="1"/>
  <c r="BA52" i="3"/>
  <c r="BB53" i="3"/>
  <c r="BC53" i="3" s="1"/>
  <c r="BA53" i="3"/>
  <c r="BB54" i="3"/>
  <c r="BC54" i="3" s="1"/>
  <c r="BA54" i="3"/>
  <c r="BB55" i="3"/>
  <c r="BC55" i="3" s="1"/>
  <c r="BA55" i="3"/>
  <c r="BB56" i="3"/>
  <c r="BC56" i="3" s="1"/>
  <c r="BA56" i="3"/>
  <c r="BB57" i="3"/>
  <c r="BC57" i="3" s="1"/>
  <c r="BA57" i="3"/>
  <c r="BB58" i="3"/>
  <c r="BC58" i="3" s="1"/>
  <c r="BA58" i="3"/>
  <c r="BB59" i="3"/>
  <c r="BC59" i="3" s="1"/>
  <c r="BA59" i="3"/>
  <c r="BB60" i="3"/>
  <c r="BC60" i="3" s="1"/>
  <c r="BA60" i="3"/>
  <c r="BA61" i="3"/>
  <c r="BB61" i="3"/>
  <c r="BC61" i="3" s="1"/>
  <c r="BA62" i="3"/>
  <c r="BB62" i="3"/>
  <c r="BC62" i="3" s="1"/>
  <c r="BB63" i="3"/>
  <c r="BC63" i="3" s="1"/>
  <c r="BA63" i="3"/>
  <c r="BB64" i="3"/>
  <c r="BC64" i="3" s="1"/>
  <c r="BA64" i="3"/>
  <c r="BA65" i="3"/>
  <c r="BB65" i="3"/>
  <c r="BC65" i="3" s="1"/>
  <c r="BA66" i="3"/>
  <c r="BB66" i="3"/>
  <c r="BC66" i="3" s="1"/>
  <c r="BA67" i="3"/>
  <c r="BB67" i="3"/>
  <c r="BC67" i="3" s="1"/>
  <c r="BA68" i="3"/>
  <c r="BB68" i="3"/>
  <c r="BC68" i="3" s="1"/>
  <c r="BB69" i="3"/>
  <c r="BC69" i="3" s="1"/>
  <c r="BA69" i="3"/>
  <c r="BB70" i="3"/>
  <c r="BC70" i="3" s="1"/>
  <c r="BA70" i="3"/>
  <c r="BA71" i="3"/>
  <c r="BB71" i="3"/>
  <c r="BC71" i="3" s="1"/>
  <c r="BB72" i="3"/>
  <c r="BC72" i="3" s="1"/>
  <c r="BA72" i="3"/>
  <c r="BB73" i="3"/>
  <c r="BC73" i="3" s="1"/>
  <c r="BA73" i="3"/>
  <c r="BA74" i="3"/>
  <c r="BB74" i="3"/>
  <c r="BC74" i="3" s="1"/>
  <c r="BB75" i="3"/>
  <c r="BC75" i="3" s="1"/>
  <c r="BA75" i="3"/>
  <c r="BA76" i="3"/>
  <c r="BB76" i="3"/>
  <c r="BC76" i="3" s="1"/>
  <c r="BB77" i="3"/>
  <c r="BC77" i="3" s="1"/>
  <c r="BA77" i="3"/>
  <c r="BB78" i="3"/>
  <c r="BC78" i="3" s="1"/>
  <c r="BA78" i="3"/>
  <c r="BB79" i="3"/>
  <c r="BC79" i="3" s="1"/>
  <c r="BA79" i="3"/>
  <c r="BB80" i="3"/>
  <c r="BC80" i="3" s="1"/>
  <c r="BA80" i="3"/>
  <c r="BB81" i="3"/>
  <c r="BC81" i="3" s="1"/>
  <c r="BA81" i="3"/>
  <c r="BB82" i="3"/>
  <c r="BC82" i="3" s="1"/>
  <c r="BA82" i="3"/>
  <c r="BB83" i="3"/>
  <c r="BC83" i="3" s="1"/>
  <c r="BA83" i="3"/>
  <c r="BB84" i="3"/>
  <c r="BC84" i="3" s="1"/>
  <c r="BA84" i="3"/>
  <c r="BB85" i="3"/>
  <c r="BC85" i="3" s="1"/>
  <c r="BA85" i="3"/>
  <c r="BB86" i="3"/>
  <c r="BC86" i="3" s="1"/>
  <c r="BA86" i="3"/>
  <c r="BB87" i="3"/>
  <c r="BC87" i="3" s="1"/>
  <c r="BA87" i="3"/>
  <c r="BB88" i="3"/>
  <c r="BC88" i="3" s="1"/>
  <c r="BA88" i="3"/>
  <c r="BB89" i="3"/>
  <c r="BC89" i="3" s="1"/>
  <c r="BA89" i="3"/>
  <c r="BB90" i="3"/>
  <c r="BC90" i="3" s="1"/>
  <c r="BA90" i="3"/>
  <c r="BB91" i="3"/>
  <c r="BC91" i="3" s="1"/>
  <c r="BA91" i="3"/>
  <c r="BB92" i="3"/>
  <c r="BC92" i="3" s="1"/>
  <c r="BA92" i="3"/>
  <c r="BB93" i="3"/>
  <c r="BC93" i="3" s="1"/>
  <c r="BA93" i="3"/>
  <c r="BB94" i="3"/>
  <c r="BC94" i="3" s="1"/>
  <c r="BA94" i="3"/>
  <c r="BB95" i="3"/>
  <c r="BC95" i="3" s="1"/>
  <c r="BA95" i="3"/>
  <c r="BB96" i="3"/>
  <c r="BC96" i="3" s="1"/>
  <c r="BA96" i="3"/>
  <c r="BB97" i="3"/>
  <c r="BC97" i="3" s="1"/>
  <c r="BA97" i="3"/>
  <c r="BB98" i="3"/>
  <c r="BC98" i="3" s="1"/>
  <c r="BA98" i="3"/>
  <c r="BB99" i="3"/>
  <c r="BC99" i="3" s="1"/>
  <c r="BA99" i="3"/>
  <c r="BB100" i="3"/>
  <c r="BC100" i="3" s="1"/>
  <c r="BA100" i="3"/>
  <c r="BB101" i="3"/>
  <c r="BC101" i="3" s="1"/>
  <c r="BA101" i="3"/>
  <c r="BB102" i="3"/>
  <c r="BC102" i="3" s="1"/>
  <c r="BA102" i="3"/>
  <c r="BB103" i="3"/>
  <c r="BC103" i="3" s="1"/>
  <c r="BA103" i="3"/>
  <c r="BB104" i="3"/>
  <c r="BC104" i="3" s="1"/>
  <c r="BA104" i="3"/>
  <c r="BB105" i="3"/>
  <c r="BC105" i="3" s="1"/>
  <c r="BA105" i="3"/>
  <c r="BB106" i="3"/>
  <c r="BC106" i="3" s="1"/>
  <c r="BA106" i="3"/>
  <c r="BB107" i="3"/>
  <c r="BC107" i="3" s="1"/>
  <c r="BA107" i="3"/>
  <c r="BB108" i="3"/>
  <c r="BC108" i="3" s="1"/>
  <c r="BA108" i="3"/>
  <c r="BB109" i="3"/>
  <c r="BC109" i="3" s="1"/>
  <c r="BA109" i="3"/>
  <c r="BB110" i="3"/>
  <c r="BC110" i="3" s="1"/>
  <c r="BA110" i="3"/>
  <c r="BB111" i="3"/>
  <c r="BC111" i="3" s="1"/>
  <c r="BA111" i="3"/>
  <c r="BB112" i="3"/>
  <c r="BC112" i="3" s="1"/>
  <c r="BA112" i="3"/>
  <c r="BB113" i="3"/>
  <c r="BC113" i="3" s="1"/>
  <c r="BA113" i="3"/>
  <c r="BB114" i="3"/>
  <c r="BC114" i="3" s="1"/>
  <c r="BA114" i="3"/>
  <c r="BB115" i="3"/>
  <c r="BC115" i="3" s="1"/>
  <c r="BA115" i="3"/>
  <c r="BB116" i="3"/>
  <c r="BC116" i="3" s="1"/>
  <c r="BA116" i="3"/>
  <c r="BB117" i="3"/>
  <c r="BC117" i="3" s="1"/>
  <c r="BA117" i="3"/>
  <c r="BB118" i="3"/>
  <c r="BC118" i="3" s="1"/>
  <c r="BA118" i="3"/>
  <c r="BB119" i="3"/>
  <c r="BC119" i="3" s="1"/>
  <c r="BA119" i="3"/>
  <c r="BB120" i="3"/>
  <c r="BC120" i="3" s="1"/>
  <c r="BA120" i="3"/>
  <c r="BB121" i="3"/>
  <c r="BC121" i="3" s="1"/>
  <c r="BA121" i="3"/>
  <c r="BB122" i="3"/>
  <c r="BC122" i="3" s="1"/>
  <c r="BA122" i="3"/>
  <c r="BB123" i="3"/>
  <c r="BC123" i="3" s="1"/>
  <c r="BA123" i="3"/>
  <c r="BB124" i="3"/>
  <c r="BC124" i="3" s="1"/>
  <c r="BA124" i="3"/>
  <c r="BB125" i="3"/>
  <c r="BC125" i="3" s="1"/>
  <c r="BA125" i="3"/>
  <c r="BA126" i="3"/>
  <c r="BB126" i="3"/>
  <c r="BC126" i="3" s="1"/>
  <c r="BB127" i="3"/>
  <c r="BC127" i="3" s="1"/>
  <c r="BA127" i="3"/>
  <c r="BA128" i="3"/>
  <c r="BB128" i="3"/>
  <c r="BC128" i="3" s="1"/>
  <c r="BB129" i="3"/>
  <c r="BC129" i="3" s="1"/>
  <c r="BA129" i="3"/>
  <c r="BA130" i="3"/>
  <c r="BB130" i="3"/>
  <c r="BC130" i="3" s="1"/>
  <c r="BA131" i="3"/>
  <c r="BB131" i="3"/>
  <c r="BC131" i="3" s="1"/>
  <c r="BA132" i="3"/>
  <c r="BB132" i="3"/>
  <c r="BC132" i="3" s="1"/>
  <c r="BB133" i="3"/>
  <c r="BC133" i="3" s="1"/>
  <c r="BA133" i="3"/>
  <c r="BB134" i="3"/>
  <c r="BC134" i="3" s="1"/>
  <c r="BA134" i="3"/>
  <c r="BA135" i="3"/>
  <c r="BB135" i="3"/>
  <c r="BC135" i="3" s="1"/>
  <c r="BA136" i="3"/>
  <c r="BB136" i="3"/>
  <c r="BC136" i="3" s="1"/>
  <c r="BA137" i="3"/>
  <c r="BB137" i="3"/>
  <c r="BC137" i="3" s="1"/>
  <c r="BA138" i="3"/>
  <c r="BB138" i="3"/>
  <c r="BC138" i="3" s="1"/>
  <c r="BA139" i="3"/>
  <c r="BB139" i="3"/>
  <c r="BC139" i="3" s="1"/>
  <c r="BB140" i="3"/>
  <c r="BC140" i="3" s="1"/>
  <c r="BA140" i="3"/>
  <c r="BB141" i="3"/>
  <c r="BC141" i="3" s="1"/>
  <c r="BA141" i="3"/>
  <c r="BN5" i="3" l="1"/>
  <c r="BE6" i="3"/>
  <c r="BF6" i="3" s="1"/>
  <c r="BD6" i="3"/>
  <c r="BE7" i="3"/>
  <c r="BF7" i="3" s="1"/>
  <c r="BD7" i="3"/>
  <c r="BE8" i="3"/>
  <c r="BF8" i="3" s="1"/>
  <c r="BD8" i="3"/>
  <c r="BE9" i="3"/>
  <c r="BF9" i="3" s="1"/>
  <c r="BD9" i="3"/>
  <c r="BE10" i="3"/>
  <c r="BF10" i="3" s="1"/>
  <c r="BD10" i="3"/>
  <c r="BE11" i="3"/>
  <c r="BF11" i="3" s="1"/>
  <c r="BD11" i="3"/>
  <c r="BE12" i="3"/>
  <c r="BF12" i="3" s="1"/>
  <c r="BD12" i="3"/>
  <c r="BE13" i="3"/>
  <c r="BF13" i="3" s="1"/>
  <c r="BD13" i="3"/>
  <c r="BE14" i="3"/>
  <c r="BF14" i="3" s="1"/>
  <c r="BD14" i="3"/>
  <c r="BE15" i="3"/>
  <c r="BF15" i="3" s="1"/>
  <c r="BD15" i="3"/>
  <c r="BE16" i="3"/>
  <c r="BF16" i="3" s="1"/>
  <c r="BD16" i="3"/>
  <c r="BE17" i="3"/>
  <c r="BF17" i="3" s="1"/>
  <c r="BD17" i="3"/>
  <c r="BE18" i="3"/>
  <c r="BF18" i="3" s="1"/>
  <c r="BD18" i="3"/>
  <c r="BE19" i="3"/>
  <c r="BF19" i="3" s="1"/>
  <c r="BD19" i="3"/>
  <c r="BE20" i="3"/>
  <c r="BF20" i="3" s="1"/>
  <c r="BD20" i="3"/>
  <c r="BE21" i="3"/>
  <c r="BF21" i="3" s="1"/>
  <c r="BD21" i="3"/>
  <c r="BE22" i="3"/>
  <c r="BF22" i="3" s="1"/>
  <c r="BD22" i="3"/>
  <c r="BE23" i="3"/>
  <c r="BF23" i="3" s="1"/>
  <c r="BD23" i="3"/>
  <c r="BE24" i="3"/>
  <c r="BF24" i="3" s="1"/>
  <c r="BD24" i="3"/>
  <c r="BE25" i="3"/>
  <c r="BF25" i="3" s="1"/>
  <c r="BD25" i="3"/>
  <c r="BE26" i="3"/>
  <c r="BF26" i="3" s="1"/>
  <c r="BD26" i="3"/>
  <c r="BE27" i="3"/>
  <c r="BF27" i="3" s="1"/>
  <c r="BD27" i="3"/>
  <c r="BE28" i="3"/>
  <c r="BF28" i="3" s="1"/>
  <c r="BD28" i="3"/>
  <c r="BE29" i="3"/>
  <c r="BF29" i="3" s="1"/>
  <c r="BD29" i="3"/>
  <c r="BE30" i="3"/>
  <c r="BF30" i="3" s="1"/>
  <c r="BD30" i="3"/>
  <c r="BE31" i="3"/>
  <c r="BF31" i="3" s="1"/>
  <c r="BD31" i="3"/>
  <c r="BE32" i="3"/>
  <c r="BF32" i="3" s="1"/>
  <c r="BD32" i="3"/>
  <c r="BE33" i="3"/>
  <c r="BF33" i="3" s="1"/>
  <c r="BD33" i="3"/>
  <c r="BE34" i="3"/>
  <c r="BF34" i="3" s="1"/>
  <c r="BD34" i="3"/>
  <c r="BE35" i="3"/>
  <c r="BF35" i="3" s="1"/>
  <c r="BD35" i="3"/>
  <c r="BE36" i="3"/>
  <c r="BF36" i="3" s="1"/>
  <c r="BD36" i="3"/>
  <c r="BE37" i="3"/>
  <c r="BF37" i="3" s="1"/>
  <c r="BD37" i="3"/>
  <c r="BE38" i="3"/>
  <c r="BF38" i="3" s="1"/>
  <c r="BD38" i="3"/>
  <c r="BE39" i="3"/>
  <c r="BF39" i="3" s="1"/>
  <c r="BD39" i="3"/>
  <c r="BE40" i="3"/>
  <c r="BF40" i="3" s="1"/>
  <c r="BD40" i="3"/>
  <c r="BE41" i="3"/>
  <c r="BF41" i="3" s="1"/>
  <c r="BD41" i="3"/>
  <c r="BE42" i="3"/>
  <c r="BF42" i="3" s="1"/>
  <c r="BD42" i="3"/>
  <c r="BE43" i="3"/>
  <c r="BF43" i="3" s="1"/>
  <c r="BD43" i="3"/>
  <c r="BE44" i="3"/>
  <c r="BF44" i="3" s="1"/>
  <c r="BD44" i="3"/>
  <c r="BE45" i="3"/>
  <c r="BF45" i="3" s="1"/>
  <c r="BD45" i="3"/>
  <c r="BE46" i="3"/>
  <c r="BF46" i="3" s="1"/>
  <c r="BD46" i="3"/>
  <c r="BE47" i="3"/>
  <c r="BF47" i="3" s="1"/>
  <c r="BD47" i="3"/>
  <c r="BD48" i="3"/>
  <c r="BE48" i="3"/>
  <c r="BF48" i="3" s="1"/>
  <c r="BE49" i="3"/>
  <c r="BF49" i="3" s="1"/>
  <c r="BD49" i="3"/>
  <c r="BE50" i="3"/>
  <c r="BF50" i="3" s="1"/>
  <c r="BD50" i="3"/>
  <c r="BE51" i="3"/>
  <c r="BF51" i="3" s="1"/>
  <c r="BD51" i="3"/>
  <c r="BE52" i="3"/>
  <c r="BF52" i="3" s="1"/>
  <c r="BD52" i="3"/>
  <c r="BE53" i="3"/>
  <c r="BF53" i="3" s="1"/>
  <c r="BD53" i="3"/>
  <c r="BE54" i="3"/>
  <c r="BF54" i="3" s="1"/>
  <c r="BD54" i="3"/>
  <c r="BE55" i="3"/>
  <c r="BF55" i="3" s="1"/>
  <c r="BD55" i="3"/>
  <c r="BE56" i="3"/>
  <c r="BF56" i="3" s="1"/>
  <c r="BD56" i="3"/>
  <c r="BE57" i="3"/>
  <c r="BF57" i="3" s="1"/>
  <c r="BD57" i="3"/>
  <c r="BE58" i="3"/>
  <c r="BF58" i="3" s="1"/>
  <c r="BD58" i="3"/>
  <c r="BE59" i="3"/>
  <c r="BF59" i="3" s="1"/>
  <c r="BD59" i="3"/>
  <c r="BE60" i="3"/>
  <c r="BF60" i="3" s="1"/>
  <c r="BD60" i="3"/>
  <c r="BD61" i="3"/>
  <c r="BE61" i="3"/>
  <c r="BF61" i="3" s="1"/>
  <c r="BE62" i="3"/>
  <c r="BF62" i="3" s="1"/>
  <c r="BD62" i="3"/>
  <c r="BE63" i="3"/>
  <c r="BF63" i="3" s="1"/>
  <c r="BD63" i="3"/>
  <c r="BE64" i="3"/>
  <c r="BF64" i="3" s="1"/>
  <c r="BD64" i="3"/>
  <c r="BD65" i="3"/>
  <c r="BE65" i="3"/>
  <c r="BF65" i="3" s="1"/>
  <c r="BE66" i="3"/>
  <c r="BF66" i="3" s="1"/>
  <c r="BD66" i="3"/>
  <c r="BD67" i="3"/>
  <c r="BE67" i="3"/>
  <c r="BF67" i="3" s="1"/>
  <c r="BE68" i="3"/>
  <c r="BF68" i="3" s="1"/>
  <c r="BD68" i="3"/>
  <c r="BD69" i="3"/>
  <c r="BE69" i="3"/>
  <c r="BF69" i="3" s="1"/>
  <c r="BE70" i="3"/>
  <c r="BF70" i="3" s="1"/>
  <c r="BD70" i="3"/>
  <c r="BD71" i="3"/>
  <c r="BE71" i="3"/>
  <c r="BF71" i="3" s="1"/>
  <c r="BE72" i="3"/>
  <c r="BF72" i="3" s="1"/>
  <c r="BD72" i="3"/>
  <c r="BD73" i="3"/>
  <c r="BE73" i="3"/>
  <c r="BF73" i="3" s="1"/>
  <c r="BE74" i="3"/>
  <c r="BF74" i="3" s="1"/>
  <c r="BD74" i="3"/>
  <c r="BE75" i="3"/>
  <c r="BF75" i="3" s="1"/>
  <c r="BD75" i="3"/>
  <c r="BE76" i="3"/>
  <c r="BF76" i="3" s="1"/>
  <c r="BD76" i="3"/>
  <c r="BE77" i="3"/>
  <c r="BF77" i="3" s="1"/>
  <c r="BD77" i="3"/>
  <c r="BE78" i="3"/>
  <c r="BF78" i="3" s="1"/>
  <c r="BD78" i="3"/>
  <c r="BE79" i="3"/>
  <c r="BF79" i="3" s="1"/>
  <c r="BD79" i="3"/>
  <c r="BE80" i="3"/>
  <c r="BF80" i="3" s="1"/>
  <c r="BD80" i="3"/>
  <c r="BE81" i="3"/>
  <c r="BF81" i="3" s="1"/>
  <c r="BD81" i="3"/>
  <c r="BE82" i="3"/>
  <c r="BF82" i="3" s="1"/>
  <c r="BD82" i="3"/>
  <c r="BE83" i="3"/>
  <c r="BF83" i="3" s="1"/>
  <c r="BD83" i="3"/>
  <c r="BE84" i="3"/>
  <c r="BF84" i="3" s="1"/>
  <c r="BD84" i="3"/>
  <c r="BE85" i="3"/>
  <c r="BF85" i="3" s="1"/>
  <c r="BD85" i="3"/>
  <c r="BE86" i="3"/>
  <c r="BF86" i="3" s="1"/>
  <c r="BD86" i="3"/>
  <c r="BE87" i="3"/>
  <c r="BF87" i="3" s="1"/>
  <c r="BD87" i="3"/>
  <c r="BE88" i="3"/>
  <c r="BF88" i="3" s="1"/>
  <c r="BD88" i="3"/>
  <c r="BE89" i="3"/>
  <c r="BF89" i="3" s="1"/>
  <c r="BD89" i="3"/>
  <c r="BE90" i="3"/>
  <c r="BF90" i="3" s="1"/>
  <c r="BD90" i="3"/>
  <c r="BE91" i="3"/>
  <c r="BF91" i="3" s="1"/>
  <c r="BD91" i="3"/>
  <c r="BE92" i="3"/>
  <c r="BF92" i="3" s="1"/>
  <c r="BD92" i="3"/>
  <c r="BE93" i="3"/>
  <c r="BF93" i="3" s="1"/>
  <c r="BD93" i="3"/>
  <c r="BE94" i="3"/>
  <c r="BF94" i="3" s="1"/>
  <c r="BD94" i="3"/>
  <c r="BE95" i="3"/>
  <c r="BF95" i="3" s="1"/>
  <c r="BD95" i="3"/>
  <c r="BE96" i="3"/>
  <c r="BF96" i="3" s="1"/>
  <c r="BD96" i="3"/>
  <c r="BE97" i="3"/>
  <c r="BF97" i="3" s="1"/>
  <c r="BD97" i="3"/>
  <c r="BE98" i="3"/>
  <c r="BF98" i="3" s="1"/>
  <c r="BD98" i="3"/>
  <c r="BE99" i="3"/>
  <c r="BF99" i="3" s="1"/>
  <c r="BD99" i="3"/>
  <c r="BE100" i="3"/>
  <c r="BF100" i="3" s="1"/>
  <c r="BD100" i="3"/>
  <c r="BE101" i="3"/>
  <c r="BF101" i="3" s="1"/>
  <c r="BD101" i="3"/>
  <c r="BE102" i="3"/>
  <c r="BF102" i="3" s="1"/>
  <c r="BD102" i="3"/>
  <c r="BE103" i="3"/>
  <c r="BF103" i="3" s="1"/>
  <c r="BD103" i="3"/>
  <c r="BE104" i="3"/>
  <c r="BF104" i="3" s="1"/>
  <c r="BD104" i="3"/>
  <c r="BE105" i="3"/>
  <c r="BF105" i="3" s="1"/>
  <c r="BD105" i="3"/>
  <c r="BE106" i="3"/>
  <c r="BF106" i="3" s="1"/>
  <c r="BD106" i="3"/>
  <c r="BE107" i="3"/>
  <c r="BF107" i="3" s="1"/>
  <c r="BD107" i="3"/>
  <c r="BE108" i="3"/>
  <c r="BF108" i="3" s="1"/>
  <c r="BD108" i="3"/>
  <c r="BE109" i="3"/>
  <c r="BF109" i="3" s="1"/>
  <c r="BD109" i="3"/>
  <c r="BE110" i="3"/>
  <c r="BF110" i="3" s="1"/>
  <c r="BD110" i="3"/>
  <c r="BE111" i="3"/>
  <c r="BF111" i="3" s="1"/>
  <c r="BD111" i="3"/>
  <c r="BE112" i="3"/>
  <c r="BF112" i="3" s="1"/>
  <c r="BD112" i="3"/>
  <c r="BE113" i="3"/>
  <c r="BF113" i="3" s="1"/>
  <c r="BD113" i="3"/>
  <c r="BE114" i="3"/>
  <c r="BF114" i="3" s="1"/>
  <c r="BD114" i="3"/>
  <c r="BE115" i="3"/>
  <c r="BF115" i="3" s="1"/>
  <c r="BD115" i="3"/>
  <c r="BE116" i="3"/>
  <c r="BF116" i="3" s="1"/>
  <c r="BD116" i="3"/>
  <c r="BE117" i="3"/>
  <c r="BF117" i="3" s="1"/>
  <c r="BD117" i="3"/>
  <c r="BE118" i="3"/>
  <c r="BF118" i="3" s="1"/>
  <c r="BD118" i="3"/>
  <c r="BE119" i="3"/>
  <c r="BF119" i="3" s="1"/>
  <c r="BD119" i="3"/>
  <c r="BE120" i="3"/>
  <c r="BF120" i="3" s="1"/>
  <c r="BD120" i="3"/>
  <c r="BE121" i="3"/>
  <c r="BF121" i="3" s="1"/>
  <c r="BD121" i="3"/>
  <c r="BE122" i="3"/>
  <c r="BF122" i="3" s="1"/>
  <c r="BD122" i="3"/>
  <c r="BE123" i="3"/>
  <c r="BF123" i="3" s="1"/>
  <c r="BD123" i="3"/>
  <c r="BE124" i="3"/>
  <c r="BF124" i="3" s="1"/>
  <c r="BD124" i="3"/>
  <c r="BE125" i="3"/>
  <c r="BF125" i="3" s="1"/>
  <c r="BD125" i="3"/>
  <c r="BE126" i="3"/>
  <c r="BF126" i="3" s="1"/>
  <c r="BD126" i="3"/>
  <c r="BD127" i="3"/>
  <c r="BE127" i="3"/>
  <c r="BF127" i="3" s="1"/>
  <c r="BE128" i="3"/>
  <c r="BF128" i="3" s="1"/>
  <c r="BD128" i="3"/>
  <c r="BD129" i="3"/>
  <c r="BE129" i="3"/>
  <c r="BF129" i="3" s="1"/>
  <c r="BD130" i="3"/>
  <c r="BE130" i="3"/>
  <c r="BF130" i="3" s="1"/>
  <c r="BE131" i="3"/>
  <c r="BF131" i="3" s="1"/>
  <c r="BD131" i="3"/>
  <c r="BE132" i="3"/>
  <c r="BF132" i="3" s="1"/>
  <c r="BD132" i="3"/>
  <c r="BD133" i="3"/>
  <c r="BE133" i="3"/>
  <c r="BF133" i="3" s="1"/>
  <c r="BD134" i="3"/>
  <c r="BE134" i="3"/>
  <c r="BF134" i="3" s="1"/>
  <c r="BE135" i="3"/>
  <c r="BF135" i="3" s="1"/>
  <c r="BD135" i="3"/>
  <c r="BD136" i="3"/>
  <c r="BE136" i="3"/>
  <c r="BF136" i="3" s="1"/>
  <c r="BE137" i="3"/>
  <c r="BF137" i="3" s="1"/>
  <c r="BD137" i="3"/>
  <c r="BE138" i="3"/>
  <c r="BF138" i="3" s="1"/>
  <c r="BD138" i="3"/>
  <c r="BE139" i="3"/>
  <c r="BF139" i="3" s="1"/>
  <c r="BD139" i="3"/>
  <c r="BE140" i="3"/>
  <c r="BF140" i="3" s="1"/>
  <c r="BD140" i="3"/>
  <c r="BD141" i="3"/>
  <c r="BE141" i="3"/>
  <c r="BF141" i="3" s="1"/>
  <c r="BH6" i="3" l="1"/>
  <c r="BI6" i="3" s="1"/>
  <c r="BG6" i="3"/>
  <c r="BH7" i="3"/>
  <c r="BI7" i="3" s="1"/>
  <c r="BG7" i="3"/>
  <c r="BH8" i="3"/>
  <c r="BI8" i="3" s="1"/>
  <c r="BG8" i="3"/>
  <c r="BH9" i="3"/>
  <c r="BI9" i="3" s="1"/>
  <c r="BG9" i="3"/>
  <c r="BH10" i="3"/>
  <c r="BI10" i="3" s="1"/>
  <c r="BG10" i="3"/>
  <c r="BH11" i="3"/>
  <c r="BI11" i="3" s="1"/>
  <c r="BG11" i="3"/>
  <c r="BH12" i="3"/>
  <c r="BI12" i="3" s="1"/>
  <c r="BG12" i="3"/>
  <c r="BH13" i="3"/>
  <c r="BI13" i="3" s="1"/>
  <c r="BG13" i="3"/>
  <c r="BH14" i="3"/>
  <c r="BI14" i="3" s="1"/>
  <c r="BG14" i="3"/>
  <c r="BH15" i="3"/>
  <c r="BI15" i="3" s="1"/>
  <c r="BG15" i="3"/>
  <c r="BH16" i="3"/>
  <c r="BI16" i="3" s="1"/>
  <c r="BG16" i="3"/>
  <c r="BH17" i="3"/>
  <c r="BI17" i="3" s="1"/>
  <c r="BG17" i="3"/>
  <c r="BH18" i="3"/>
  <c r="BI18" i="3" s="1"/>
  <c r="BG18" i="3"/>
  <c r="BH19" i="3"/>
  <c r="BI19" i="3" s="1"/>
  <c r="BG19" i="3"/>
  <c r="BH20" i="3"/>
  <c r="BI20" i="3" s="1"/>
  <c r="BG20" i="3"/>
  <c r="BH21" i="3"/>
  <c r="BI21" i="3" s="1"/>
  <c r="BG21" i="3"/>
  <c r="BH22" i="3"/>
  <c r="BI22" i="3" s="1"/>
  <c r="BG22" i="3"/>
  <c r="BH23" i="3"/>
  <c r="BI23" i="3" s="1"/>
  <c r="BG23" i="3"/>
  <c r="BH24" i="3"/>
  <c r="BI24" i="3" s="1"/>
  <c r="BG24" i="3"/>
  <c r="BH25" i="3"/>
  <c r="BI25" i="3" s="1"/>
  <c r="BG25" i="3"/>
  <c r="BH26" i="3"/>
  <c r="BI26" i="3" s="1"/>
  <c r="BG26" i="3"/>
  <c r="BH27" i="3"/>
  <c r="BI27" i="3" s="1"/>
  <c r="BG27" i="3"/>
  <c r="BH28" i="3"/>
  <c r="BI28" i="3" s="1"/>
  <c r="BG28" i="3"/>
  <c r="BH29" i="3"/>
  <c r="BI29" i="3" s="1"/>
  <c r="BG29" i="3"/>
  <c r="BH30" i="3"/>
  <c r="BI30" i="3" s="1"/>
  <c r="BG30" i="3"/>
  <c r="BH31" i="3"/>
  <c r="BI31" i="3" s="1"/>
  <c r="BG31" i="3"/>
  <c r="BH32" i="3"/>
  <c r="BI32" i="3" s="1"/>
  <c r="BG32" i="3"/>
  <c r="BH33" i="3"/>
  <c r="BI33" i="3" s="1"/>
  <c r="BG33" i="3"/>
  <c r="BH34" i="3"/>
  <c r="BI34" i="3" s="1"/>
  <c r="BG34" i="3"/>
  <c r="BH35" i="3"/>
  <c r="BI35" i="3" s="1"/>
  <c r="BG35" i="3"/>
  <c r="BH36" i="3"/>
  <c r="BI36" i="3" s="1"/>
  <c r="BG36" i="3"/>
  <c r="BH37" i="3"/>
  <c r="BI37" i="3" s="1"/>
  <c r="BG37" i="3"/>
  <c r="BH38" i="3"/>
  <c r="BI38" i="3" s="1"/>
  <c r="BG38" i="3"/>
  <c r="BH39" i="3"/>
  <c r="BI39" i="3" s="1"/>
  <c r="BG39" i="3"/>
  <c r="BH40" i="3"/>
  <c r="BI40" i="3" s="1"/>
  <c r="BG40" i="3"/>
  <c r="BH41" i="3"/>
  <c r="BI41" i="3" s="1"/>
  <c r="BG41" i="3"/>
  <c r="BH42" i="3"/>
  <c r="BI42" i="3" s="1"/>
  <c r="BG42" i="3"/>
  <c r="BH43" i="3"/>
  <c r="BI43" i="3" s="1"/>
  <c r="BG43" i="3"/>
  <c r="BH44" i="3"/>
  <c r="BI44" i="3" s="1"/>
  <c r="BG44" i="3"/>
  <c r="BG45" i="3"/>
  <c r="BH45" i="3"/>
  <c r="BI45" i="3" s="1"/>
  <c r="BG46" i="3"/>
  <c r="BH46" i="3"/>
  <c r="BI46" i="3" s="1"/>
  <c r="BH47" i="3"/>
  <c r="BI47" i="3" s="1"/>
  <c r="BG47" i="3"/>
  <c r="BH48" i="3"/>
  <c r="BI48" i="3" s="1"/>
  <c r="BG48" i="3"/>
  <c r="BH49" i="3"/>
  <c r="BI49" i="3" s="1"/>
  <c r="BG49" i="3"/>
  <c r="BH50" i="3"/>
  <c r="BI50" i="3" s="1"/>
  <c r="BG50" i="3"/>
  <c r="BH51" i="3"/>
  <c r="BI51" i="3" s="1"/>
  <c r="BG51" i="3"/>
  <c r="BH52" i="3"/>
  <c r="BI52" i="3" s="1"/>
  <c r="BG52" i="3"/>
  <c r="BH53" i="3"/>
  <c r="BI53" i="3" s="1"/>
  <c r="BG53" i="3"/>
  <c r="BH54" i="3"/>
  <c r="BI54" i="3" s="1"/>
  <c r="BG54" i="3"/>
  <c r="BH55" i="3"/>
  <c r="BI55" i="3" s="1"/>
  <c r="BG55" i="3"/>
  <c r="BH56" i="3"/>
  <c r="BI56" i="3" s="1"/>
  <c r="BG56" i="3"/>
  <c r="BH57" i="3"/>
  <c r="BI57" i="3" s="1"/>
  <c r="BG57" i="3"/>
  <c r="BH58" i="3"/>
  <c r="BI58" i="3" s="1"/>
  <c r="BG58" i="3"/>
  <c r="BH59" i="3"/>
  <c r="BI59" i="3" s="1"/>
  <c r="BG59" i="3"/>
  <c r="BH60" i="3"/>
  <c r="BI60" i="3" s="1"/>
  <c r="BG60" i="3"/>
  <c r="BG61" i="3"/>
  <c r="BH61" i="3"/>
  <c r="BI61" i="3" s="1"/>
  <c r="BG62" i="3"/>
  <c r="BH62" i="3"/>
  <c r="BI62" i="3" s="1"/>
  <c r="BH63" i="3"/>
  <c r="BI63" i="3" s="1"/>
  <c r="BG63" i="3"/>
  <c r="BH64" i="3"/>
  <c r="BI64" i="3" s="1"/>
  <c r="BG64" i="3"/>
  <c r="BG65" i="3"/>
  <c r="BH65" i="3"/>
  <c r="BI65" i="3" s="1"/>
  <c r="BH66" i="3"/>
  <c r="BI66" i="3" s="1"/>
  <c r="BG66" i="3"/>
  <c r="BH67" i="3"/>
  <c r="BI67" i="3" s="1"/>
  <c r="BG67" i="3"/>
  <c r="BG68" i="3"/>
  <c r="BH68" i="3"/>
  <c r="BI68" i="3" s="1"/>
  <c r="BH69" i="3"/>
  <c r="BI69" i="3" s="1"/>
  <c r="BG69" i="3"/>
  <c r="BG70" i="3"/>
  <c r="BH70" i="3"/>
  <c r="BI70" i="3" s="1"/>
  <c r="BH71" i="3"/>
  <c r="BI71" i="3" s="1"/>
  <c r="BG71" i="3"/>
  <c r="BG72" i="3"/>
  <c r="BH72" i="3"/>
  <c r="BI72" i="3" s="1"/>
  <c r="BG73" i="3"/>
  <c r="BH73" i="3"/>
  <c r="BI73" i="3" s="1"/>
  <c r="BH74" i="3"/>
  <c r="BI74" i="3" s="1"/>
  <c r="BG74" i="3"/>
  <c r="BH75" i="3"/>
  <c r="BI75" i="3" s="1"/>
  <c r="BG75" i="3"/>
  <c r="BG76" i="3"/>
  <c r="BH76" i="3"/>
  <c r="BI76" i="3" s="1"/>
  <c r="BH77" i="3"/>
  <c r="BI77" i="3" s="1"/>
  <c r="BG77" i="3"/>
  <c r="BH78" i="3"/>
  <c r="BI78" i="3" s="1"/>
  <c r="BG78" i="3"/>
  <c r="BH79" i="3"/>
  <c r="BI79" i="3" s="1"/>
  <c r="BG79" i="3"/>
  <c r="BH80" i="3"/>
  <c r="BI80" i="3" s="1"/>
  <c r="BG80" i="3"/>
  <c r="BH81" i="3"/>
  <c r="BI81" i="3" s="1"/>
  <c r="BG81" i="3"/>
  <c r="BH82" i="3"/>
  <c r="BI82" i="3" s="1"/>
  <c r="BG82" i="3"/>
  <c r="BH83" i="3"/>
  <c r="BI83" i="3" s="1"/>
  <c r="BG83" i="3"/>
  <c r="BH84" i="3"/>
  <c r="BI84" i="3" s="1"/>
  <c r="BG84" i="3"/>
  <c r="BH85" i="3"/>
  <c r="BI85" i="3" s="1"/>
  <c r="BG85" i="3"/>
  <c r="BH86" i="3"/>
  <c r="BI86" i="3" s="1"/>
  <c r="BG86" i="3"/>
  <c r="BH87" i="3"/>
  <c r="BI87" i="3" s="1"/>
  <c r="BG87" i="3"/>
  <c r="BH88" i="3"/>
  <c r="BI88" i="3" s="1"/>
  <c r="BG88" i="3"/>
  <c r="BH89" i="3"/>
  <c r="BI89" i="3" s="1"/>
  <c r="BG89" i="3"/>
  <c r="BH90" i="3"/>
  <c r="BI90" i="3" s="1"/>
  <c r="BG90" i="3"/>
  <c r="BH91" i="3"/>
  <c r="BI91" i="3" s="1"/>
  <c r="BG91" i="3"/>
  <c r="BH92" i="3"/>
  <c r="BI92" i="3" s="1"/>
  <c r="BG92" i="3"/>
  <c r="BH93" i="3"/>
  <c r="BI93" i="3" s="1"/>
  <c r="BG93" i="3"/>
  <c r="BH94" i="3"/>
  <c r="BI94" i="3" s="1"/>
  <c r="BG94" i="3"/>
  <c r="BH95" i="3"/>
  <c r="BI95" i="3" s="1"/>
  <c r="BG95" i="3"/>
  <c r="BH96" i="3"/>
  <c r="BI96" i="3" s="1"/>
  <c r="BG96" i="3"/>
  <c r="BH97" i="3"/>
  <c r="BI97" i="3" s="1"/>
  <c r="BG97" i="3"/>
  <c r="BH98" i="3"/>
  <c r="BI98" i="3" s="1"/>
  <c r="BG98" i="3"/>
  <c r="BH99" i="3"/>
  <c r="BI99" i="3" s="1"/>
  <c r="BG99" i="3"/>
  <c r="BH100" i="3"/>
  <c r="BI100" i="3" s="1"/>
  <c r="BG100" i="3"/>
  <c r="BH101" i="3"/>
  <c r="BI101" i="3" s="1"/>
  <c r="BG101" i="3"/>
  <c r="BH102" i="3"/>
  <c r="BI102" i="3" s="1"/>
  <c r="BG102" i="3"/>
  <c r="BH103" i="3"/>
  <c r="BI103" i="3" s="1"/>
  <c r="BG103" i="3"/>
  <c r="BH104" i="3"/>
  <c r="BI104" i="3" s="1"/>
  <c r="BG104" i="3"/>
  <c r="BH105" i="3"/>
  <c r="BI105" i="3" s="1"/>
  <c r="BG105" i="3"/>
  <c r="BH106" i="3"/>
  <c r="BI106" i="3" s="1"/>
  <c r="BG106" i="3"/>
  <c r="BH107" i="3"/>
  <c r="BI107" i="3" s="1"/>
  <c r="BG107" i="3"/>
  <c r="BH108" i="3"/>
  <c r="BI108" i="3" s="1"/>
  <c r="BG108" i="3"/>
  <c r="BH109" i="3"/>
  <c r="BI109" i="3" s="1"/>
  <c r="BG109" i="3"/>
  <c r="BH110" i="3"/>
  <c r="BI110" i="3" s="1"/>
  <c r="BG110" i="3"/>
  <c r="BH111" i="3"/>
  <c r="BI111" i="3" s="1"/>
  <c r="BG111" i="3"/>
  <c r="BH112" i="3"/>
  <c r="BI112" i="3" s="1"/>
  <c r="BG112" i="3"/>
  <c r="BH113" i="3"/>
  <c r="BI113" i="3" s="1"/>
  <c r="BG113" i="3"/>
  <c r="BH114" i="3"/>
  <c r="BI114" i="3" s="1"/>
  <c r="BG114" i="3"/>
  <c r="BH115" i="3"/>
  <c r="BI115" i="3" s="1"/>
  <c r="BG115" i="3"/>
  <c r="BH116" i="3"/>
  <c r="BI116" i="3" s="1"/>
  <c r="BG116" i="3"/>
  <c r="BH117" i="3"/>
  <c r="BI117" i="3" s="1"/>
  <c r="BG117" i="3"/>
  <c r="BH118" i="3"/>
  <c r="BI118" i="3" s="1"/>
  <c r="BG118" i="3"/>
  <c r="BH119" i="3"/>
  <c r="BI119" i="3" s="1"/>
  <c r="BG119" i="3"/>
  <c r="BH120" i="3"/>
  <c r="BI120" i="3" s="1"/>
  <c r="BG120" i="3"/>
  <c r="BH121" i="3"/>
  <c r="BI121" i="3" s="1"/>
  <c r="BG121" i="3"/>
  <c r="BH122" i="3"/>
  <c r="BI122" i="3" s="1"/>
  <c r="BG122" i="3"/>
  <c r="BH123" i="3"/>
  <c r="BI123" i="3" s="1"/>
  <c r="BG123" i="3"/>
  <c r="BH124" i="3"/>
  <c r="BI124" i="3" s="1"/>
  <c r="BG124" i="3"/>
  <c r="BH125" i="3"/>
  <c r="BI125" i="3" s="1"/>
  <c r="BG125" i="3"/>
  <c r="BH126" i="3"/>
  <c r="BI126" i="3" s="1"/>
  <c r="BG126" i="3"/>
  <c r="BH127" i="3"/>
  <c r="BI127" i="3" s="1"/>
  <c r="BG127" i="3"/>
  <c r="BG128" i="3"/>
  <c r="BH128" i="3"/>
  <c r="BI128" i="3" s="1"/>
  <c r="BH129" i="3"/>
  <c r="BI129" i="3" s="1"/>
  <c r="BG129" i="3"/>
  <c r="BH130" i="3"/>
  <c r="BI130" i="3" s="1"/>
  <c r="BG130" i="3"/>
  <c r="BG131" i="3"/>
  <c r="BH131" i="3"/>
  <c r="BI131" i="3" s="1"/>
  <c r="BH132" i="3"/>
  <c r="BI132" i="3" s="1"/>
  <c r="BG132" i="3"/>
  <c r="BG133" i="3"/>
  <c r="BH133" i="3"/>
  <c r="BI133" i="3" s="1"/>
  <c r="BH134" i="3"/>
  <c r="BI134" i="3" s="1"/>
  <c r="BG134" i="3"/>
  <c r="BG135" i="3"/>
  <c r="BH135" i="3"/>
  <c r="BI135" i="3" s="1"/>
  <c r="BG136" i="3"/>
  <c r="BH136" i="3"/>
  <c r="BI136" i="3" s="1"/>
  <c r="BG137" i="3"/>
  <c r="BH137" i="3"/>
  <c r="BI137" i="3" s="1"/>
  <c r="BG138" i="3"/>
  <c r="BH138" i="3"/>
  <c r="BI138" i="3" s="1"/>
  <c r="BG139" i="3"/>
  <c r="BH139" i="3"/>
  <c r="BI139" i="3" s="1"/>
  <c r="BH140" i="3"/>
  <c r="BI140" i="3" s="1"/>
  <c r="BG140" i="3"/>
  <c r="BG141" i="3"/>
  <c r="BH141" i="3"/>
  <c r="BI141" i="3" s="1"/>
  <c r="AI6" i="1" l="1"/>
  <c r="AJ6" i="1"/>
  <c r="AK6" i="1" s="1"/>
  <c r="AL6" i="1" s="1"/>
  <c r="BK6" i="3"/>
  <c r="BJ6" i="3"/>
  <c r="BK7" i="3"/>
  <c r="BJ7" i="3"/>
  <c r="BK8" i="3"/>
  <c r="BJ8" i="3"/>
  <c r="BK9" i="3"/>
  <c r="BJ9" i="3"/>
  <c r="BK10" i="3"/>
  <c r="BJ10" i="3"/>
  <c r="BK11" i="3"/>
  <c r="BJ11" i="3"/>
  <c r="BK12" i="3"/>
  <c r="BJ12" i="3"/>
  <c r="BK13" i="3"/>
  <c r="BJ13" i="3"/>
  <c r="BK14" i="3"/>
  <c r="BJ14" i="3"/>
  <c r="BK15" i="3"/>
  <c r="BJ15" i="3"/>
  <c r="BK16" i="3"/>
  <c r="BJ16" i="3"/>
  <c r="BK17" i="3"/>
  <c r="BJ17" i="3"/>
  <c r="BK18" i="3"/>
  <c r="BJ18" i="3"/>
  <c r="BK19" i="3"/>
  <c r="BJ19" i="3"/>
  <c r="BK20" i="3"/>
  <c r="BJ20" i="3"/>
  <c r="BK21" i="3"/>
  <c r="BJ21" i="3"/>
  <c r="BK22" i="3"/>
  <c r="BJ22" i="3"/>
  <c r="BK23" i="3"/>
  <c r="BJ23" i="3"/>
  <c r="BK24" i="3"/>
  <c r="BJ24" i="3"/>
  <c r="BK25" i="3"/>
  <c r="BJ25" i="3"/>
  <c r="BK26" i="3"/>
  <c r="BJ26" i="3"/>
  <c r="BK27" i="3"/>
  <c r="BJ27" i="3"/>
  <c r="BK28" i="3"/>
  <c r="BJ28" i="3"/>
  <c r="BK29" i="3"/>
  <c r="BJ29" i="3"/>
  <c r="BK30" i="3"/>
  <c r="BJ30" i="3"/>
  <c r="BK31" i="3"/>
  <c r="BJ31" i="3"/>
  <c r="BK32" i="3"/>
  <c r="BJ32" i="3"/>
  <c r="BK33" i="3"/>
  <c r="BJ33" i="3"/>
  <c r="BK34" i="3"/>
  <c r="BJ34" i="3"/>
  <c r="BK35" i="3"/>
  <c r="BJ35" i="3"/>
  <c r="BK36" i="3"/>
  <c r="BJ36" i="3"/>
  <c r="BK37" i="3"/>
  <c r="BJ37" i="3"/>
  <c r="BK38" i="3"/>
  <c r="BJ38" i="3"/>
  <c r="BK39" i="3"/>
  <c r="BJ39" i="3"/>
  <c r="BK40" i="3"/>
  <c r="BJ40" i="3"/>
  <c r="BK41" i="3"/>
  <c r="BJ41" i="3"/>
  <c r="BK42" i="3"/>
  <c r="BJ42" i="3"/>
  <c r="BK43" i="3"/>
  <c r="BJ43" i="3"/>
  <c r="BK44" i="3"/>
  <c r="BJ44" i="3"/>
  <c r="BJ45" i="3"/>
  <c r="BK45" i="3"/>
  <c r="BJ46" i="3"/>
  <c r="BK46" i="3"/>
  <c r="BJ47" i="3"/>
  <c r="BK47" i="3"/>
  <c r="BK48" i="3"/>
  <c r="BJ48" i="3"/>
  <c r="BK49" i="3"/>
  <c r="BJ49" i="3"/>
  <c r="BK50" i="3"/>
  <c r="BJ50" i="3"/>
  <c r="BK51" i="3"/>
  <c r="BJ51" i="3"/>
  <c r="BK52" i="3"/>
  <c r="BJ52" i="3"/>
  <c r="BK53" i="3"/>
  <c r="BJ53" i="3"/>
  <c r="BK54" i="3"/>
  <c r="BJ54" i="3"/>
  <c r="BK55" i="3"/>
  <c r="BJ55" i="3"/>
  <c r="BK56" i="3"/>
  <c r="BJ56" i="3"/>
  <c r="BK57" i="3"/>
  <c r="BJ57" i="3"/>
  <c r="BK58" i="3"/>
  <c r="BJ58" i="3"/>
  <c r="BK59" i="3"/>
  <c r="BJ59" i="3"/>
  <c r="BK60" i="3"/>
  <c r="BJ60" i="3"/>
  <c r="BK61" i="3"/>
  <c r="BJ61" i="3"/>
  <c r="BK62" i="3"/>
  <c r="BJ62" i="3"/>
  <c r="BK63" i="3"/>
  <c r="BJ63" i="3"/>
  <c r="BK64" i="3"/>
  <c r="BJ64" i="3"/>
  <c r="BK65" i="3"/>
  <c r="BJ65" i="3"/>
  <c r="BJ66" i="3"/>
  <c r="BK66" i="3"/>
  <c r="BJ67" i="3"/>
  <c r="BK67" i="3"/>
  <c r="BK68" i="3"/>
  <c r="BJ68" i="3"/>
  <c r="BJ69" i="3"/>
  <c r="BK69" i="3"/>
  <c r="BK70" i="3"/>
  <c r="BJ70" i="3"/>
  <c r="BJ71" i="3"/>
  <c r="BK71" i="3"/>
  <c r="BK72" i="3"/>
  <c r="BJ72" i="3"/>
  <c r="BK73" i="3"/>
  <c r="BJ73" i="3"/>
  <c r="BK74" i="3"/>
  <c r="BJ74" i="3"/>
  <c r="BK75" i="3"/>
  <c r="BJ75" i="3"/>
  <c r="BJ76" i="3"/>
  <c r="BK76" i="3"/>
  <c r="BK77" i="3"/>
  <c r="BJ77" i="3"/>
  <c r="BK78" i="3"/>
  <c r="BJ78" i="3"/>
  <c r="BK79" i="3"/>
  <c r="BJ79" i="3"/>
  <c r="BK80" i="3"/>
  <c r="BJ80" i="3"/>
  <c r="BK81" i="3"/>
  <c r="BJ81" i="3"/>
  <c r="BK82" i="3"/>
  <c r="BJ82" i="3"/>
  <c r="BK83" i="3"/>
  <c r="BJ83" i="3"/>
  <c r="BK84" i="3"/>
  <c r="BJ84" i="3"/>
  <c r="BK85" i="3"/>
  <c r="BJ85" i="3"/>
  <c r="BK86" i="3"/>
  <c r="BJ86" i="3"/>
  <c r="BK87" i="3"/>
  <c r="BJ87" i="3"/>
  <c r="BK88" i="3"/>
  <c r="BJ88" i="3"/>
  <c r="BK89" i="3"/>
  <c r="BJ89" i="3"/>
  <c r="BK90" i="3"/>
  <c r="BJ90" i="3"/>
  <c r="BK91" i="3"/>
  <c r="BJ91" i="3"/>
  <c r="BK92" i="3"/>
  <c r="BJ92" i="3"/>
  <c r="BK93" i="3"/>
  <c r="BJ93" i="3"/>
  <c r="BK94" i="3"/>
  <c r="BJ94" i="3"/>
  <c r="BK95" i="3"/>
  <c r="BJ95" i="3"/>
  <c r="BK96" i="3"/>
  <c r="BJ96" i="3"/>
  <c r="BK97" i="3"/>
  <c r="BJ97" i="3"/>
  <c r="BK98" i="3"/>
  <c r="BJ98" i="3"/>
  <c r="BK99" i="3"/>
  <c r="BJ99" i="3"/>
  <c r="BK100" i="3"/>
  <c r="BJ100" i="3"/>
  <c r="BK101" i="3"/>
  <c r="BJ101" i="3"/>
  <c r="BK102" i="3"/>
  <c r="BJ102" i="3"/>
  <c r="BK103" i="3"/>
  <c r="BJ103" i="3"/>
  <c r="BK104" i="3"/>
  <c r="BJ104" i="3"/>
  <c r="BK105" i="3"/>
  <c r="BJ105" i="3"/>
  <c r="BK106" i="3"/>
  <c r="BJ106" i="3"/>
  <c r="BK107" i="3"/>
  <c r="BJ107" i="3"/>
  <c r="BK108" i="3"/>
  <c r="BJ108" i="3"/>
  <c r="BK109" i="3"/>
  <c r="BJ109" i="3"/>
  <c r="BK110" i="3"/>
  <c r="BJ110" i="3"/>
  <c r="BK111" i="3"/>
  <c r="BJ111" i="3"/>
  <c r="BK112" i="3"/>
  <c r="BJ112" i="3"/>
  <c r="BK113" i="3"/>
  <c r="BJ113" i="3"/>
  <c r="BK114" i="3"/>
  <c r="BJ114" i="3"/>
  <c r="BK115" i="3"/>
  <c r="BJ115" i="3"/>
  <c r="BK116" i="3"/>
  <c r="BJ116" i="3"/>
  <c r="BK117" i="3"/>
  <c r="BJ117" i="3"/>
  <c r="BK118" i="3"/>
  <c r="BJ118" i="3"/>
  <c r="BK119" i="3"/>
  <c r="BJ119" i="3"/>
  <c r="BK120" i="3"/>
  <c r="BJ120" i="3"/>
  <c r="BK121" i="3"/>
  <c r="BJ121" i="3"/>
  <c r="BK122" i="3"/>
  <c r="BJ122" i="3"/>
  <c r="BK123" i="3"/>
  <c r="BJ123" i="3"/>
  <c r="BK124" i="3"/>
  <c r="BJ124" i="3"/>
  <c r="BK125" i="3"/>
  <c r="BJ125" i="3"/>
  <c r="BJ126" i="3"/>
  <c r="BK126" i="3"/>
  <c r="BJ127" i="3"/>
  <c r="BK127" i="3"/>
  <c r="BJ128" i="3"/>
  <c r="BK128" i="3"/>
  <c r="BK129" i="3"/>
  <c r="BJ129" i="3"/>
  <c r="BK130" i="3"/>
  <c r="BJ130" i="3"/>
  <c r="BK131" i="3"/>
  <c r="BJ131" i="3"/>
  <c r="BK132" i="3"/>
  <c r="BJ132" i="3"/>
  <c r="BK133" i="3"/>
  <c r="BJ133" i="3"/>
  <c r="BK134" i="3"/>
  <c r="BJ134" i="3"/>
  <c r="BK135" i="3"/>
  <c r="BJ135" i="3"/>
  <c r="BJ136" i="3"/>
  <c r="BK136" i="3"/>
  <c r="BK137" i="3"/>
  <c r="BJ137" i="3"/>
  <c r="BK138" i="3"/>
  <c r="BJ138" i="3"/>
  <c r="BK139" i="3"/>
  <c r="BJ139" i="3"/>
  <c r="BJ140" i="3"/>
  <c r="BK140" i="3"/>
  <c r="BK141" i="3"/>
  <c r="BJ141" i="3"/>
  <c r="BL6" i="3" l="1"/>
  <c r="BN6" i="3"/>
  <c r="BL7" i="3"/>
  <c r="BN7" i="3"/>
  <c r="BL8" i="3"/>
  <c r="BN8" i="3"/>
  <c r="BL9" i="3"/>
  <c r="BN9" i="3"/>
  <c r="BL10" i="3"/>
  <c r="BN10" i="3"/>
  <c r="BL11" i="3"/>
  <c r="BN11" i="3"/>
  <c r="BL12" i="3"/>
  <c r="BN12" i="3"/>
  <c r="BL13" i="3"/>
  <c r="BN13" i="3"/>
  <c r="BL14" i="3"/>
  <c r="BN14" i="3"/>
  <c r="BL15" i="3"/>
  <c r="BN15" i="3"/>
  <c r="BL16" i="3"/>
  <c r="BN16" i="3"/>
  <c r="BL17" i="3"/>
  <c r="BN17" i="3"/>
  <c r="BL18" i="3"/>
  <c r="BN18" i="3"/>
  <c r="BL19" i="3"/>
  <c r="BN19" i="3"/>
  <c r="BL20" i="3"/>
  <c r="BN20" i="3"/>
  <c r="BL21" i="3"/>
  <c r="BN21" i="3"/>
  <c r="BL22" i="3"/>
  <c r="BN22" i="3"/>
  <c r="BL23" i="3"/>
  <c r="BN23" i="3"/>
  <c r="BL24" i="3"/>
  <c r="BN24" i="3"/>
  <c r="BL25" i="3"/>
  <c r="BN25" i="3"/>
  <c r="BL26" i="3"/>
  <c r="BN26" i="3"/>
  <c r="BL27" i="3"/>
  <c r="BN27" i="3"/>
  <c r="BL28" i="3"/>
  <c r="BN28" i="3"/>
  <c r="BL29" i="3"/>
  <c r="BN29" i="3"/>
  <c r="BL30" i="3"/>
  <c r="BN30" i="3"/>
  <c r="BL31" i="3"/>
  <c r="BN31" i="3"/>
  <c r="BL32" i="3"/>
  <c r="BN32" i="3"/>
  <c r="BL33" i="3"/>
  <c r="BN33" i="3"/>
  <c r="BL34" i="3"/>
  <c r="BN34" i="3"/>
  <c r="BL35" i="3"/>
  <c r="BN35" i="3"/>
  <c r="BL36" i="3"/>
  <c r="BN36" i="3"/>
  <c r="BL37" i="3"/>
  <c r="BN37" i="3"/>
  <c r="BL38" i="3"/>
  <c r="BN38" i="3"/>
  <c r="BL39" i="3"/>
  <c r="BN39" i="3"/>
  <c r="BL40" i="3"/>
  <c r="BN40" i="3"/>
  <c r="BL41" i="3"/>
  <c r="BN41" i="3"/>
  <c r="BL42" i="3"/>
  <c r="BN42" i="3"/>
  <c r="BL43" i="3"/>
  <c r="BN43" i="3"/>
  <c r="BL44" i="3"/>
  <c r="BN44" i="3"/>
  <c r="BL45" i="3"/>
  <c r="BN45" i="3"/>
  <c r="BL46" i="3"/>
  <c r="BN46" i="3"/>
  <c r="BL47" i="3"/>
  <c r="BN47" i="3"/>
  <c r="BL48" i="3"/>
  <c r="BN48" i="3"/>
  <c r="BL49" i="3"/>
  <c r="BN49" i="3"/>
  <c r="BL50" i="3"/>
  <c r="BN50" i="3"/>
  <c r="BL51" i="3"/>
  <c r="BN51" i="3"/>
  <c r="BL52" i="3"/>
  <c r="BN52" i="3"/>
  <c r="BL53" i="3"/>
  <c r="BN53" i="3"/>
  <c r="BL54" i="3"/>
  <c r="BN54" i="3"/>
  <c r="BL55" i="3"/>
  <c r="BN55" i="3"/>
  <c r="BL56" i="3"/>
  <c r="BN56" i="3"/>
  <c r="BL57" i="3"/>
  <c r="BN57" i="3"/>
  <c r="BL58" i="3"/>
  <c r="BN58" i="3"/>
  <c r="BL59" i="3"/>
  <c r="BN59" i="3"/>
  <c r="BL60" i="3"/>
  <c r="BN60" i="3"/>
  <c r="BL61" i="3"/>
  <c r="BN61" i="3"/>
  <c r="BL62" i="3"/>
  <c r="BN62" i="3"/>
  <c r="BL63" i="3"/>
  <c r="BN63" i="3"/>
  <c r="BL64" i="3"/>
  <c r="BN64" i="3"/>
  <c r="BL65" i="3"/>
  <c r="BN65" i="3"/>
  <c r="BL66" i="3"/>
  <c r="BN66" i="3"/>
  <c r="BL67" i="3"/>
  <c r="BN67" i="3"/>
  <c r="BL68" i="3"/>
  <c r="BN68" i="3"/>
  <c r="BL69" i="3"/>
  <c r="BN69" i="3"/>
  <c r="BL70" i="3"/>
  <c r="BN70" i="3"/>
  <c r="BL71" i="3"/>
  <c r="BN71" i="3"/>
  <c r="BL72" i="3"/>
  <c r="BN72" i="3"/>
  <c r="BL73" i="3"/>
  <c r="BN73" i="3"/>
  <c r="BL74" i="3"/>
  <c r="BN74" i="3"/>
  <c r="BL75" i="3"/>
  <c r="BN75" i="3"/>
  <c r="BL76" i="3"/>
  <c r="BN76" i="3"/>
  <c r="BL77" i="3"/>
  <c r="BN77" i="3"/>
  <c r="BL78" i="3"/>
  <c r="BN78" i="3"/>
  <c r="BL79" i="3"/>
  <c r="BN79" i="3"/>
  <c r="BL80" i="3"/>
  <c r="BN80" i="3"/>
  <c r="BL81" i="3"/>
  <c r="BN81" i="3"/>
  <c r="BL82" i="3"/>
  <c r="BN82" i="3"/>
  <c r="BL83" i="3"/>
  <c r="BN83" i="3"/>
  <c r="BL84" i="3"/>
  <c r="BN84" i="3"/>
  <c r="BL85" i="3"/>
  <c r="BN85" i="3"/>
  <c r="BL86" i="3"/>
  <c r="BN86" i="3"/>
  <c r="BL87" i="3"/>
  <c r="BN87" i="3"/>
  <c r="BL88" i="3"/>
  <c r="BN88" i="3"/>
  <c r="BL89" i="3"/>
  <c r="BN89" i="3"/>
  <c r="BL90" i="3"/>
  <c r="BN90" i="3"/>
  <c r="BL91" i="3"/>
  <c r="BN91" i="3"/>
  <c r="BL92" i="3"/>
  <c r="BN92" i="3"/>
  <c r="BL93" i="3"/>
  <c r="BN93" i="3"/>
  <c r="BL94" i="3"/>
  <c r="BN94" i="3"/>
  <c r="BL95" i="3"/>
  <c r="BN95" i="3"/>
  <c r="BL96" i="3"/>
  <c r="BN96" i="3"/>
  <c r="BL97" i="3"/>
  <c r="BN97" i="3"/>
  <c r="BL98" i="3"/>
  <c r="BN98" i="3"/>
  <c r="BL99" i="3"/>
  <c r="BN99" i="3"/>
  <c r="BL100" i="3"/>
  <c r="BN100" i="3"/>
  <c r="BL101" i="3"/>
  <c r="BN101" i="3"/>
  <c r="BL102" i="3"/>
  <c r="BN102" i="3"/>
  <c r="BL103" i="3"/>
  <c r="BN103" i="3"/>
  <c r="BL104" i="3"/>
  <c r="BN104" i="3"/>
  <c r="BL105" i="3"/>
  <c r="BN105" i="3"/>
  <c r="BL106" i="3"/>
  <c r="BN106" i="3"/>
  <c r="BL107" i="3"/>
  <c r="BN107" i="3"/>
  <c r="BL108" i="3"/>
  <c r="BN108" i="3"/>
  <c r="BL109" i="3"/>
  <c r="BN109" i="3"/>
  <c r="BL110" i="3"/>
  <c r="BN110" i="3"/>
  <c r="BL111" i="3"/>
  <c r="BN111" i="3"/>
  <c r="BL112" i="3"/>
  <c r="BN112" i="3"/>
  <c r="BL113" i="3"/>
  <c r="BN113" i="3"/>
  <c r="BL114" i="3"/>
  <c r="BN114" i="3"/>
  <c r="BL115" i="3"/>
  <c r="BN115" i="3"/>
  <c r="BL116" i="3"/>
  <c r="BN116" i="3"/>
  <c r="BL117" i="3"/>
  <c r="BN117" i="3"/>
  <c r="BL118" i="3"/>
  <c r="BN118" i="3"/>
  <c r="BL119" i="3"/>
  <c r="BN119" i="3"/>
  <c r="BL120" i="3"/>
  <c r="BN120" i="3"/>
  <c r="BL121" i="3"/>
  <c r="BN121" i="3"/>
  <c r="BL122" i="3"/>
  <c r="BN122" i="3"/>
  <c r="BL123" i="3"/>
  <c r="BN123" i="3"/>
  <c r="BL124" i="3"/>
  <c r="BN124" i="3"/>
  <c r="BL125" i="3"/>
  <c r="BN125" i="3"/>
  <c r="BL126" i="3"/>
  <c r="BN126" i="3"/>
  <c r="BL127" i="3"/>
  <c r="BN127" i="3"/>
  <c r="BL128" i="3"/>
  <c r="BN128" i="3"/>
  <c r="BL129" i="3"/>
  <c r="BN129" i="3"/>
  <c r="BL130" i="3"/>
  <c r="BN130" i="3"/>
  <c r="BL131" i="3"/>
  <c r="BN131" i="3"/>
  <c r="BL132" i="3"/>
  <c r="BN132" i="3"/>
  <c r="BL133" i="3"/>
  <c r="BN133" i="3"/>
  <c r="BL134" i="3"/>
  <c r="BN134" i="3"/>
  <c r="BL135" i="3"/>
  <c r="BN135" i="3"/>
  <c r="BL136" i="3"/>
  <c r="BN136" i="3"/>
  <c r="BL137" i="3"/>
  <c r="BN137" i="3"/>
  <c r="BL138" i="3"/>
  <c r="BN138" i="3"/>
  <c r="BL139" i="3"/>
  <c r="BN139" i="3"/>
  <c r="BL140" i="3"/>
  <c r="BN140" i="3"/>
  <c r="BL141" i="3"/>
  <c r="BN141" i="3"/>
  <c r="AG7" i="1" l="1"/>
  <c r="AH7" i="1" s="1"/>
  <c r="AI7" i="1" s="1"/>
  <c r="BM6" i="3"/>
  <c r="AG8" i="1"/>
  <c r="AH8" i="1" s="1"/>
  <c r="AI8" i="1" s="1"/>
  <c r="BM7" i="3"/>
  <c r="AG9" i="1"/>
  <c r="AH9" i="1" s="1"/>
  <c r="AI9" i="1" s="1"/>
  <c r="BM8" i="3"/>
  <c r="AG10" i="1"/>
  <c r="AH10" i="1" s="1"/>
  <c r="AI10" i="1" s="1"/>
  <c r="BM9" i="3"/>
  <c r="AG11" i="1"/>
  <c r="AH11" i="1" s="1"/>
  <c r="AI11" i="1" s="1"/>
  <c r="BM10" i="3"/>
  <c r="AG12" i="1"/>
  <c r="AH12" i="1" s="1"/>
  <c r="AI12" i="1" s="1"/>
  <c r="BM11" i="3"/>
  <c r="AG13" i="1"/>
  <c r="AH13" i="1" s="1"/>
  <c r="AI13" i="1" s="1"/>
  <c r="BM12" i="3"/>
  <c r="AG14" i="1"/>
  <c r="AH14" i="1" s="1"/>
  <c r="AI14" i="1" s="1"/>
  <c r="BM13" i="3"/>
  <c r="AG15" i="1"/>
  <c r="AH15" i="1" s="1"/>
  <c r="AI15" i="1" s="1"/>
  <c r="BM14" i="3"/>
  <c r="AG16" i="1"/>
  <c r="AH16" i="1" s="1"/>
  <c r="AI16" i="1" s="1"/>
  <c r="BM15" i="3"/>
  <c r="AG17" i="1"/>
  <c r="AH17" i="1" s="1"/>
  <c r="AI17" i="1" s="1"/>
  <c r="BM16" i="3"/>
  <c r="AG18" i="1"/>
  <c r="AH18" i="1" s="1"/>
  <c r="AI18" i="1" s="1"/>
  <c r="BM17" i="3"/>
  <c r="AG19" i="1"/>
  <c r="AH19" i="1" s="1"/>
  <c r="AI19" i="1" s="1"/>
  <c r="BM18" i="3"/>
  <c r="AG20" i="1"/>
  <c r="AH20" i="1" s="1"/>
  <c r="AI20" i="1" s="1"/>
  <c r="BM19" i="3"/>
  <c r="AG21" i="1"/>
  <c r="AH21" i="1" s="1"/>
  <c r="AI21" i="1" s="1"/>
  <c r="BM20" i="3"/>
  <c r="AG22" i="1"/>
  <c r="AH22" i="1" s="1"/>
  <c r="AI22" i="1" s="1"/>
  <c r="BM21" i="3"/>
  <c r="AG23" i="1"/>
  <c r="AH23" i="1" s="1"/>
  <c r="AI23" i="1" s="1"/>
  <c r="BM22" i="3"/>
  <c r="AG24" i="1"/>
  <c r="AH24" i="1" s="1"/>
  <c r="AI24" i="1" s="1"/>
  <c r="BM23" i="3"/>
  <c r="AG25" i="1"/>
  <c r="AH25" i="1" s="1"/>
  <c r="AI25" i="1" s="1"/>
  <c r="BM24" i="3"/>
  <c r="AG26" i="1"/>
  <c r="AH26" i="1" s="1"/>
  <c r="AI26" i="1" s="1"/>
  <c r="BM25" i="3"/>
  <c r="AG27" i="1"/>
  <c r="AH27" i="1" s="1"/>
  <c r="AI27" i="1" s="1"/>
  <c r="BM26" i="3"/>
  <c r="AG28" i="1"/>
  <c r="AH28" i="1" s="1"/>
  <c r="AI28" i="1" s="1"/>
  <c r="BM27" i="3"/>
  <c r="AG29" i="1"/>
  <c r="AH29" i="1" s="1"/>
  <c r="AI29" i="1" s="1"/>
  <c r="BM28" i="3"/>
  <c r="AG30" i="1"/>
  <c r="AH30" i="1" s="1"/>
  <c r="AI30" i="1" s="1"/>
  <c r="BM29" i="3"/>
  <c r="AG31" i="1"/>
  <c r="AH31" i="1" s="1"/>
  <c r="AI31" i="1" s="1"/>
  <c r="BM30" i="3"/>
  <c r="AG32" i="1"/>
  <c r="AH32" i="1" s="1"/>
  <c r="AI32" i="1" s="1"/>
  <c r="BM31" i="3"/>
  <c r="AG33" i="1"/>
  <c r="AH33" i="1" s="1"/>
  <c r="AI33" i="1" s="1"/>
  <c r="BM32" i="3"/>
  <c r="AG34" i="1"/>
  <c r="AH34" i="1" s="1"/>
  <c r="AI34" i="1" s="1"/>
  <c r="BM33" i="3"/>
  <c r="AG35" i="1"/>
  <c r="AH35" i="1" s="1"/>
  <c r="AI35" i="1" s="1"/>
  <c r="BM34" i="3"/>
  <c r="AG36" i="1"/>
  <c r="AH36" i="1" s="1"/>
  <c r="AI36" i="1" s="1"/>
  <c r="BM35" i="3"/>
  <c r="AG37" i="1"/>
  <c r="AH37" i="1" s="1"/>
  <c r="AI37" i="1" s="1"/>
  <c r="BM36" i="3"/>
  <c r="AG38" i="1"/>
  <c r="AH38" i="1" s="1"/>
  <c r="AI38" i="1" s="1"/>
  <c r="BM37" i="3"/>
  <c r="AG39" i="1"/>
  <c r="AH39" i="1" s="1"/>
  <c r="AI39" i="1" s="1"/>
  <c r="BM38" i="3"/>
  <c r="AG40" i="1"/>
  <c r="AH40" i="1" s="1"/>
  <c r="AI40" i="1" s="1"/>
  <c r="BM39" i="3"/>
  <c r="AG41" i="1"/>
  <c r="AH41" i="1" s="1"/>
  <c r="AI41" i="1" s="1"/>
  <c r="BM40" i="3"/>
  <c r="AG42" i="1"/>
  <c r="AH42" i="1" s="1"/>
  <c r="AI42" i="1" s="1"/>
  <c r="BM41" i="3"/>
  <c r="AG43" i="1"/>
  <c r="AH43" i="1" s="1"/>
  <c r="AI43" i="1" s="1"/>
  <c r="BM42" i="3"/>
  <c r="AG44" i="1"/>
  <c r="AH44" i="1" s="1"/>
  <c r="AI44" i="1" s="1"/>
  <c r="BM43" i="3"/>
  <c r="AG45" i="1"/>
  <c r="AH45" i="1" s="1"/>
  <c r="AI45" i="1" s="1"/>
  <c r="BM44" i="3"/>
  <c r="AG46" i="1"/>
  <c r="AH46" i="1" s="1"/>
  <c r="AI46" i="1" s="1"/>
  <c r="BM45" i="3"/>
  <c r="AG47" i="1"/>
  <c r="AH47" i="1" s="1"/>
  <c r="AI47" i="1" s="1"/>
  <c r="BM46" i="3"/>
  <c r="AG48" i="1"/>
  <c r="AH48" i="1" s="1"/>
  <c r="AI48" i="1" s="1"/>
  <c r="BM47" i="3"/>
  <c r="AG49" i="1"/>
  <c r="AH49" i="1" s="1"/>
  <c r="AI49" i="1" s="1"/>
  <c r="BM48" i="3"/>
  <c r="AG50" i="1"/>
  <c r="AH50" i="1" s="1"/>
  <c r="AI50" i="1" s="1"/>
  <c r="BM49" i="3"/>
  <c r="AG51" i="1"/>
  <c r="AH51" i="1" s="1"/>
  <c r="AI51" i="1" s="1"/>
  <c r="BM50" i="3"/>
  <c r="AG52" i="1"/>
  <c r="AH52" i="1" s="1"/>
  <c r="AI52" i="1" s="1"/>
  <c r="BM51" i="3"/>
  <c r="AG53" i="1"/>
  <c r="AH53" i="1" s="1"/>
  <c r="AI53" i="1" s="1"/>
  <c r="BM52" i="3"/>
  <c r="AG54" i="1"/>
  <c r="AH54" i="1" s="1"/>
  <c r="AI54" i="1" s="1"/>
  <c r="BM53" i="3"/>
  <c r="AG55" i="1"/>
  <c r="AH55" i="1" s="1"/>
  <c r="AI55" i="1" s="1"/>
  <c r="BM54" i="3"/>
  <c r="AG56" i="1"/>
  <c r="AH56" i="1" s="1"/>
  <c r="AI56" i="1" s="1"/>
  <c r="BM55" i="3"/>
  <c r="AG57" i="1"/>
  <c r="AH57" i="1" s="1"/>
  <c r="AI57" i="1" s="1"/>
  <c r="BM56" i="3"/>
  <c r="AG58" i="1"/>
  <c r="AH58" i="1" s="1"/>
  <c r="AI58" i="1" s="1"/>
  <c r="BM57" i="3"/>
  <c r="AG59" i="1"/>
  <c r="AH59" i="1" s="1"/>
  <c r="AI59" i="1" s="1"/>
  <c r="BM58" i="3"/>
  <c r="AG60" i="1"/>
  <c r="AH60" i="1" s="1"/>
  <c r="AI60" i="1" s="1"/>
  <c r="BM59" i="3"/>
  <c r="AG61" i="1"/>
  <c r="AH61" i="1" s="1"/>
  <c r="AI61" i="1" s="1"/>
  <c r="BM60" i="3"/>
  <c r="AG62" i="1"/>
  <c r="AH62" i="1" s="1"/>
  <c r="AI62" i="1" s="1"/>
  <c r="BM61" i="3"/>
  <c r="AG63" i="1"/>
  <c r="AH63" i="1" s="1"/>
  <c r="AI63" i="1" s="1"/>
  <c r="BM62" i="3"/>
  <c r="AG64" i="1"/>
  <c r="AH64" i="1" s="1"/>
  <c r="AI64" i="1" s="1"/>
  <c r="BM63" i="3"/>
  <c r="AG65" i="1"/>
  <c r="AH65" i="1" s="1"/>
  <c r="AI65" i="1" s="1"/>
  <c r="BM64" i="3"/>
  <c r="AG66" i="1"/>
  <c r="AH66" i="1" s="1"/>
  <c r="AI66" i="1" s="1"/>
  <c r="BM65" i="3"/>
  <c r="AG67" i="1"/>
  <c r="AH67" i="1" s="1"/>
  <c r="AI67" i="1" s="1"/>
  <c r="BM66" i="3"/>
  <c r="AG68" i="1"/>
  <c r="AH68" i="1" s="1"/>
  <c r="AI68" i="1" s="1"/>
  <c r="BM67" i="3"/>
  <c r="AG69" i="1"/>
  <c r="AH69" i="1" s="1"/>
  <c r="AI69" i="1" s="1"/>
  <c r="BM68" i="3"/>
  <c r="AG70" i="1"/>
  <c r="AH70" i="1" s="1"/>
  <c r="AI70" i="1" s="1"/>
  <c r="BM69" i="3"/>
  <c r="AG71" i="1"/>
  <c r="AH71" i="1" s="1"/>
  <c r="AI71" i="1" s="1"/>
  <c r="BM70" i="3"/>
  <c r="AG72" i="1"/>
  <c r="AH72" i="1" s="1"/>
  <c r="AI72" i="1" s="1"/>
  <c r="BM71" i="3"/>
  <c r="AG73" i="1"/>
  <c r="AH73" i="1" s="1"/>
  <c r="AI73" i="1" s="1"/>
  <c r="BM72" i="3"/>
  <c r="AG74" i="1"/>
  <c r="AH74" i="1" s="1"/>
  <c r="AI74" i="1" s="1"/>
  <c r="BM73" i="3"/>
  <c r="AG75" i="1"/>
  <c r="AH75" i="1" s="1"/>
  <c r="AI75" i="1" s="1"/>
  <c r="BM74" i="3"/>
  <c r="AG76" i="1"/>
  <c r="AH76" i="1" s="1"/>
  <c r="AI76" i="1" s="1"/>
  <c r="BM75" i="3"/>
  <c r="AG77" i="1"/>
  <c r="AH77" i="1" s="1"/>
  <c r="AI77" i="1" s="1"/>
  <c r="BM76" i="3"/>
  <c r="AG78" i="1"/>
  <c r="AH78" i="1" s="1"/>
  <c r="AI78" i="1" s="1"/>
  <c r="BM77" i="3"/>
  <c r="AG79" i="1"/>
  <c r="AH79" i="1" s="1"/>
  <c r="AI79" i="1" s="1"/>
  <c r="BM78" i="3"/>
  <c r="AG80" i="1"/>
  <c r="AH80" i="1" s="1"/>
  <c r="AI80" i="1" s="1"/>
  <c r="BM79" i="3"/>
  <c r="AG81" i="1"/>
  <c r="AH81" i="1" s="1"/>
  <c r="AI81" i="1" s="1"/>
  <c r="BM80" i="3"/>
  <c r="AG82" i="1"/>
  <c r="AH82" i="1" s="1"/>
  <c r="AI82" i="1" s="1"/>
  <c r="BM81" i="3"/>
  <c r="AG83" i="1"/>
  <c r="AH83" i="1" s="1"/>
  <c r="AI83" i="1" s="1"/>
  <c r="BM82" i="3"/>
  <c r="AG84" i="1"/>
  <c r="AH84" i="1" s="1"/>
  <c r="AI84" i="1" s="1"/>
  <c r="BM83" i="3"/>
  <c r="AG85" i="1"/>
  <c r="AH85" i="1" s="1"/>
  <c r="AI85" i="1" s="1"/>
  <c r="BM84" i="3"/>
  <c r="AG86" i="1"/>
  <c r="AH86" i="1" s="1"/>
  <c r="AI86" i="1" s="1"/>
  <c r="BM85" i="3"/>
  <c r="AG87" i="1"/>
  <c r="AH87" i="1" s="1"/>
  <c r="AI87" i="1" s="1"/>
  <c r="BM86" i="3"/>
  <c r="AG88" i="1"/>
  <c r="AH88" i="1" s="1"/>
  <c r="AI88" i="1" s="1"/>
  <c r="BM87" i="3"/>
  <c r="AG89" i="1"/>
  <c r="AH89" i="1" s="1"/>
  <c r="AI89" i="1" s="1"/>
  <c r="BM88" i="3"/>
  <c r="AG90" i="1"/>
  <c r="AH90" i="1" s="1"/>
  <c r="AI90" i="1" s="1"/>
  <c r="BM89" i="3"/>
  <c r="AG91" i="1"/>
  <c r="AH91" i="1" s="1"/>
  <c r="AI91" i="1" s="1"/>
  <c r="BM90" i="3"/>
  <c r="AG92" i="1"/>
  <c r="AH92" i="1" s="1"/>
  <c r="AI92" i="1" s="1"/>
  <c r="BM91" i="3"/>
  <c r="AG93" i="1"/>
  <c r="AH93" i="1" s="1"/>
  <c r="AI93" i="1" s="1"/>
  <c r="BM92" i="3"/>
  <c r="AG94" i="1"/>
  <c r="AH94" i="1" s="1"/>
  <c r="AI94" i="1" s="1"/>
  <c r="BM93" i="3"/>
  <c r="AG95" i="1"/>
  <c r="AH95" i="1" s="1"/>
  <c r="AI95" i="1" s="1"/>
  <c r="BM94" i="3"/>
  <c r="AG96" i="1"/>
  <c r="AH96" i="1" s="1"/>
  <c r="AI96" i="1" s="1"/>
  <c r="BM95" i="3"/>
  <c r="AG97" i="1"/>
  <c r="AH97" i="1" s="1"/>
  <c r="AI97" i="1" s="1"/>
  <c r="BM96" i="3"/>
  <c r="AG98" i="1"/>
  <c r="AH98" i="1" s="1"/>
  <c r="AI98" i="1" s="1"/>
  <c r="BM97" i="3"/>
  <c r="AG99" i="1"/>
  <c r="AH99" i="1" s="1"/>
  <c r="AI99" i="1" s="1"/>
  <c r="BM98" i="3"/>
  <c r="AG100" i="1"/>
  <c r="AH100" i="1" s="1"/>
  <c r="AI100" i="1" s="1"/>
  <c r="BM99" i="3"/>
  <c r="AG101" i="1"/>
  <c r="AH101" i="1" s="1"/>
  <c r="AI101" i="1" s="1"/>
  <c r="BM100" i="3"/>
  <c r="AG102" i="1"/>
  <c r="AH102" i="1" s="1"/>
  <c r="AI102" i="1" s="1"/>
  <c r="BM101" i="3"/>
  <c r="AG103" i="1"/>
  <c r="AH103" i="1" s="1"/>
  <c r="AI103" i="1" s="1"/>
  <c r="BM102" i="3"/>
  <c r="AG104" i="1"/>
  <c r="AH104" i="1" s="1"/>
  <c r="AI104" i="1" s="1"/>
  <c r="BM103" i="3"/>
  <c r="AG105" i="1"/>
  <c r="AH105" i="1" s="1"/>
  <c r="AI105" i="1" s="1"/>
  <c r="BM104" i="3"/>
  <c r="AG106" i="1"/>
  <c r="AH106" i="1" s="1"/>
  <c r="AI106" i="1" s="1"/>
  <c r="BM105" i="3"/>
  <c r="AG107" i="1"/>
  <c r="AH107" i="1" s="1"/>
  <c r="AI107" i="1" s="1"/>
  <c r="BM106" i="3"/>
  <c r="AG108" i="1"/>
  <c r="AH108" i="1" s="1"/>
  <c r="AI108" i="1" s="1"/>
  <c r="BM107" i="3"/>
  <c r="AG109" i="1"/>
  <c r="AH109" i="1" s="1"/>
  <c r="AI109" i="1" s="1"/>
  <c r="BM108" i="3"/>
  <c r="AG110" i="1"/>
  <c r="AH110" i="1" s="1"/>
  <c r="AI110" i="1" s="1"/>
  <c r="BM109" i="3"/>
  <c r="AG111" i="1"/>
  <c r="AH111" i="1" s="1"/>
  <c r="AI111" i="1" s="1"/>
  <c r="BM110" i="3"/>
  <c r="AG112" i="1"/>
  <c r="AH112" i="1" s="1"/>
  <c r="AI112" i="1" s="1"/>
  <c r="BM111" i="3"/>
  <c r="AG113" i="1"/>
  <c r="AH113" i="1" s="1"/>
  <c r="AI113" i="1" s="1"/>
  <c r="BM112" i="3"/>
  <c r="AG114" i="1"/>
  <c r="AH114" i="1" s="1"/>
  <c r="AI114" i="1" s="1"/>
  <c r="BM113" i="3"/>
  <c r="AG115" i="1"/>
  <c r="AH115" i="1" s="1"/>
  <c r="AI115" i="1" s="1"/>
  <c r="BM114" i="3"/>
  <c r="AG116" i="1"/>
  <c r="AH116" i="1" s="1"/>
  <c r="AI116" i="1" s="1"/>
  <c r="BM115" i="3"/>
  <c r="AG117" i="1"/>
  <c r="AH117" i="1" s="1"/>
  <c r="AI117" i="1" s="1"/>
  <c r="BM116" i="3"/>
  <c r="AG118" i="1"/>
  <c r="AH118" i="1" s="1"/>
  <c r="AI118" i="1" s="1"/>
  <c r="BM117" i="3"/>
  <c r="AG119" i="1"/>
  <c r="AH119" i="1" s="1"/>
  <c r="AI119" i="1" s="1"/>
  <c r="BM118" i="3"/>
  <c r="AG120" i="1"/>
  <c r="AH120" i="1" s="1"/>
  <c r="AI120" i="1" s="1"/>
  <c r="BM119" i="3"/>
  <c r="AG121" i="1"/>
  <c r="AH121" i="1" s="1"/>
  <c r="AI121" i="1" s="1"/>
  <c r="BM120" i="3"/>
  <c r="AG122" i="1"/>
  <c r="AH122" i="1" s="1"/>
  <c r="AI122" i="1" s="1"/>
  <c r="BM121" i="3"/>
  <c r="AG123" i="1"/>
  <c r="AH123" i="1" s="1"/>
  <c r="AI123" i="1" s="1"/>
  <c r="BM122" i="3"/>
  <c r="AG124" i="1"/>
  <c r="AH124" i="1" s="1"/>
  <c r="AI124" i="1" s="1"/>
  <c r="BM123" i="3"/>
  <c r="AG125" i="1"/>
  <c r="AH125" i="1" s="1"/>
  <c r="AI125" i="1" s="1"/>
  <c r="BM124" i="3"/>
  <c r="AG126" i="1"/>
  <c r="AH126" i="1" s="1"/>
  <c r="AI126" i="1" s="1"/>
  <c r="BM125" i="3"/>
  <c r="AG127" i="1"/>
  <c r="AH127" i="1" s="1"/>
  <c r="AI127" i="1" s="1"/>
  <c r="BM126" i="3"/>
  <c r="AG128" i="1"/>
  <c r="AH128" i="1" s="1"/>
  <c r="AI128" i="1" s="1"/>
  <c r="BM127" i="3"/>
  <c r="AG129" i="1"/>
  <c r="AH129" i="1" s="1"/>
  <c r="AI129" i="1" s="1"/>
  <c r="BM128" i="3"/>
  <c r="AG130" i="1"/>
  <c r="AH130" i="1" s="1"/>
  <c r="AI130" i="1" s="1"/>
  <c r="BM129" i="3"/>
  <c r="AG131" i="1"/>
  <c r="AH131" i="1" s="1"/>
  <c r="AI131" i="1" s="1"/>
  <c r="BM130" i="3"/>
  <c r="AG132" i="1"/>
  <c r="AH132" i="1" s="1"/>
  <c r="AI132" i="1" s="1"/>
  <c r="BM131" i="3"/>
  <c r="AG133" i="1"/>
  <c r="AH133" i="1" s="1"/>
  <c r="AI133" i="1" s="1"/>
  <c r="BM132" i="3"/>
  <c r="AG134" i="1"/>
  <c r="AH134" i="1" s="1"/>
  <c r="AI134" i="1" s="1"/>
  <c r="BM133" i="3"/>
  <c r="AG135" i="1"/>
  <c r="AH135" i="1" s="1"/>
  <c r="AI135" i="1" s="1"/>
  <c r="BM134" i="3"/>
  <c r="AG136" i="1"/>
  <c r="AH136" i="1" s="1"/>
  <c r="AI136" i="1" s="1"/>
  <c r="BM135" i="3"/>
  <c r="AG137" i="1"/>
  <c r="AH137" i="1" s="1"/>
  <c r="AI137" i="1" s="1"/>
  <c r="BM136" i="3"/>
  <c r="AG138" i="1"/>
  <c r="AH138" i="1" s="1"/>
  <c r="AI138" i="1" s="1"/>
  <c r="BM137" i="3"/>
  <c r="AG139" i="1"/>
  <c r="AH139" i="1" s="1"/>
  <c r="AI139" i="1" s="1"/>
  <c r="BM138" i="3"/>
  <c r="AG140" i="1"/>
  <c r="AH140" i="1" s="1"/>
  <c r="AI140" i="1" s="1"/>
  <c r="BM139" i="3"/>
  <c r="AG141" i="1"/>
  <c r="AH141" i="1" s="1"/>
  <c r="AI141" i="1" s="1"/>
  <c r="BM140" i="3"/>
  <c r="AG142" i="1"/>
  <c r="AH142" i="1" s="1"/>
  <c r="AI142" i="1" s="1"/>
  <c r="BM14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Wong</author>
  </authors>
  <commentList>
    <comment ref="C4" authorId="0" shapeId="0" xr:uid="{552127F2-2913-4DD6-B463-8B516E5BFF26}">
      <text>
        <r>
          <rPr>
            <b/>
            <sz val="12"/>
            <color indexed="81"/>
            <rFont val="Tahoma"/>
            <family val="2"/>
          </rPr>
          <t>Discharge</t>
        </r>
      </text>
    </comment>
    <comment ref="D4" authorId="0" shapeId="0" xr:uid="{5F14AFC5-9007-4AE0-BE39-B4A52E03FBAA}">
      <text>
        <r>
          <rPr>
            <b/>
            <sz val="12"/>
            <color indexed="81"/>
            <rFont val="Tahoma"/>
            <family val="2"/>
          </rPr>
          <t>Channel width</t>
        </r>
      </text>
    </comment>
    <comment ref="E4" authorId="0" shapeId="0" xr:uid="{7DD0C912-A75E-42F2-93BD-74F3484702BF}">
      <text>
        <r>
          <rPr>
            <b/>
            <sz val="12"/>
            <color indexed="81"/>
            <rFont val="Tahoma"/>
            <family val="2"/>
          </rPr>
          <t>Water depth</t>
        </r>
      </text>
    </comment>
    <comment ref="F4" authorId="0" shapeId="0" xr:uid="{AEF0CD1B-44B5-4418-8AF0-755A8AB0C9A7}">
      <text>
        <r>
          <rPr>
            <b/>
            <sz val="12"/>
            <color indexed="81"/>
            <rFont val="Tahoma"/>
            <family val="2"/>
          </rPr>
          <t>Slope</t>
        </r>
      </text>
    </comment>
    <comment ref="G4" authorId="0" shapeId="0" xr:uid="{14BBC2C3-2823-40A7-BBC0-AB9843866BC3}">
      <text>
        <r>
          <rPr>
            <b/>
            <sz val="12"/>
            <color indexed="81"/>
            <rFont val="Tahoma"/>
            <family val="2"/>
          </rPr>
          <t>Arithmetic mean diameter</t>
        </r>
      </text>
    </comment>
    <comment ref="I4" authorId="0" shapeId="0" xr:uid="{F99B14F8-CC75-4420-B4B4-2A62B09E9DB3}">
      <text>
        <r>
          <rPr>
            <b/>
            <sz val="12"/>
            <color indexed="81"/>
            <rFont val="Tahoma"/>
            <family val="2"/>
          </rPr>
          <t>Geometric-like
standard deviation</t>
        </r>
      </text>
    </comment>
    <comment ref="J4" authorId="0" shapeId="0" xr:uid="{042B629B-51C6-4FFA-8C0A-AC1484FAA1AC}">
      <text>
        <r>
          <rPr>
            <b/>
            <sz val="12"/>
            <color indexed="81"/>
            <rFont val="Tahoma"/>
            <family val="2"/>
          </rPr>
          <t>Specific gravity</t>
        </r>
      </text>
    </comment>
    <comment ref="K4" authorId="0" shapeId="0" xr:uid="{7E3EDDD4-763A-4332-8740-2A7FC88A69D6}">
      <text>
        <r>
          <rPr>
            <b/>
            <sz val="12"/>
            <color indexed="81"/>
            <rFont val="Tahoma"/>
            <family val="2"/>
          </rPr>
          <t>Weight bedload transport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Wong</author>
  </authors>
  <commentList>
    <comment ref="C4" authorId="0" shapeId="0" xr:uid="{E231A494-AC32-4672-A0A7-392B1459FCF7}">
      <text>
        <r>
          <rPr>
            <b/>
            <sz val="12"/>
            <color indexed="81"/>
            <rFont val="Tahoma"/>
            <family val="2"/>
          </rPr>
          <t>Discharge</t>
        </r>
      </text>
    </comment>
    <comment ref="D4" authorId="0" shapeId="0" xr:uid="{C13ACCF4-D5C6-40AA-AEB8-C9E280BA0BF2}">
      <text>
        <r>
          <rPr>
            <b/>
            <sz val="12"/>
            <color indexed="81"/>
            <rFont val="Tahoma"/>
            <family val="2"/>
          </rPr>
          <t>Channel width</t>
        </r>
      </text>
    </comment>
    <comment ref="E4" authorId="0" shapeId="0" xr:uid="{4F61051A-CBCF-4F94-AAE2-4B78DEFE60D5}">
      <text>
        <r>
          <rPr>
            <b/>
            <sz val="12"/>
            <color indexed="81"/>
            <rFont val="Tahoma"/>
            <family val="2"/>
          </rPr>
          <t>Water depth</t>
        </r>
      </text>
    </comment>
    <comment ref="F4" authorId="0" shapeId="0" xr:uid="{29B01F83-2402-4BD9-BF24-D69BE67919F3}">
      <text>
        <r>
          <rPr>
            <b/>
            <sz val="12"/>
            <color indexed="81"/>
            <rFont val="Tahoma"/>
            <family val="2"/>
          </rPr>
          <t>Slope</t>
        </r>
      </text>
    </comment>
    <comment ref="G4" authorId="0" shapeId="0" xr:uid="{D0A9D49C-579C-4EBE-BC0B-12CB07D8C697}">
      <text>
        <r>
          <rPr>
            <b/>
            <sz val="12"/>
            <color indexed="81"/>
            <rFont val="Tahoma"/>
            <family val="2"/>
          </rPr>
          <t>Arithmetic mean diameter</t>
        </r>
      </text>
    </comment>
    <comment ref="I4" authorId="0" shapeId="0" xr:uid="{A8032115-BB7E-4EFD-8C3C-A76809E4207E}">
      <text>
        <r>
          <rPr>
            <b/>
            <sz val="12"/>
            <color indexed="81"/>
            <rFont val="Tahoma"/>
            <family val="2"/>
          </rPr>
          <t>Geometric-like
standard deviation</t>
        </r>
      </text>
    </comment>
    <comment ref="J4" authorId="0" shapeId="0" xr:uid="{5D72C294-45F2-4D8B-A285-84A9F19AFE85}">
      <text>
        <r>
          <rPr>
            <b/>
            <sz val="12"/>
            <color indexed="81"/>
            <rFont val="Tahoma"/>
            <family val="2"/>
          </rPr>
          <t>Specific gravity</t>
        </r>
      </text>
    </comment>
    <comment ref="K4" authorId="0" shapeId="0" xr:uid="{8DA51FBB-001E-4529-B3D0-D17832F5F4A7}">
      <text>
        <r>
          <rPr>
            <b/>
            <sz val="12"/>
            <color indexed="81"/>
            <rFont val="Tahoma"/>
            <family val="2"/>
          </rPr>
          <t>Weight bedload transport</t>
        </r>
      </text>
    </comment>
  </commentList>
</comments>
</file>

<file path=xl/sharedStrings.xml><?xml version="1.0" encoding="utf-8"?>
<sst xmlns="http://schemas.openxmlformats.org/spreadsheetml/2006/main" count="200" uniqueCount="55">
  <si>
    <t>Data of Meyer-Peter, E. and Muller, R. (1948), as per Smart and Jaeggi (1983)</t>
  </si>
  <si>
    <t>ID</t>
  </si>
  <si>
    <t>Q</t>
  </si>
  <si>
    <t>B</t>
  </si>
  <si>
    <t>H</t>
  </si>
  <si>
    <t>S</t>
  </si>
  <si>
    <r>
      <t>D</t>
    </r>
    <r>
      <rPr>
        <b/>
        <vertAlign val="subscript"/>
        <sz val="16"/>
        <color indexed="10"/>
        <rFont val="Times New Roman"/>
        <family val="1"/>
      </rPr>
      <t>m</t>
    </r>
  </si>
  <si>
    <r>
      <t>D</t>
    </r>
    <r>
      <rPr>
        <b/>
        <vertAlign val="subscript"/>
        <sz val="16"/>
        <color indexed="10"/>
        <rFont val="Times New Roman"/>
        <family val="1"/>
      </rPr>
      <t>90</t>
    </r>
  </si>
  <si>
    <r>
      <t>s</t>
    </r>
    <r>
      <rPr>
        <b/>
        <vertAlign val="subscript"/>
        <sz val="16"/>
        <color indexed="10"/>
        <rFont val="Times New Roman"/>
        <family val="1"/>
      </rPr>
      <t>g</t>
    </r>
  </si>
  <si>
    <r>
      <t>G</t>
    </r>
    <r>
      <rPr>
        <b/>
        <vertAlign val="subscript"/>
        <sz val="16"/>
        <color indexed="10"/>
        <rFont val="Times New Roman"/>
        <family val="1"/>
      </rPr>
      <t>b</t>
    </r>
  </si>
  <si>
    <t>N°</t>
  </si>
  <si>
    <t>L/s</t>
  </si>
  <si>
    <t>m</t>
  </si>
  <si>
    <t>mm</t>
  </si>
  <si>
    <t>g/s</t>
  </si>
  <si>
    <t>Data of Gilbert (1914), as per Brownlie (1981)</t>
  </si>
  <si>
    <t>R+1</t>
  </si>
  <si>
    <t>kg/m3</t>
  </si>
  <si>
    <t>r</t>
  </si>
  <si>
    <t>n</t>
  </si>
  <si>
    <t>m2/s</t>
  </si>
  <si>
    <t>m3/s</t>
  </si>
  <si>
    <r>
      <t>D</t>
    </r>
    <r>
      <rPr>
        <b/>
        <vertAlign val="subscript"/>
        <sz val="16"/>
        <color rgb="FFFF0000"/>
        <rFont val="Times New Roman"/>
        <family val="1"/>
      </rPr>
      <t>m</t>
    </r>
  </si>
  <si>
    <r>
      <rPr>
        <b/>
        <sz val="16"/>
        <color rgb="FFFF0000"/>
        <rFont val="Symbol"/>
        <family val="1"/>
        <charset val="2"/>
      </rPr>
      <t>s</t>
    </r>
    <r>
      <rPr>
        <b/>
        <vertAlign val="subscript"/>
        <sz val="16"/>
        <color indexed="10"/>
        <rFont val="Times New Roman"/>
        <family val="1"/>
      </rPr>
      <t>g</t>
    </r>
  </si>
  <si>
    <t>U</t>
  </si>
  <si>
    <t>m/s</t>
  </si>
  <si>
    <t>Pa</t>
  </si>
  <si>
    <r>
      <rPr>
        <b/>
        <sz val="16"/>
        <color rgb="FFFF0000"/>
        <rFont val="Symbol"/>
        <family val="1"/>
        <charset val="2"/>
      </rPr>
      <t>t</t>
    </r>
    <r>
      <rPr>
        <b/>
        <vertAlign val="subscript"/>
        <sz val="16"/>
        <color rgb="FFFF0000"/>
        <rFont val="Times New Roman"/>
        <family val="1"/>
      </rPr>
      <t>b</t>
    </r>
  </si>
  <si>
    <t>Re</t>
  </si>
  <si>
    <t>-</t>
  </si>
  <si>
    <t>Cf</t>
  </si>
  <si>
    <t>Cf/Re</t>
  </si>
  <si>
    <t>f/Re</t>
  </si>
  <si>
    <t>m2</t>
  </si>
  <si>
    <r>
      <t>Cf</t>
    </r>
    <r>
      <rPr>
        <b/>
        <vertAlign val="subscript"/>
        <sz val="16"/>
        <color rgb="FFFF0000"/>
        <rFont val="Times New Roman"/>
        <family val="1"/>
      </rPr>
      <t>b</t>
    </r>
  </si>
  <si>
    <t>nk</t>
  </si>
  <si>
    <r>
      <t>k</t>
    </r>
    <r>
      <rPr>
        <b/>
        <vertAlign val="subscript"/>
        <sz val="16"/>
        <color rgb="FFFF0000"/>
        <rFont val="Times New Roman"/>
        <family val="1"/>
      </rPr>
      <t>s</t>
    </r>
  </si>
  <si>
    <r>
      <t>r</t>
    </r>
    <r>
      <rPr>
        <b/>
        <vertAlign val="subscript"/>
        <sz val="16"/>
        <color rgb="FFFF0000"/>
        <rFont val="Times New Roman"/>
        <family val="1"/>
      </rPr>
      <t>b</t>
    </r>
  </si>
  <si>
    <r>
      <t>A</t>
    </r>
    <r>
      <rPr>
        <b/>
        <vertAlign val="subscript"/>
        <sz val="16"/>
        <color rgb="FFFF0000"/>
        <rFont val="Times New Roman"/>
        <family val="1"/>
      </rPr>
      <t>b</t>
    </r>
  </si>
  <si>
    <r>
      <t>A</t>
    </r>
    <r>
      <rPr>
        <b/>
        <vertAlign val="subscript"/>
        <sz val="16"/>
        <color rgb="FFFF0000"/>
        <rFont val="Times New Roman"/>
        <family val="1"/>
      </rPr>
      <t>w</t>
    </r>
  </si>
  <si>
    <r>
      <t>Re</t>
    </r>
    <r>
      <rPr>
        <b/>
        <vertAlign val="subscript"/>
        <sz val="16"/>
        <color rgb="FFFF0000"/>
        <rFont val="Times New Roman"/>
        <family val="1"/>
      </rPr>
      <t>w</t>
    </r>
  </si>
  <si>
    <r>
      <t>f</t>
    </r>
    <r>
      <rPr>
        <b/>
        <vertAlign val="subscript"/>
        <sz val="16"/>
        <color rgb="FFFF0000"/>
        <rFont val="Times New Roman"/>
        <family val="1"/>
      </rPr>
      <t>w</t>
    </r>
  </si>
  <si>
    <t>Czbso</t>
  </si>
  <si>
    <t>rbso</t>
  </si>
  <si>
    <t>error</t>
  </si>
  <si>
    <t>rbsi</t>
  </si>
  <si>
    <t>Czbsi</t>
  </si>
  <si>
    <t>check</t>
  </si>
  <si>
    <t>error rb</t>
  </si>
  <si>
    <r>
      <t>Cz</t>
    </r>
    <r>
      <rPr>
        <b/>
        <vertAlign val="subscript"/>
        <sz val="16"/>
        <color rgb="FFFF0000"/>
        <rFont val="Times New Roman"/>
        <family val="1"/>
      </rPr>
      <t>b</t>
    </r>
  </si>
  <si>
    <r>
      <t>Cz</t>
    </r>
    <r>
      <rPr>
        <b/>
        <vertAlign val="subscript"/>
        <sz val="16"/>
        <color rgb="FFFF0000"/>
        <rFont val="Times New Roman"/>
        <family val="1"/>
      </rPr>
      <t>bs</t>
    </r>
  </si>
  <si>
    <r>
      <t>r</t>
    </r>
    <r>
      <rPr>
        <b/>
        <vertAlign val="subscript"/>
        <sz val="16"/>
        <color rgb="FFFF0000"/>
        <rFont val="Times New Roman"/>
        <family val="1"/>
      </rPr>
      <t>bs</t>
    </r>
  </si>
  <si>
    <r>
      <rPr>
        <b/>
        <sz val="16"/>
        <color rgb="FFFF0000"/>
        <rFont val="Symbol"/>
        <family val="1"/>
        <charset val="2"/>
      </rPr>
      <t>t</t>
    </r>
    <r>
      <rPr>
        <b/>
        <vertAlign val="subscript"/>
        <sz val="16"/>
        <color rgb="FFFF0000"/>
        <rFont val="Times New Roman"/>
        <family val="1"/>
      </rPr>
      <t>bs</t>
    </r>
  </si>
  <si>
    <r>
      <t>Cf</t>
    </r>
    <r>
      <rPr>
        <b/>
        <vertAlign val="subscript"/>
        <sz val="16"/>
        <color rgb="FFFF0000"/>
        <rFont val="Times New Roman"/>
        <family val="1"/>
      </rPr>
      <t>bs</t>
    </r>
  </si>
  <si>
    <r>
      <rPr>
        <b/>
        <sz val="16"/>
        <color rgb="FFFF0000"/>
        <rFont val="Symbol"/>
        <family val="1"/>
        <charset val="2"/>
      </rPr>
      <t>t</t>
    </r>
    <r>
      <rPr>
        <b/>
        <vertAlign val="subscript"/>
        <sz val="16"/>
        <color rgb="FFFF0000"/>
        <rFont val="Times New Roman"/>
        <family val="1"/>
      </rPr>
      <t>bs</t>
    </r>
    <r>
      <rPr>
        <b/>
        <sz val="16"/>
        <color indexed="10"/>
        <rFont val="Times New Roman"/>
        <family val="1"/>
      </rPr>
      <t>/</t>
    </r>
    <r>
      <rPr>
        <b/>
        <sz val="16"/>
        <color rgb="FFFF0000"/>
        <rFont val="Symbol"/>
        <family val="1"/>
        <charset val="2"/>
      </rPr>
      <t>t</t>
    </r>
    <r>
      <rPr>
        <b/>
        <vertAlign val="subscript"/>
        <sz val="16"/>
        <color rgb="FFFF0000"/>
        <rFont val="Times New Roman"/>
        <family val="1"/>
      </rPr>
      <t>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</si>
</sst>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0"/>
    <numFmt numFmtId="165" formatCode="0.000"/>
    <numFmt numFmtId="166" formatCode="0.0000"/>
    <numFmt numFmtId="167" formatCode="0.000000"/>
    <numFmt numFmtId="168" formatCode="#,##0.0000"/>
    <numFmt numFmtId="169" formatCode="#,##0.0"/>
    <numFmt numFmtId="170" formatCode="0.0"/>
    <numFmt numFmtId="171" formatCode="0.0E+00"/>
  </numFmts>
  <fonts count="14">
    <font>
      <sz val="11"/>
      <color theme="1"/>
      <name val="Aptos Narrow"/>
      <family val="2"/>
      <scheme val="minor"/>
    </font>
    <font>
      <b/>
      <u/>
      <sz val="16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b/>
      <sz val="16"/>
      <color indexed="10"/>
      <name val="Times New Roman"/>
      <family val="1"/>
    </font>
    <font>
      <b/>
      <vertAlign val="subscript"/>
      <sz val="16"/>
      <color indexed="10"/>
      <name val="Times New Roman"/>
      <family val="1"/>
    </font>
    <font>
      <b/>
      <sz val="16"/>
      <color indexed="10"/>
      <name val="Symbol"/>
      <family val="1"/>
      <charset val="2"/>
    </font>
    <font>
      <sz val="14"/>
      <name val="Times New Roman"/>
      <family val="1"/>
    </font>
    <font>
      <b/>
      <sz val="12"/>
      <color indexed="81"/>
      <name val="Tahoma"/>
      <family val="2"/>
    </font>
    <font>
      <sz val="14"/>
      <color theme="1"/>
      <name val="Times New Roman"/>
      <family val="1"/>
    </font>
    <font>
      <b/>
      <vertAlign val="subscript"/>
      <sz val="16"/>
      <color rgb="FFFF0000"/>
      <name val="Times New Roman"/>
      <family val="1"/>
    </font>
    <font>
      <b/>
      <sz val="16"/>
      <color rgb="FFFF0000"/>
      <name val="Symbol"/>
      <family val="1"/>
      <charset val="2"/>
    </font>
    <font>
      <b/>
      <sz val="16"/>
      <color indexed="10"/>
      <name val="Times New Roman"/>
      <family val="1"/>
      <charset val="2"/>
    </font>
    <font>
      <b/>
      <sz val="16"/>
      <color rgb="FFFF0000"/>
      <name val="Times New Roman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7" fillId="0" borderId="0" xfId="0" applyFont="1"/>
    <xf numFmtId="169" fontId="7" fillId="0" borderId="0" xfId="0" applyNumberFormat="1" applyFont="1"/>
    <xf numFmtId="165" fontId="7" fillId="0" borderId="0" xfId="0" applyNumberFormat="1" applyFont="1"/>
    <xf numFmtId="166" fontId="7" fillId="0" borderId="0" xfId="0" applyNumberFormat="1" applyFont="1"/>
    <xf numFmtId="2" fontId="7" fillId="0" borderId="0" xfId="0" applyNumberFormat="1" applyFont="1" applyAlignment="1">
      <alignment horizontal="right"/>
    </xf>
    <xf numFmtId="2" fontId="7" fillId="0" borderId="0" xfId="0" applyNumberFormat="1" applyFont="1" applyAlignment="1">
      <alignment horizontal="left"/>
    </xf>
    <xf numFmtId="2" fontId="7" fillId="0" borderId="0" xfId="0" applyNumberFormat="1" applyFont="1"/>
    <xf numFmtId="0" fontId="1" fillId="0" borderId="0" xfId="0" applyFont="1"/>
    <xf numFmtId="0" fontId="3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2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167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168" fontId="3" fillId="0" borderId="0" xfId="0" applyNumberFormat="1" applyFont="1" applyAlignment="1">
      <alignment horizontal="right"/>
    </xf>
    <xf numFmtId="168" fontId="7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2" fontId="2" fillId="0" borderId="0" xfId="0" applyNumberFormat="1" applyFont="1"/>
    <xf numFmtId="0" fontId="2" fillId="0" borderId="0" xfId="0" applyFont="1"/>
    <xf numFmtId="168" fontId="2" fillId="0" borderId="0" xfId="0" applyNumberFormat="1" applyFont="1"/>
    <xf numFmtId="0" fontId="9" fillId="0" borderId="0" xfId="0" applyFont="1"/>
    <xf numFmtId="169" fontId="9" fillId="0" borderId="0" xfId="0" applyNumberFormat="1" applyFont="1"/>
    <xf numFmtId="2" fontId="9" fillId="0" borderId="0" xfId="0" applyNumberFormat="1" applyFont="1"/>
    <xf numFmtId="165" fontId="9" fillId="0" borderId="0" xfId="0" applyNumberFormat="1" applyFont="1"/>
    <xf numFmtId="166" fontId="9" fillId="0" borderId="0" xfId="0" applyNumberFormat="1" applyFont="1"/>
    <xf numFmtId="0" fontId="6" fillId="0" borderId="0" xfId="0" applyFont="1" applyAlignment="1">
      <alignment horizontal="right"/>
    </xf>
    <xf numFmtId="2" fontId="0" fillId="0" borderId="0" xfId="0" applyNumberFormat="1"/>
    <xf numFmtId="166" fontId="0" fillId="0" borderId="0" xfId="0" applyNumberFormat="1"/>
    <xf numFmtId="165" fontId="0" fillId="0" borderId="0" xfId="0" applyNumberFormat="1"/>
    <xf numFmtId="0" fontId="12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170" fontId="0" fillId="0" borderId="0" xfId="0" applyNumberFormat="1"/>
    <xf numFmtId="1" fontId="0" fillId="0" borderId="0" xfId="0" applyNumberFormat="1"/>
    <xf numFmtId="11" fontId="0" fillId="0" borderId="0" xfId="0" applyNumberFormat="1"/>
    <xf numFmtId="171" fontId="0" fillId="0" borderId="0" xfId="0" applyNumberForma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380E0-A5BF-44C2-9CDB-DDCCE18EC05D}">
  <dimension ref="B2:AL189"/>
  <sheetViews>
    <sheetView tabSelected="1" topLeftCell="Z1" workbookViewId="0">
      <selection activeCell="AK6" sqref="AK6"/>
    </sheetView>
  </sheetViews>
  <sheetFormatPr defaultRowHeight="14.25"/>
  <cols>
    <col min="13" max="13" width="10.06640625" bestFit="1" customWidth="1"/>
    <col min="22" max="22" width="9.1328125" customWidth="1"/>
  </cols>
  <sheetData>
    <row r="2" spans="2:38" ht="19.899999999999999">
      <c r="B2" s="8" t="s">
        <v>0</v>
      </c>
      <c r="C2" s="23"/>
      <c r="D2" s="24"/>
      <c r="E2" s="25"/>
      <c r="F2" s="26"/>
      <c r="G2" s="27"/>
      <c r="H2" s="27"/>
      <c r="I2" s="27"/>
      <c r="J2" s="28"/>
      <c r="K2" s="29"/>
      <c r="AD2" s="45" t="s">
        <v>35</v>
      </c>
      <c r="AE2" s="45">
        <v>2</v>
      </c>
    </row>
    <row r="3" spans="2:38" ht="15.4">
      <c r="B3" s="28"/>
      <c r="C3" s="23"/>
      <c r="D3" s="24"/>
      <c r="E3" s="25"/>
      <c r="F3" s="26"/>
      <c r="G3" s="27"/>
      <c r="H3" s="27"/>
      <c r="I3" s="27"/>
      <c r="J3" s="28"/>
      <c r="K3" s="29"/>
    </row>
    <row r="4" spans="2:38" s="15" customFormat="1" ht="23.65">
      <c r="B4" s="15" t="s">
        <v>1</v>
      </c>
      <c r="C4" s="15" t="s">
        <v>2</v>
      </c>
      <c r="D4" s="15" t="s">
        <v>3</v>
      </c>
      <c r="E4" s="15" t="s">
        <v>4</v>
      </c>
      <c r="F4" s="15" t="s">
        <v>5</v>
      </c>
      <c r="G4" s="15" t="s">
        <v>6</v>
      </c>
      <c r="H4" s="15" t="s">
        <v>7</v>
      </c>
      <c r="I4" s="39" t="s">
        <v>23</v>
      </c>
      <c r="J4" s="15" t="s">
        <v>16</v>
      </c>
      <c r="K4" s="15" t="s">
        <v>9</v>
      </c>
      <c r="L4" s="35" t="s">
        <v>18</v>
      </c>
      <c r="M4" s="35" t="s">
        <v>19</v>
      </c>
      <c r="N4" s="15" t="s">
        <v>2</v>
      </c>
      <c r="O4" s="15" t="s">
        <v>22</v>
      </c>
      <c r="P4" s="15" t="s">
        <v>7</v>
      </c>
      <c r="Q4" s="15" t="s">
        <v>24</v>
      </c>
      <c r="R4" s="40" t="s">
        <v>27</v>
      </c>
      <c r="S4" s="15" t="s">
        <v>18</v>
      </c>
      <c r="T4" s="15" t="s">
        <v>30</v>
      </c>
      <c r="U4" s="15" t="s">
        <v>28</v>
      </c>
      <c r="V4" s="15" t="s">
        <v>31</v>
      </c>
      <c r="W4" s="15" t="s">
        <v>32</v>
      </c>
      <c r="X4" s="15" t="s">
        <v>41</v>
      </c>
      <c r="Y4" s="15" t="s">
        <v>40</v>
      </c>
      <c r="Z4" s="15" t="s">
        <v>39</v>
      </c>
      <c r="AA4" s="15" t="s">
        <v>38</v>
      </c>
      <c r="AB4" s="15" t="s">
        <v>37</v>
      </c>
      <c r="AC4" s="15" t="s">
        <v>34</v>
      </c>
      <c r="AD4" s="40" t="s">
        <v>27</v>
      </c>
      <c r="AE4" s="15" t="s">
        <v>36</v>
      </c>
      <c r="AF4" s="15" t="s">
        <v>49</v>
      </c>
      <c r="AG4" s="15" t="s">
        <v>50</v>
      </c>
      <c r="AH4" s="15" t="s">
        <v>51</v>
      </c>
      <c r="AI4" s="15" t="s">
        <v>47</v>
      </c>
      <c r="AJ4" s="15" t="s">
        <v>53</v>
      </c>
      <c r="AK4" s="40" t="s">
        <v>52</v>
      </c>
      <c r="AL4" s="39" t="s">
        <v>54</v>
      </c>
    </row>
    <row r="5" spans="2:38" ht="19.899999999999999">
      <c r="B5" s="9" t="s">
        <v>10</v>
      </c>
      <c r="C5" s="16" t="s">
        <v>11</v>
      </c>
      <c r="D5" s="17" t="s">
        <v>12</v>
      </c>
      <c r="E5" s="18" t="s">
        <v>12</v>
      </c>
      <c r="F5" s="19"/>
      <c r="G5" s="20" t="s">
        <v>13</v>
      </c>
      <c r="H5" s="20" t="s">
        <v>13</v>
      </c>
      <c r="I5" s="20"/>
      <c r="J5" s="9"/>
      <c r="K5" s="21" t="s">
        <v>14</v>
      </c>
      <c r="L5" s="20" t="s">
        <v>17</v>
      </c>
      <c r="M5" s="20" t="s">
        <v>20</v>
      </c>
      <c r="N5" s="20" t="s">
        <v>21</v>
      </c>
      <c r="O5" s="20" t="s">
        <v>12</v>
      </c>
      <c r="P5" s="20" t="s">
        <v>12</v>
      </c>
      <c r="Q5" s="20" t="s">
        <v>25</v>
      </c>
      <c r="R5" s="20" t="s">
        <v>26</v>
      </c>
      <c r="S5" s="20" t="s">
        <v>12</v>
      </c>
      <c r="T5" s="20" t="s">
        <v>29</v>
      </c>
      <c r="U5" s="20" t="s">
        <v>29</v>
      </c>
      <c r="V5" s="20" t="s">
        <v>29</v>
      </c>
      <c r="W5" s="20" t="s">
        <v>29</v>
      </c>
      <c r="X5" s="20" t="s">
        <v>29</v>
      </c>
      <c r="Y5" s="20" t="s">
        <v>29</v>
      </c>
      <c r="Z5" s="20" t="s">
        <v>33</v>
      </c>
      <c r="AA5" s="20" t="s">
        <v>33</v>
      </c>
      <c r="AB5" s="20" t="s">
        <v>12</v>
      </c>
      <c r="AC5" s="20" t="s">
        <v>29</v>
      </c>
      <c r="AD5" s="20" t="s">
        <v>26</v>
      </c>
      <c r="AE5" s="20" t="s">
        <v>12</v>
      </c>
      <c r="AF5" s="20" t="s">
        <v>29</v>
      </c>
      <c r="AG5" s="20" t="s">
        <v>29</v>
      </c>
      <c r="AH5" s="20" t="s">
        <v>29</v>
      </c>
      <c r="AJ5" s="20" t="s">
        <v>29</v>
      </c>
      <c r="AK5" s="20" t="s">
        <v>26</v>
      </c>
      <c r="AL5" s="20" t="s">
        <v>29</v>
      </c>
    </row>
    <row r="6" spans="2:38">
      <c r="B6" s="36">
        <v>1</v>
      </c>
      <c r="C6" s="36">
        <v>1641</v>
      </c>
      <c r="D6" s="36">
        <v>2</v>
      </c>
      <c r="E6" s="36">
        <v>0.38700000000000001</v>
      </c>
      <c r="F6" s="37">
        <v>1.0699999999999999E-2</v>
      </c>
      <c r="G6" s="36">
        <v>28.65</v>
      </c>
      <c r="H6" s="36">
        <v>28.65</v>
      </c>
      <c r="I6" s="36">
        <v>1</v>
      </c>
      <c r="J6" s="36">
        <v>2.68</v>
      </c>
      <c r="K6" s="36">
        <v>1815.1</v>
      </c>
      <c r="L6" s="42">
        <v>1000</v>
      </c>
      <c r="M6" s="43">
        <v>9.9999999999999995E-7</v>
      </c>
      <c r="N6" s="36">
        <f>C6/1000</f>
        <v>1.641</v>
      </c>
      <c r="O6" s="38">
        <f>G6/1000</f>
        <v>2.8649999999999998E-2</v>
      </c>
      <c r="P6" s="38">
        <f>H6/1000</f>
        <v>2.8649999999999998E-2</v>
      </c>
      <c r="Q6" s="36">
        <f>N6/(E6*D6)</f>
        <v>2.1201550387596897</v>
      </c>
      <c r="R6" s="36">
        <f>L6*9.81*E6*F6</f>
        <v>40.622228999999997</v>
      </c>
      <c r="S6" s="38">
        <f>D6*E6/(D6+2*E6)</f>
        <v>0.27901946647440518</v>
      </c>
      <c r="T6" s="37">
        <f>9.81*S6*F6/(Q6^2)</f>
        <v>6.5155644982736191E-3</v>
      </c>
      <c r="U6" s="42">
        <f>Q6*S6/M6</f>
        <v>591564.52775775047</v>
      </c>
      <c r="V6" s="44">
        <f>T6/U6</f>
        <v>1.1014123045832433E-8</v>
      </c>
      <c r="W6" s="44">
        <f>8*V6</f>
        <v>8.8112984366659464E-8</v>
      </c>
      <c r="X6" s="37">
        <f>0.301*(W6^(1/5))</f>
        <v>1.1683540753969662E-2</v>
      </c>
      <c r="Y6" s="44">
        <f>X6/W6</f>
        <v>132597.26518116353</v>
      </c>
      <c r="Z6" s="37">
        <f>2*M6*E6*Y6/Q6</f>
        <v>4.8406970893157056E-2</v>
      </c>
      <c r="AA6" s="38">
        <f>D6*E6-Z6</f>
        <v>0.72559302910684298</v>
      </c>
      <c r="AB6" s="36">
        <f>AA6/D6</f>
        <v>0.36279651455342149</v>
      </c>
      <c r="AC6" s="37">
        <f>(T6*(D6+2*E6)-X6*2*E6/8)/D6</f>
        <v>8.4718966751322275E-3</v>
      </c>
      <c r="AD6" s="41">
        <f>1000*AC6*(Q6^2)</f>
        <v>38.08166174312899</v>
      </c>
      <c r="AE6">
        <f>AE$2*P6</f>
        <v>5.7299999999999997E-2</v>
      </c>
      <c r="AF6" s="36">
        <f>1/(AC6^0.5)</f>
        <v>10.864498262531326</v>
      </c>
      <c r="AG6" s="36">
        <f>IF(AC6&lt;(1/(Sheet1!BL5^2)),MPM!AF6,Sheet1!BL5)</f>
        <v>10.978796706836308</v>
      </c>
      <c r="AH6" s="38">
        <f>IF(AG6=AF6,AB6,Sheet1!BK5)</f>
        <v>0.35528180691413763</v>
      </c>
      <c r="AI6" t="str">
        <f>IF(AH6&gt;AB6,"error","ok")</f>
        <v>ok</v>
      </c>
      <c r="AJ6" s="37">
        <f>1/(AG6^2)</f>
        <v>8.2964158638948425E-3</v>
      </c>
      <c r="AK6" s="41">
        <f>L6*AJ6*(Q6^2)</f>
        <v>37.292865426057801</v>
      </c>
      <c r="AL6" s="42">
        <f>100*AK6/AD6</f>
        <v>97.928671489201733</v>
      </c>
    </row>
    <row r="7" spans="2:38">
      <c r="B7" s="36">
        <f t="shared" ref="B7:B38" si="0">+B6+1</f>
        <v>2</v>
      </c>
      <c r="C7" s="36">
        <v>1641</v>
      </c>
      <c r="D7" s="36">
        <v>2</v>
      </c>
      <c r="E7" s="36">
        <v>0.44400000000000001</v>
      </c>
      <c r="F7" s="37">
        <v>6.5399999999999998E-3</v>
      </c>
      <c r="G7" s="36">
        <v>28.65</v>
      </c>
      <c r="H7" s="36">
        <v>28.65</v>
      </c>
      <c r="I7" s="36">
        <v>1</v>
      </c>
      <c r="J7" s="36">
        <v>2.68</v>
      </c>
      <c r="K7" s="36">
        <v>45.9</v>
      </c>
      <c r="L7" s="42">
        <v>1000</v>
      </c>
      <c r="M7" s="43">
        <v>9.9999999999999995E-7</v>
      </c>
      <c r="N7" s="36">
        <f t="shared" ref="N7:N70" si="1">C7/1000</f>
        <v>1.641</v>
      </c>
      <c r="O7" s="38">
        <f t="shared" ref="O7:O70" si="2">G7/1000</f>
        <v>2.8649999999999998E-2</v>
      </c>
      <c r="P7" s="38">
        <f t="shared" ref="P7:P70" si="3">H7/1000</f>
        <v>2.8649999999999998E-2</v>
      </c>
      <c r="Q7" s="36">
        <f t="shared" ref="Q7:Q70" si="4">N7/(E7*D7)</f>
        <v>1.847972972972973</v>
      </c>
      <c r="R7" s="36">
        <f t="shared" ref="R7:R70" si="5">L7*9.81*E7*F7</f>
        <v>28.4858856</v>
      </c>
      <c r="S7" s="38">
        <f t="shared" ref="S7:S70" si="6">D7*E7/(D7+2*E7)</f>
        <v>0.30747922437673131</v>
      </c>
      <c r="T7" s="37">
        <f t="shared" ref="T7:T70" si="7">9.81*S7*F7/(Q7^2)</f>
        <v>5.7765867803704664E-3</v>
      </c>
      <c r="U7" s="42">
        <f t="shared" ref="U7:U70" si="8">Q7*S7/M7</f>
        <v>568213.29639889195</v>
      </c>
      <c r="V7" s="44">
        <f t="shared" ref="V7:V70" si="9">T7/U7</f>
        <v>1.0166229507440528E-8</v>
      </c>
      <c r="W7" s="44">
        <f t="shared" ref="W7:W70" si="10">8*V7</f>
        <v>8.1329836059524223E-8</v>
      </c>
      <c r="X7" s="37">
        <f t="shared" ref="X7:X70" si="11">0.301*(W7^(1/5))</f>
        <v>1.1497845668498192E-2</v>
      </c>
      <c r="Y7" s="44">
        <f t="shared" ref="Y7:Y70" si="12">X7/W7</f>
        <v>141373.0338775437</v>
      </c>
      <c r="Z7" s="37">
        <f t="shared" ref="Z7:Z70" si="13">2*M7*E7*Y7/Q7</f>
        <v>6.7933490326589768E-2</v>
      </c>
      <c r="AA7" s="38">
        <f t="shared" ref="AA7:AA70" si="14">D7*E7-Z7</f>
        <v>0.82006650967341022</v>
      </c>
      <c r="AB7" s="36">
        <f t="shared" ref="AB7:AB70" si="15">AA7/D7</f>
        <v>0.41003325483670511</v>
      </c>
      <c r="AC7" s="37">
        <f t="shared" ref="AC7:AC70" si="16">(T7*(D7+2*E7)-X7*2*E7/8)/D7</f>
        <v>7.7032608762533034E-3</v>
      </c>
      <c r="AD7" s="41">
        <f t="shared" ref="AD7:AD70" si="17">1000*AC7*(Q7^2)</f>
        <v>26.306667543860421</v>
      </c>
      <c r="AE7">
        <f t="shared" ref="AE7:AE70" si="18">AE$2*P7</f>
        <v>5.7299999999999997E-2</v>
      </c>
      <c r="AF7" s="36">
        <f t="shared" ref="AF7:AF70" si="19">1/(AC7^0.5)</f>
        <v>11.393645351490765</v>
      </c>
      <c r="AG7" s="36">
        <f>IF(AC7&lt;(1/(Sheet1!BL6^2)),MPM!AF7,Sheet1!BL6)</f>
        <v>11.393645351490765</v>
      </c>
      <c r="AH7" s="38">
        <f>IF(AG7=AF7,AB7,Sheet1!BK6)</f>
        <v>0.41003325483670511</v>
      </c>
      <c r="AI7" t="str">
        <f t="shared" ref="AI7:AI70" si="20">IF(AH7&gt;AB7,"error","ok")</f>
        <v>ok</v>
      </c>
      <c r="AJ7" s="37">
        <f t="shared" ref="AJ7:AJ70" si="21">1/(AG7^2)</f>
        <v>7.7032608762533017E-3</v>
      </c>
      <c r="AK7" s="41">
        <f t="shared" ref="AK7:AK70" si="22">L7*AJ7*(Q7^2)</f>
        <v>26.306667543860417</v>
      </c>
      <c r="AL7" s="42">
        <f t="shared" ref="AL7:AL70" si="23">100*AK7/AD7</f>
        <v>99.999999999999986</v>
      </c>
    </row>
    <row r="8" spans="2:38">
      <c r="B8" s="36">
        <f t="shared" si="0"/>
        <v>3</v>
      </c>
      <c r="C8" s="36">
        <v>1641</v>
      </c>
      <c r="D8" s="36">
        <v>2</v>
      </c>
      <c r="E8" s="36">
        <v>0.39700000000000002</v>
      </c>
      <c r="F8" s="37">
        <v>9.1999999999999998E-3</v>
      </c>
      <c r="G8" s="36">
        <v>28.65</v>
      </c>
      <c r="H8" s="36">
        <v>28.65</v>
      </c>
      <c r="I8" s="36">
        <v>1</v>
      </c>
      <c r="J8" s="36">
        <v>2.68</v>
      </c>
      <c r="K8" s="36">
        <v>990.5</v>
      </c>
      <c r="L8" s="42">
        <v>1000</v>
      </c>
      <c r="M8" s="43">
        <v>9.9999999999999995E-7</v>
      </c>
      <c r="N8" s="36">
        <f t="shared" si="1"/>
        <v>1.641</v>
      </c>
      <c r="O8" s="38">
        <f t="shared" si="2"/>
        <v>2.8649999999999998E-2</v>
      </c>
      <c r="P8" s="38">
        <f t="shared" si="3"/>
        <v>2.8649999999999998E-2</v>
      </c>
      <c r="Q8" s="36">
        <f t="shared" si="4"/>
        <v>2.0667506297229217</v>
      </c>
      <c r="R8" s="36">
        <f t="shared" si="5"/>
        <v>35.830044000000001</v>
      </c>
      <c r="S8" s="38">
        <f t="shared" si="6"/>
        <v>0.28418038654259126</v>
      </c>
      <c r="T8" s="37">
        <f t="shared" si="7"/>
        <v>6.0044713661568374E-3</v>
      </c>
      <c r="U8" s="42">
        <f t="shared" si="8"/>
        <v>587329.99284180382</v>
      </c>
      <c r="V8" s="44">
        <f t="shared" si="9"/>
        <v>1.0223335159684464E-8</v>
      </c>
      <c r="W8" s="44">
        <f t="shared" si="10"/>
        <v>8.1786681277475709E-8</v>
      </c>
      <c r="X8" s="37">
        <f t="shared" si="11"/>
        <v>1.1510733861658001E-2</v>
      </c>
      <c r="Y8" s="44">
        <f t="shared" si="12"/>
        <v>140740.93338750119</v>
      </c>
      <c r="Z8" s="37">
        <f t="shared" si="13"/>
        <v>5.4069561901939497E-2</v>
      </c>
      <c r="AA8" s="38">
        <f t="shared" si="14"/>
        <v>0.73993043809806058</v>
      </c>
      <c r="AB8" s="36">
        <f t="shared" si="15"/>
        <v>0.36996521904903029</v>
      </c>
      <c r="AC8" s="37">
        <f t="shared" si="16"/>
        <v>7.8170263306363234E-3</v>
      </c>
      <c r="AD8" s="41">
        <f t="shared" si="17"/>
        <v>33.390100949613078</v>
      </c>
      <c r="AE8">
        <f t="shared" si="18"/>
        <v>5.7299999999999997E-2</v>
      </c>
      <c r="AF8" s="36">
        <f t="shared" si="19"/>
        <v>11.310432508959677</v>
      </c>
      <c r="AG8" s="36">
        <f>IF(AC8&lt;(1/(Sheet1!BL7^2)),MPM!AF8,Sheet1!BL7)</f>
        <v>11.310432508959677</v>
      </c>
      <c r="AH8" s="38">
        <f>IF(AG8=AF8,AB8,Sheet1!BK7)</f>
        <v>0.36996521904903029</v>
      </c>
      <c r="AI8" t="str">
        <f t="shared" si="20"/>
        <v>ok</v>
      </c>
      <c r="AJ8" s="37">
        <f t="shared" si="21"/>
        <v>7.8170263306363234E-3</v>
      </c>
      <c r="AK8" s="41">
        <f t="shared" si="22"/>
        <v>33.390100949613078</v>
      </c>
      <c r="AL8" s="42">
        <f t="shared" si="23"/>
        <v>100</v>
      </c>
    </row>
    <row r="9" spans="2:38">
      <c r="B9" s="36">
        <f t="shared" si="0"/>
        <v>4</v>
      </c>
      <c r="C9" s="36">
        <v>1641</v>
      </c>
      <c r="D9" s="36">
        <v>2</v>
      </c>
      <c r="E9" s="36">
        <v>0.39900000000000002</v>
      </c>
      <c r="F9" s="37">
        <v>9.2800000000000001E-3</v>
      </c>
      <c r="G9" s="36">
        <v>28.65</v>
      </c>
      <c r="H9" s="36">
        <v>28.65</v>
      </c>
      <c r="I9" s="36">
        <v>1</v>
      </c>
      <c r="J9" s="36">
        <v>2.68</v>
      </c>
      <c r="K9" s="36">
        <v>982.5</v>
      </c>
      <c r="L9" s="42">
        <v>1000</v>
      </c>
      <c r="M9" s="43">
        <v>9.9999999999999995E-7</v>
      </c>
      <c r="N9" s="36">
        <f t="shared" si="1"/>
        <v>1.641</v>
      </c>
      <c r="O9" s="38">
        <f t="shared" si="2"/>
        <v>2.8649999999999998E-2</v>
      </c>
      <c r="P9" s="38">
        <f t="shared" si="3"/>
        <v>2.8649999999999998E-2</v>
      </c>
      <c r="Q9" s="36">
        <f t="shared" si="4"/>
        <v>2.0563909774436091</v>
      </c>
      <c r="R9" s="36">
        <f t="shared" si="5"/>
        <v>36.323683199999998</v>
      </c>
      <c r="S9" s="38">
        <f t="shared" si="6"/>
        <v>0.28520371694067193</v>
      </c>
      <c r="T9" s="37">
        <f t="shared" si="7"/>
        <v>6.1398927545399298E-3</v>
      </c>
      <c r="U9" s="42">
        <f t="shared" si="8"/>
        <v>586490.35025017872</v>
      </c>
      <c r="V9" s="44">
        <f t="shared" si="9"/>
        <v>1.0468872594273445E-8</v>
      </c>
      <c r="W9" s="44">
        <f t="shared" si="10"/>
        <v>8.3750980754187562E-8</v>
      </c>
      <c r="X9" s="37">
        <f t="shared" si="11"/>
        <v>1.1565501676329701E-2</v>
      </c>
      <c r="Y9" s="44">
        <f t="shared" si="12"/>
        <v>138093.92525533409</v>
      </c>
      <c r="Z9" s="37">
        <f t="shared" si="13"/>
        <v>5.3588521619925514E-2</v>
      </c>
      <c r="AA9" s="38">
        <f t="shared" si="14"/>
        <v>0.74441147838007449</v>
      </c>
      <c r="AB9" s="36">
        <f t="shared" si="15"/>
        <v>0.37220573919003724</v>
      </c>
      <c r="AC9" s="37">
        <f t="shared" si="16"/>
        <v>8.0128805674944178E-3</v>
      </c>
      <c r="AD9" s="41">
        <f t="shared" si="17"/>
        <v>33.884419437495588</v>
      </c>
      <c r="AE9">
        <f t="shared" si="18"/>
        <v>5.7299999999999997E-2</v>
      </c>
      <c r="AF9" s="36">
        <f t="shared" si="19"/>
        <v>11.171350171445797</v>
      </c>
      <c r="AG9" s="36">
        <f>IF(AC9&lt;(1/(Sheet1!BL8^2)),MPM!AF9,Sheet1!BL8)</f>
        <v>11.171350171445797</v>
      </c>
      <c r="AH9" s="38">
        <f>IF(AG9=AF9,AB9,Sheet1!BK8)</f>
        <v>0.37220573919003724</v>
      </c>
      <c r="AI9" t="str">
        <f t="shared" si="20"/>
        <v>ok</v>
      </c>
      <c r="AJ9" s="37">
        <f t="shared" si="21"/>
        <v>8.012880567494416E-3</v>
      </c>
      <c r="AK9" s="41">
        <f t="shared" si="22"/>
        <v>33.88441943749558</v>
      </c>
      <c r="AL9" s="42">
        <f t="shared" si="23"/>
        <v>99.999999999999986</v>
      </c>
    </row>
    <row r="10" spans="2:38">
      <c r="B10" s="36">
        <f t="shared" si="0"/>
        <v>5</v>
      </c>
      <c r="C10" s="36">
        <v>1641</v>
      </c>
      <c r="D10" s="36">
        <v>2</v>
      </c>
      <c r="E10" s="36">
        <v>0.39900000000000002</v>
      </c>
      <c r="F10" s="37">
        <v>9.2300000000000004E-3</v>
      </c>
      <c r="G10" s="36">
        <v>28.65</v>
      </c>
      <c r="H10" s="36">
        <v>28.65</v>
      </c>
      <c r="I10" s="36">
        <v>1</v>
      </c>
      <c r="J10" s="36">
        <v>2.68</v>
      </c>
      <c r="K10" s="36">
        <v>979.3</v>
      </c>
      <c r="L10" s="42">
        <v>1000</v>
      </c>
      <c r="M10" s="43">
        <v>9.9999999999999995E-7</v>
      </c>
      <c r="N10" s="36">
        <f t="shared" si="1"/>
        <v>1.641</v>
      </c>
      <c r="O10" s="38">
        <f t="shared" si="2"/>
        <v>2.8649999999999998E-2</v>
      </c>
      <c r="P10" s="38">
        <f t="shared" si="3"/>
        <v>2.8649999999999998E-2</v>
      </c>
      <c r="Q10" s="36">
        <f t="shared" si="4"/>
        <v>2.0563909774436091</v>
      </c>
      <c r="R10" s="36">
        <f t="shared" si="5"/>
        <v>36.127973700000005</v>
      </c>
      <c r="S10" s="38">
        <f t="shared" si="6"/>
        <v>0.28520371694067193</v>
      </c>
      <c r="T10" s="37">
        <f t="shared" si="7"/>
        <v>6.1068114358193487E-3</v>
      </c>
      <c r="U10" s="42">
        <f t="shared" si="8"/>
        <v>586490.35025017872</v>
      </c>
      <c r="V10" s="44">
        <f t="shared" si="9"/>
        <v>1.0412467030726713E-8</v>
      </c>
      <c r="W10" s="44">
        <f t="shared" si="10"/>
        <v>8.3299736245813706E-8</v>
      </c>
      <c r="X10" s="37">
        <f t="shared" si="11"/>
        <v>1.1553011904551401E-2</v>
      </c>
      <c r="Y10" s="44">
        <f t="shared" si="12"/>
        <v>138692.05864540784</v>
      </c>
      <c r="Z10" s="37">
        <f t="shared" si="13"/>
        <v>5.382063236662419E-2</v>
      </c>
      <c r="AA10" s="38">
        <f t="shared" si="14"/>
        <v>0.74417936763337589</v>
      </c>
      <c r="AB10" s="36">
        <f t="shared" si="15"/>
        <v>0.37208968381668794</v>
      </c>
      <c r="AC10" s="37">
        <f t="shared" si="16"/>
        <v>7.9672227299717683E-3</v>
      </c>
      <c r="AD10" s="41">
        <f t="shared" si="17"/>
        <v>33.691344137770976</v>
      </c>
      <c r="AE10">
        <f t="shared" si="18"/>
        <v>5.7299999999999997E-2</v>
      </c>
      <c r="AF10" s="36">
        <f t="shared" si="19"/>
        <v>11.203314322802811</v>
      </c>
      <c r="AG10" s="36">
        <f>IF(AC10&lt;(1/(Sheet1!BL9^2)),MPM!AF10,Sheet1!BL9)</f>
        <v>11.203314322802811</v>
      </c>
      <c r="AH10" s="38">
        <f>IF(AG10=AF10,AB10,Sheet1!BK9)</f>
        <v>0.37208968381668794</v>
      </c>
      <c r="AI10" t="str">
        <f t="shared" si="20"/>
        <v>ok</v>
      </c>
      <c r="AJ10" s="37">
        <f t="shared" si="21"/>
        <v>7.9672227299717666E-3</v>
      </c>
      <c r="AK10" s="41">
        <f t="shared" si="22"/>
        <v>33.691344137770969</v>
      </c>
      <c r="AL10" s="42">
        <f t="shared" si="23"/>
        <v>99.999999999999986</v>
      </c>
    </row>
    <row r="11" spans="2:38">
      <c r="B11" s="36">
        <f t="shared" si="0"/>
        <v>6</v>
      </c>
      <c r="C11" s="36">
        <v>1641</v>
      </c>
      <c r="D11" s="36">
        <v>2</v>
      </c>
      <c r="E11" s="36">
        <v>0.39900000000000002</v>
      </c>
      <c r="F11" s="37">
        <v>9.1500000000000001E-3</v>
      </c>
      <c r="G11" s="36">
        <v>28.65</v>
      </c>
      <c r="H11" s="36">
        <v>28.65</v>
      </c>
      <c r="I11" s="36">
        <v>1</v>
      </c>
      <c r="J11" s="36">
        <v>2.68</v>
      </c>
      <c r="K11" s="36">
        <v>1012.8</v>
      </c>
      <c r="L11" s="42">
        <v>1000</v>
      </c>
      <c r="M11" s="43">
        <v>9.9999999999999995E-7</v>
      </c>
      <c r="N11" s="36">
        <f t="shared" si="1"/>
        <v>1.641</v>
      </c>
      <c r="O11" s="38">
        <f t="shared" si="2"/>
        <v>2.8649999999999998E-2</v>
      </c>
      <c r="P11" s="38">
        <f t="shared" si="3"/>
        <v>2.8649999999999998E-2</v>
      </c>
      <c r="Q11" s="36">
        <f t="shared" si="4"/>
        <v>2.0563909774436091</v>
      </c>
      <c r="R11" s="36">
        <f t="shared" si="5"/>
        <v>35.8148385</v>
      </c>
      <c r="S11" s="38">
        <f t="shared" si="6"/>
        <v>0.28520371694067193</v>
      </c>
      <c r="T11" s="37">
        <f t="shared" si="7"/>
        <v>6.0538813258664177E-3</v>
      </c>
      <c r="U11" s="42">
        <f t="shared" si="8"/>
        <v>586490.35025017872</v>
      </c>
      <c r="V11" s="44">
        <f t="shared" si="9"/>
        <v>1.0322218129051941E-8</v>
      </c>
      <c r="W11" s="44">
        <f t="shared" si="10"/>
        <v>8.2577745032415529E-8</v>
      </c>
      <c r="X11" s="37">
        <f t="shared" si="11"/>
        <v>1.1532915219389449E-2</v>
      </c>
      <c r="Y11" s="44">
        <f t="shared" si="12"/>
        <v>139661.29996480595</v>
      </c>
      <c r="Z11" s="37">
        <f t="shared" si="13"/>
        <v>5.4196754700053799E-2</v>
      </c>
      <c r="AA11" s="38">
        <f t="shared" si="14"/>
        <v>0.74380324529994624</v>
      </c>
      <c r="AB11" s="36">
        <f t="shared" si="15"/>
        <v>0.37190162264997312</v>
      </c>
      <c r="AC11" s="37">
        <f t="shared" si="16"/>
        <v>7.8941758283200686E-3</v>
      </c>
      <c r="AD11" s="41">
        <f t="shared" si="17"/>
        <v>33.382447501495555</v>
      </c>
      <c r="AE11">
        <f t="shared" si="18"/>
        <v>5.7299999999999997E-2</v>
      </c>
      <c r="AF11" s="36">
        <f t="shared" si="19"/>
        <v>11.255028585519408</v>
      </c>
      <c r="AG11" s="36">
        <f>IF(AC11&lt;(1/(Sheet1!BL10^2)),MPM!AF11,Sheet1!BL10)</f>
        <v>11.255028585519408</v>
      </c>
      <c r="AH11" s="38">
        <f>IF(AG11=AF11,AB11,Sheet1!BK10)</f>
        <v>0.37190162264997312</v>
      </c>
      <c r="AI11" t="str">
        <f t="shared" si="20"/>
        <v>ok</v>
      </c>
      <c r="AJ11" s="37">
        <f t="shared" si="21"/>
        <v>7.8941758283200686E-3</v>
      </c>
      <c r="AK11" s="41">
        <f t="shared" si="22"/>
        <v>33.382447501495555</v>
      </c>
      <c r="AL11" s="42">
        <f t="shared" si="23"/>
        <v>100</v>
      </c>
    </row>
    <row r="12" spans="2:38">
      <c r="B12" s="36">
        <f t="shared" si="0"/>
        <v>7</v>
      </c>
      <c r="C12" s="36">
        <v>1641</v>
      </c>
      <c r="D12" s="36">
        <v>2</v>
      </c>
      <c r="E12" s="36">
        <v>0.39800000000000002</v>
      </c>
      <c r="F12" s="37">
        <v>9.1599999999999997E-3</v>
      </c>
      <c r="G12" s="36">
        <v>28.65</v>
      </c>
      <c r="H12" s="36">
        <v>28.65</v>
      </c>
      <c r="I12" s="36">
        <v>1</v>
      </c>
      <c r="J12" s="36">
        <v>2.68</v>
      </c>
      <c r="K12" s="36">
        <v>988.9</v>
      </c>
      <c r="L12" s="42">
        <v>1000</v>
      </c>
      <c r="M12" s="43">
        <v>9.9999999999999995E-7</v>
      </c>
      <c r="N12" s="36">
        <f t="shared" si="1"/>
        <v>1.641</v>
      </c>
      <c r="O12" s="38">
        <f t="shared" si="2"/>
        <v>2.8649999999999998E-2</v>
      </c>
      <c r="P12" s="38">
        <f t="shared" si="3"/>
        <v>2.8649999999999998E-2</v>
      </c>
      <c r="Q12" s="36">
        <f t="shared" si="4"/>
        <v>2.0615577889447234</v>
      </c>
      <c r="R12" s="36">
        <f t="shared" si="5"/>
        <v>35.764120800000001</v>
      </c>
      <c r="S12" s="38">
        <f t="shared" si="6"/>
        <v>0.284692417739628</v>
      </c>
      <c r="T12" s="37">
        <f t="shared" si="7"/>
        <v>6.0193466544060138E-3</v>
      </c>
      <c r="U12" s="42">
        <f t="shared" si="8"/>
        <v>586909.87124463508</v>
      </c>
      <c r="V12" s="44">
        <f t="shared" si="9"/>
        <v>1.0255998321583924E-8</v>
      </c>
      <c r="W12" s="44">
        <f t="shared" si="10"/>
        <v>8.2047986572671389E-8</v>
      </c>
      <c r="X12" s="37">
        <f t="shared" si="11"/>
        <v>1.1518079749944236E-2</v>
      </c>
      <c r="Y12" s="44">
        <f t="shared" si="12"/>
        <v>140382.23521478451</v>
      </c>
      <c r="Z12" s="37">
        <f t="shared" si="13"/>
        <v>5.4203796677544734E-2</v>
      </c>
      <c r="AA12" s="38">
        <f t="shared" si="14"/>
        <v>0.74179620332245533</v>
      </c>
      <c r="AB12" s="36">
        <f t="shared" si="15"/>
        <v>0.37089810166122766</v>
      </c>
      <c r="AC12" s="37">
        <f t="shared" si="16"/>
        <v>7.8420221552998829E-3</v>
      </c>
      <c r="AD12" s="41">
        <f t="shared" si="17"/>
        <v>33.328755056037252</v>
      </c>
      <c r="AE12">
        <f t="shared" si="18"/>
        <v>5.7299999999999997E-2</v>
      </c>
      <c r="AF12" s="36">
        <f t="shared" si="19"/>
        <v>11.292392568252781</v>
      </c>
      <c r="AG12" s="36">
        <f>IF(AC12&lt;(1/(Sheet1!BL11^2)),MPM!AF12,Sheet1!BL11)</f>
        <v>11.292392568252781</v>
      </c>
      <c r="AH12" s="38">
        <f>IF(AG12=AF12,AB12,Sheet1!BK11)</f>
        <v>0.37089810166122766</v>
      </c>
      <c r="AI12" t="str">
        <f t="shared" si="20"/>
        <v>ok</v>
      </c>
      <c r="AJ12" s="37">
        <f t="shared" si="21"/>
        <v>7.8420221552998812E-3</v>
      </c>
      <c r="AK12" s="41">
        <f t="shared" si="22"/>
        <v>33.328755056037245</v>
      </c>
      <c r="AL12" s="42">
        <f t="shared" si="23"/>
        <v>99.999999999999972</v>
      </c>
    </row>
    <row r="13" spans="2:38">
      <c r="B13" s="36">
        <f t="shared" si="0"/>
        <v>8</v>
      </c>
      <c r="C13" s="36">
        <v>1641</v>
      </c>
      <c r="D13" s="36">
        <v>2</v>
      </c>
      <c r="E13" s="36">
        <v>0.36799999999999999</v>
      </c>
      <c r="F13" s="37">
        <v>1.3730000000000001E-2</v>
      </c>
      <c r="G13" s="36">
        <v>28.65</v>
      </c>
      <c r="H13" s="36">
        <v>28.65</v>
      </c>
      <c r="I13" s="36">
        <v>1</v>
      </c>
      <c r="J13" s="36">
        <v>2.68</v>
      </c>
      <c r="K13" s="36">
        <v>3828</v>
      </c>
      <c r="L13" s="42">
        <v>1000</v>
      </c>
      <c r="M13" s="43">
        <v>9.9999999999999995E-7</v>
      </c>
      <c r="N13" s="36">
        <f t="shared" si="1"/>
        <v>1.641</v>
      </c>
      <c r="O13" s="38">
        <f t="shared" si="2"/>
        <v>2.8649999999999998E-2</v>
      </c>
      <c r="P13" s="38">
        <f t="shared" si="3"/>
        <v>2.8649999999999998E-2</v>
      </c>
      <c r="Q13" s="36">
        <f t="shared" si="4"/>
        <v>2.2296195652173916</v>
      </c>
      <c r="R13" s="36">
        <f t="shared" si="5"/>
        <v>49.566398400000004</v>
      </c>
      <c r="S13" s="38">
        <f t="shared" si="6"/>
        <v>0.26900584795321641</v>
      </c>
      <c r="T13" s="37">
        <f t="shared" si="7"/>
        <v>7.2885264215107205E-3</v>
      </c>
      <c r="U13" s="42">
        <f t="shared" si="8"/>
        <v>599780.70175438619</v>
      </c>
      <c r="V13" s="44">
        <f t="shared" si="9"/>
        <v>1.2151985551037979E-8</v>
      </c>
      <c r="W13" s="44">
        <f t="shared" si="10"/>
        <v>9.7215884408303833E-8</v>
      </c>
      <c r="X13" s="37">
        <f t="shared" si="11"/>
        <v>1.1915545843413275E-2</v>
      </c>
      <c r="Y13" s="44">
        <f t="shared" si="12"/>
        <v>122567.89017490532</v>
      </c>
      <c r="Z13" s="37">
        <f t="shared" si="13"/>
        <v>4.0459802459588967E-2</v>
      </c>
      <c r="AA13" s="38">
        <f t="shared" si="14"/>
        <v>0.69554019754041096</v>
      </c>
      <c r="AB13" s="36">
        <f t="shared" si="15"/>
        <v>0.34777009877020548</v>
      </c>
      <c r="AC13" s="37">
        <f t="shared" si="16"/>
        <v>9.4225890358296538E-3</v>
      </c>
      <c r="AD13" s="41">
        <f t="shared" si="17"/>
        <v>46.84160670448739</v>
      </c>
      <c r="AE13">
        <f t="shared" si="18"/>
        <v>5.7299999999999997E-2</v>
      </c>
      <c r="AF13" s="36">
        <f t="shared" si="19"/>
        <v>10.301841769201889</v>
      </c>
      <c r="AG13" s="36">
        <f>IF(AC13&lt;(1/(Sheet1!BL12^2)),MPM!AF13,Sheet1!BL12)</f>
        <v>10.776672501101459</v>
      </c>
      <c r="AH13" s="38">
        <f>IF(AG13=AF13,AB13,Sheet1!BK12)</f>
        <v>0.31779906768198835</v>
      </c>
      <c r="AI13" t="str">
        <f t="shared" si="20"/>
        <v>ok</v>
      </c>
      <c r="AJ13" s="37">
        <f t="shared" si="21"/>
        <v>8.6105447858317655E-3</v>
      </c>
      <c r="AK13" s="41">
        <f t="shared" si="22"/>
        <v>42.80476956339983</v>
      </c>
      <c r="AL13" s="42">
        <f t="shared" si="23"/>
        <v>91.381941344251899</v>
      </c>
    </row>
    <row r="14" spans="2:38">
      <c r="B14" s="36">
        <f t="shared" si="0"/>
        <v>9</v>
      </c>
      <c r="C14" s="36">
        <v>1641</v>
      </c>
      <c r="D14" s="36">
        <v>2</v>
      </c>
      <c r="E14" s="36">
        <v>0.41299999999999998</v>
      </c>
      <c r="F14" s="37">
        <v>8.199999999999999E-3</v>
      </c>
      <c r="G14" s="36">
        <v>28.65</v>
      </c>
      <c r="H14" s="36">
        <v>28.65</v>
      </c>
      <c r="I14" s="36">
        <v>1</v>
      </c>
      <c r="J14" s="36">
        <v>2.68</v>
      </c>
      <c r="K14" s="36">
        <v>496</v>
      </c>
      <c r="L14" s="42">
        <v>1000</v>
      </c>
      <c r="M14" s="43">
        <v>9.9999999999999995E-7</v>
      </c>
      <c r="N14" s="36">
        <f t="shared" si="1"/>
        <v>1.641</v>
      </c>
      <c r="O14" s="38">
        <f t="shared" si="2"/>
        <v>2.8649999999999998E-2</v>
      </c>
      <c r="P14" s="38">
        <f t="shared" si="3"/>
        <v>2.8649999999999998E-2</v>
      </c>
      <c r="Q14" s="36">
        <f t="shared" si="4"/>
        <v>1.9866828087167072</v>
      </c>
      <c r="R14" s="36">
        <f t="shared" si="5"/>
        <v>33.222545999999994</v>
      </c>
      <c r="S14" s="38">
        <f t="shared" si="6"/>
        <v>0.29228591648973812</v>
      </c>
      <c r="T14" s="37">
        <f t="shared" si="7"/>
        <v>5.9570834244328129E-3</v>
      </c>
      <c r="U14" s="42">
        <f t="shared" si="8"/>
        <v>580679.40552016988</v>
      </c>
      <c r="V14" s="44">
        <f t="shared" si="9"/>
        <v>1.0258816427451023E-8</v>
      </c>
      <c r="W14" s="44">
        <f t="shared" si="10"/>
        <v>8.2070531419608184E-8</v>
      </c>
      <c r="X14" s="37">
        <f t="shared" si="11"/>
        <v>1.1518712659585732E-2</v>
      </c>
      <c r="Y14" s="44">
        <f t="shared" si="12"/>
        <v>140351.38386874995</v>
      </c>
      <c r="Z14" s="37">
        <f t="shared" si="13"/>
        <v>5.8353675064250592E-2</v>
      </c>
      <c r="AA14" s="38">
        <f t="shared" si="14"/>
        <v>0.76764632493574936</v>
      </c>
      <c r="AB14" s="36">
        <f t="shared" si="15"/>
        <v>0.38382316246787468</v>
      </c>
      <c r="AC14" s="37">
        <f t="shared" si="16"/>
        <v>7.82270533767245E-3</v>
      </c>
      <c r="AD14" s="41">
        <f t="shared" si="17"/>
        <v>30.875502835240766</v>
      </c>
      <c r="AE14">
        <f t="shared" si="18"/>
        <v>5.7299999999999997E-2</v>
      </c>
      <c r="AF14" s="36">
        <f t="shared" si="19"/>
        <v>11.306326276856824</v>
      </c>
      <c r="AG14" s="36">
        <f>IF(AC14&lt;(1/(Sheet1!BL13^2)),MPM!AF14,Sheet1!BL13)</f>
        <v>11.306326276856824</v>
      </c>
      <c r="AH14" s="38">
        <f>IF(AG14=AF14,AB14,Sheet1!BK13)</f>
        <v>0.38382316246787468</v>
      </c>
      <c r="AI14" t="str">
        <f t="shared" si="20"/>
        <v>ok</v>
      </c>
      <c r="AJ14" s="37">
        <f t="shared" si="21"/>
        <v>7.82270533767245E-3</v>
      </c>
      <c r="AK14" s="41">
        <f t="shared" si="22"/>
        <v>30.875502835240766</v>
      </c>
      <c r="AL14" s="42">
        <f t="shared" si="23"/>
        <v>100</v>
      </c>
    </row>
    <row r="15" spans="2:38">
      <c r="B15" s="36">
        <f t="shared" si="0"/>
        <v>10</v>
      </c>
      <c r="C15" s="36">
        <v>1641</v>
      </c>
      <c r="D15" s="36">
        <v>2</v>
      </c>
      <c r="E15" s="36">
        <v>0.41799999999999998</v>
      </c>
      <c r="F15" s="37">
        <v>7.6100000000000004E-3</v>
      </c>
      <c r="G15" s="36">
        <v>28.65</v>
      </c>
      <c r="H15" s="36">
        <v>28.65</v>
      </c>
      <c r="I15" s="36">
        <v>1</v>
      </c>
      <c r="J15" s="36">
        <v>2.68</v>
      </c>
      <c r="K15" s="36">
        <v>320.5</v>
      </c>
      <c r="L15" s="42">
        <v>1000</v>
      </c>
      <c r="M15" s="43">
        <v>9.9999999999999995E-7</v>
      </c>
      <c r="N15" s="36">
        <f t="shared" si="1"/>
        <v>1.641</v>
      </c>
      <c r="O15" s="38">
        <f t="shared" si="2"/>
        <v>2.8649999999999998E-2</v>
      </c>
      <c r="P15" s="38">
        <f t="shared" si="3"/>
        <v>2.8649999999999998E-2</v>
      </c>
      <c r="Q15" s="36">
        <f t="shared" si="4"/>
        <v>1.9629186602870814</v>
      </c>
      <c r="R15" s="36">
        <f t="shared" si="5"/>
        <v>31.205413800000002</v>
      </c>
      <c r="S15" s="38">
        <f t="shared" si="6"/>
        <v>0.29478138222849082</v>
      </c>
      <c r="T15" s="37">
        <f t="shared" si="7"/>
        <v>5.7114858850784381E-3</v>
      </c>
      <c r="U15" s="42">
        <f t="shared" si="8"/>
        <v>578631.87588152336</v>
      </c>
      <c r="V15" s="44">
        <f t="shared" si="9"/>
        <v>9.8706727422805903E-9</v>
      </c>
      <c r="W15" s="44">
        <f t="shared" si="10"/>
        <v>7.8965381938244722E-8</v>
      </c>
      <c r="X15" s="37">
        <f t="shared" si="11"/>
        <v>1.1430200371665443E-2</v>
      </c>
      <c r="Y15" s="44">
        <f t="shared" si="12"/>
        <v>144749.51036904359</v>
      </c>
      <c r="Z15" s="37">
        <f t="shared" si="13"/>
        <v>6.1648296038319977E-2</v>
      </c>
      <c r="AA15" s="38">
        <f t="shared" si="14"/>
        <v>0.77435170396167996</v>
      </c>
      <c r="AB15" s="36">
        <f t="shared" si="15"/>
        <v>0.38717585198083998</v>
      </c>
      <c r="AC15" s="37">
        <f t="shared" si="16"/>
        <v>7.5016590156217061E-3</v>
      </c>
      <c r="AD15" s="41">
        <f t="shared" si="17"/>
        <v>28.904264771362829</v>
      </c>
      <c r="AE15">
        <f t="shared" si="18"/>
        <v>5.7299999999999997E-2</v>
      </c>
      <c r="AF15" s="36">
        <f t="shared" si="19"/>
        <v>11.545728484807105</v>
      </c>
      <c r="AG15" s="36">
        <f>IF(AC15&lt;(1/(Sheet1!BL14^2)),MPM!AF15,Sheet1!BL14)</f>
        <v>11.545728484807105</v>
      </c>
      <c r="AH15" s="38">
        <f>IF(AG15=AF15,AB15,Sheet1!BK14)</f>
        <v>0.38717585198083998</v>
      </c>
      <c r="AI15" t="str">
        <f t="shared" si="20"/>
        <v>ok</v>
      </c>
      <c r="AJ15" s="37">
        <f t="shared" si="21"/>
        <v>7.5016590156217061E-3</v>
      </c>
      <c r="AK15" s="41">
        <f t="shared" si="22"/>
        <v>28.904264771362829</v>
      </c>
      <c r="AL15" s="42">
        <f t="shared" si="23"/>
        <v>100</v>
      </c>
    </row>
    <row r="16" spans="2:38">
      <c r="B16" s="36">
        <f t="shared" si="0"/>
        <v>11</v>
      </c>
      <c r="C16" s="36">
        <v>1641</v>
      </c>
      <c r="D16" s="36">
        <v>2</v>
      </c>
      <c r="E16" s="36">
        <v>0.45500000000000002</v>
      </c>
      <c r="F16" s="37">
        <v>5.6100000000000004E-3</v>
      </c>
      <c r="G16" s="36">
        <v>28.65</v>
      </c>
      <c r="H16" s="36">
        <v>28.65</v>
      </c>
      <c r="I16" s="36">
        <v>1</v>
      </c>
      <c r="J16" s="36">
        <v>2.68</v>
      </c>
      <c r="K16" s="36">
        <v>31.9</v>
      </c>
      <c r="L16" s="42">
        <v>1000</v>
      </c>
      <c r="M16" s="43">
        <v>9.9999999999999995E-7</v>
      </c>
      <c r="N16" s="36">
        <f t="shared" si="1"/>
        <v>1.641</v>
      </c>
      <c r="O16" s="38">
        <f t="shared" si="2"/>
        <v>2.8649999999999998E-2</v>
      </c>
      <c r="P16" s="38">
        <f t="shared" si="3"/>
        <v>2.8649999999999998E-2</v>
      </c>
      <c r="Q16" s="36">
        <f t="shared" si="4"/>
        <v>1.8032967032967033</v>
      </c>
      <c r="R16" s="36">
        <f t="shared" si="5"/>
        <v>25.040515500000001</v>
      </c>
      <c r="S16" s="38">
        <f t="shared" si="6"/>
        <v>0.3127147766323024</v>
      </c>
      <c r="T16" s="37">
        <f t="shared" si="7"/>
        <v>5.2923175456469022E-3</v>
      </c>
      <c r="U16" s="42">
        <f t="shared" si="8"/>
        <v>563917.5257731959</v>
      </c>
      <c r="V16" s="44">
        <f t="shared" si="9"/>
        <v>9.38491411202467E-9</v>
      </c>
      <c r="W16" s="44">
        <f t="shared" si="10"/>
        <v>7.507931289619736E-8</v>
      </c>
      <c r="X16" s="37">
        <f t="shared" si="11"/>
        <v>1.1315416742348173E-2</v>
      </c>
      <c r="Y16" s="44">
        <f t="shared" si="12"/>
        <v>150712.84360303835</v>
      </c>
      <c r="Z16" s="37">
        <f t="shared" si="13"/>
        <v>7.6054421564702046E-2</v>
      </c>
      <c r="AA16" s="38">
        <f t="shared" si="14"/>
        <v>0.83394557843529804</v>
      </c>
      <c r="AB16" s="36">
        <f t="shared" si="15"/>
        <v>0.41697278921764902</v>
      </c>
      <c r="AC16" s="37">
        <f t="shared" si="16"/>
        <v>7.056757701695191E-3</v>
      </c>
      <c r="AD16" s="41">
        <f t="shared" si="17"/>
        <v>22.947722179083019</v>
      </c>
      <c r="AE16">
        <f t="shared" si="18"/>
        <v>5.7299999999999997E-2</v>
      </c>
      <c r="AF16" s="36">
        <f t="shared" si="19"/>
        <v>11.90412276559897</v>
      </c>
      <c r="AG16" s="36">
        <f>IF(AC16&lt;(1/(Sheet1!BL15^2)),MPM!AF16,Sheet1!BL15)</f>
        <v>11.90412276559897</v>
      </c>
      <c r="AH16" s="38">
        <f>IF(AG16=AF16,AB16,Sheet1!BK15)</f>
        <v>0.41697278921764902</v>
      </c>
      <c r="AI16" t="str">
        <f t="shared" si="20"/>
        <v>ok</v>
      </c>
      <c r="AJ16" s="37">
        <f t="shared" si="21"/>
        <v>7.056757701695191E-3</v>
      </c>
      <c r="AK16" s="41">
        <f t="shared" si="22"/>
        <v>22.947722179083019</v>
      </c>
      <c r="AL16" s="42">
        <f t="shared" si="23"/>
        <v>100</v>
      </c>
    </row>
    <row r="17" spans="2:38">
      <c r="B17" s="36">
        <f t="shared" si="0"/>
        <v>12</v>
      </c>
      <c r="C17" s="36">
        <v>1641</v>
      </c>
      <c r="D17" s="36">
        <v>2</v>
      </c>
      <c r="E17" s="36">
        <v>0.34200000000000003</v>
      </c>
      <c r="F17" s="37">
        <v>1.7690000000000001E-2</v>
      </c>
      <c r="G17" s="36">
        <v>28.65</v>
      </c>
      <c r="H17" s="36">
        <v>28.65</v>
      </c>
      <c r="I17" s="36">
        <v>1</v>
      </c>
      <c r="J17" s="36">
        <v>2.68</v>
      </c>
      <c r="K17" s="36">
        <v>8373.7999999999993</v>
      </c>
      <c r="L17" s="42">
        <v>1000</v>
      </c>
      <c r="M17" s="43">
        <v>9.9999999999999995E-7</v>
      </c>
      <c r="N17" s="36">
        <f t="shared" si="1"/>
        <v>1.641</v>
      </c>
      <c r="O17" s="38">
        <f t="shared" si="2"/>
        <v>2.8649999999999998E-2</v>
      </c>
      <c r="P17" s="38">
        <f t="shared" si="3"/>
        <v>2.8649999999999998E-2</v>
      </c>
      <c r="Q17" s="36">
        <f t="shared" si="4"/>
        <v>2.3991228070175437</v>
      </c>
      <c r="R17" s="36">
        <f t="shared" si="5"/>
        <v>59.350303800000013</v>
      </c>
      <c r="S17" s="38">
        <f t="shared" si="6"/>
        <v>0.2548435171385991</v>
      </c>
      <c r="T17" s="37">
        <f t="shared" si="7"/>
        <v>7.6836128086813166E-3</v>
      </c>
      <c r="U17" s="42">
        <f t="shared" si="8"/>
        <v>611400.8941877794</v>
      </c>
      <c r="V17" s="44">
        <f t="shared" si="9"/>
        <v>1.2567225337294732E-8</v>
      </c>
      <c r="W17" s="44">
        <f t="shared" si="10"/>
        <v>1.0053780269835785E-7</v>
      </c>
      <c r="X17" s="37">
        <f t="shared" si="11"/>
        <v>1.1995887203078799E-2</v>
      </c>
      <c r="Y17" s="44">
        <f t="shared" si="12"/>
        <v>119317.18101170253</v>
      </c>
      <c r="Z17" s="37">
        <f t="shared" si="13"/>
        <v>3.4017830005734981E-2</v>
      </c>
      <c r="AA17" s="38">
        <f t="shared" si="14"/>
        <v>0.64998216999426506</v>
      </c>
      <c r="AB17" s="36">
        <f t="shared" si="15"/>
        <v>0.32499108499713253</v>
      </c>
      <c r="AC17" s="37">
        <f t="shared" si="16"/>
        <v>9.7985842113187081E-3</v>
      </c>
      <c r="AD17" s="41">
        <f t="shared" si="17"/>
        <v>56.39859540020889</v>
      </c>
      <c r="AE17">
        <f t="shared" si="18"/>
        <v>5.7299999999999997E-2</v>
      </c>
      <c r="AF17" s="36">
        <f t="shared" si="19"/>
        <v>10.102255199357518</v>
      </c>
      <c r="AG17" s="36">
        <f>IF(AC17&lt;(1/(Sheet1!BL16^2)),MPM!AF17,Sheet1!BL16)</f>
        <v>10.633664434646157</v>
      </c>
      <c r="AH17" s="38">
        <f>IF(AG17=AF17,AB17,Sheet1!BK16)</f>
        <v>0.29332036447355236</v>
      </c>
      <c r="AI17" t="str">
        <f t="shared" si="20"/>
        <v>ok</v>
      </c>
      <c r="AJ17" s="37">
        <f t="shared" si="21"/>
        <v>8.8437019498595493E-3</v>
      </c>
      <c r="AK17" s="41">
        <f t="shared" si="22"/>
        <v>50.902493396343594</v>
      </c>
      <c r="AL17" s="42">
        <f t="shared" si="23"/>
        <v>90.254895596486904</v>
      </c>
    </row>
    <row r="18" spans="2:38">
      <c r="B18" s="36">
        <f t="shared" si="0"/>
        <v>13</v>
      </c>
      <c r="C18" s="36">
        <v>3271</v>
      </c>
      <c r="D18" s="36">
        <v>2</v>
      </c>
      <c r="E18" s="36">
        <v>0.59699999999999998</v>
      </c>
      <c r="F18" s="37">
        <v>1.2189999999999999E-2</v>
      </c>
      <c r="G18" s="36">
        <v>28.65</v>
      </c>
      <c r="H18" s="36">
        <v>28.65</v>
      </c>
      <c r="I18" s="36">
        <v>1</v>
      </c>
      <c r="J18" s="36">
        <v>2.68</v>
      </c>
      <c r="K18" s="36">
        <v>8469.5</v>
      </c>
      <c r="L18" s="42">
        <v>1000</v>
      </c>
      <c r="M18" s="43">
        <v>9.9999999999999995E-7</v>
      </c>
      <c r="N18" s="36">
        <f t="shared" si="1"/>
        <v>3.2709999999999999</v>
      </c>
      <c r="O18" s="38">
        <f t="shared" si="2"/>
        <v>2.8649999999999998E-2</v>
      </c>
      <c r="P18" s="38">
        <f t="shared" si="3"/>
        <v>2.8649999999999998E-2</v>
      </c>
      <c r="Q18" s="36">
        <f t="shared" si="4"/>
        <v>2.7395309882747068</v>
      </c>
      <c r="R18" s="36">
        <f t="shared" si="5"/>
        <v>71.391588299999995</v>
      </c>
      <c r="S18" s="38">
        <f t="shared" si="6"/>
        <v>0.37382592360676264</v>
      </c>
      <c r="T18" s="37">
        <f t="shared" si="7"/>
        <v>5.956480074463236E-3</v>
      </c>
      <c r="U18" s="42">
        <f t="shared" si="8"/>
        <v>1024107.7019411395</v>
      </c>
      <c r="V18" s="44">
        <f t="shared" si="9"/>
        <v>5.8162633316525767E-9</v>
      </c>
      <c r="W18" s="44">
        <f t="shared" si="10"/>
        <v>4.6530106653220613E-8</v>
      </c>
      <c r="X18" s="37">
        <f t="shared" si="11"/>
        <v>1.0282845372720787E-2</v>
      </c>
      <c r="Y18" s="44">
        <f t="shared" si="12"/>
        <v>220993.37638223646</v>
      </c>
      <c r="Z18" s="37">
        <f t="shared" si="13"/>
        <v>9.6317980168775921E-2</v>
      </c>
      <c r="AA18" s="38">
        <f t="shared" si="14"/>
        <v>1.097682019831224</v>
      </c>
      <c r="AB18" s="36">
        <f t="shared" si="15"/>
        <v>0.54884100991561202</v>
      </c>
      <c r="AC18" s="37">
        <f t="shared" si="16"/>
        <v>8.7451413429784994E-3</v>
      </c>
      <c r="AD18" s="41">
        <f t="shared" si="17"/>
        <v>65.632548445647558</v>
      </c>
      <c r="AE18">
        <f t="shared" si="18"/>
        <v>5.7299999999999997E-2</v>
      </c>
      <c r="AF18" s="36">
        <f t="shared" si="19"/>
        <v>10.693418983334153</v>
      </c>
      <c r="AG18" s="36">
        <f>IF(AC18&lt;(1/(Sheet1!BL17^2)),MPM!AF18,Sheet1!BL17)</f>
        <v>11.516072799304132</v>
      </c>
      <c r="AH18" s="38">
        <f>IF(AG18=AF18,AB18,Sheet1!BK17)</f>
        <v>0.47322852885762978</v>
      </c>
      <c r="AI18" t="str">
        <f t="shared" si="20"/>
        <v>ok</v>
      </c>
      <c r="AJ18" s="37">
        <f t="shared" si="21"/>
        <v>7.540344648792714E-3</v>
      </c>
      <c r="AK18" s="41">
        <f t="shared" si="22"/>
        <v>56.590513068850221</v>
      </c>
      <c r="AL18" s="42">
        <f t="shared" si="23"/>
        <v>86.223245034762996</v>
      </c>
    </row>
    <row r="19" spans="2:38">
      <c r="B19" s="36">
        <f t="shared" si="0"/>
        <v>14</v>
      </c>
      <c r="C19" s="36">
        <v>3271</v>
      </c>
      <c r="D19" s="36">
        <v>2</v>
      </c>
      <c r="E19" s="36">
        <v>0.65300000000000002</v>
      </c>
      <c r="F19" s="37">
        <v>8.4799999999999997E-3</v>
      </c>
      <c r="G19" s="36">
        <v>28.65</v>
      </c>
      <c r="H19" s="36">
        <v>28.65</v>
      </c>
      <c r="I19" s="36">
        <v>1</v>
      </c>
      <c r="J19" s="36">
        <v>2.68</v>
      </c>
      <c r="K19" s="36">
        <v>3844</v>
      </c>
      <c r="L19" s="42">
        <v>1000</v>
      </c>
      <c r="M19" s="43">
        <v>9.9999999999999995E-7</v>
      </c>
      <c r="N19" s="36">
        <f t="shared" si="1"/>
        <v>3.2709999999999999</v>
      </c>
      <c r="O19" s="38">
        <f t="shared" si="2"/>
        <v>2.8649999999999998E-2</v>
      </c>
      <c r="P19" s="38">
        <f t="shared" si="3"/>
        <v>2.8649999999999998E-2</v>
      </c>
      <c r="Q19" s="36">
        <f t="shared" si="4"/>
        <v>2.5045941807044407</v>
      </c>
      <c r="R19" s="36">
        <f t="shared" si="5"/>
        <v>54.322286400000003</v>
      </c>
      <c r="S19" s="38">
        <f t="shared" si="6"/>
        <v>0.39503932244404116</v>
      </c>
      <c r="T19" s="37">
        <f t="shared" si="7"/>
        <v>5.2387835237870288E-3</v>
      </c>
      <c r="U19" s="42">
        <f t="shared" si="8"/>
        <v>989413.18814277078</v>
      </c>
      <c r="V19" s="44">
        <f t="shared" si="9"/>
        <v>5.2948389879669569E-9</v>
      </c>
      <c r="W19" s="44">
        <f t="shared" si="10"/>
        <v>4.2358711903735655E-8</v>
      </c>
      <c r="X19" s="37">
        <f t="shared" si="11"/>
        <v>1.0091484200684644E-2</v>
      </c>
      <c r="Y19" s="44">
        <f t="shared" si="12"/>
        <v>238238.69393428526</v>
      </c>
      <c r="Z19" s="37">
        <f t="shared" si="13"/>
        <v>0.12422760408660917</v>
      </c>
      <c r="AA19" s="38">
        <f t="shared" si="14"/>
        <v>1.1817723959133908</v>
      </c>
      <c r="AB19" s="36">
        <f t="shared" si="15"/>
        <v>0.59088619795669539</v>
      </c>
      <c r="AC19" s="37">
        <f t="shared" si="16"/>
        <v>7.8359917669390752E-3</v>
      </c>
      <c r="AD19" s="41">
        <f t="shared" si="17"/>
        <v>49.15511374457995</v>
      </c>
      <c r="AE19">
        <f t="shared" si="18"/>
        <v>5.7299999999999997E-2</v>
      </c>
      <c r="AF19" s="36">
        <f t="shared" si="19"/>
        <v>11.296736907694836</v>
      </c>
      <c r="AG19" s="36">
        <f>IF(AC19&lt;(1/(Sheet1!BL18^2)),MPM!AF19,Sheet1!BL18)</f>
        <v>11.783401363092546</v>
      </c>
      <c r="AH19" s="38">
        <f>IF(AG19=AF19,AB19,Sheet1!BK18)</f>
        <v>0.54308590721924199</v>
      </c>
      <c r="AI19" t="str">
        <f t="shared" si="20"/>
        <v>ok</v>
      </c>
      <c r="AJ19" s="37">
        <f t="shared" si="21"/>
        <v>7.2020918956804403E-3</v>
      </c>
      <c r="AK19" s="41">
        <f t="shared" si="22"/>
        <v>45.178664917022751</v>
      </c>
      <c r="AL19" s="42">
        <f t="shared" si="23"/>
        <v>91.910406619706663</v>
      </c>
    </row>
    <row r="20" spans="2:38">
      <c r="B20" s="36">
        <f t="shared" si="0"/>
        <v>15</v>
      </c>
      <c r="C20" s="36">
        <v>3271</v>
      </c>
      <c r="D20" s="36">
        <v>2</v>
      </c>
      <c r="E20" s="36">
        <v>0.69399999999999995</v>
      </c>
      <c r="F20" s="37">
        <v>7.0699999999999999E-3</v>
      </c>
      <c r="G20" s="36">
        <v>28.65</v>
      </c>
      <c r="H20" s="36">
        <v>28.65</v>
      </c>
      <c r="I20" s="36">
        <v>1</v>
      </c>
      <c r="J20" s="36">
        <v>2.68</v>
      </c>
      <c r="K20" s="36">
        <v>1915.6</v>
      </c>
      <c r="L20" s="42">
        <v>1000</v>
      </c>
      <c r="M20" s="43">
        <v>9.9999999999999995E-7</v>
      </c>
      <c r="N20" s="36">
        <f t="shared" si="1"/>
        <v>3.2709999999999999</v>
      </c>
      <c r="O20" s="38">
        <f t="shared" si="2"/>
        <v>2.8649999999999998E-2</v>
      </c>
      <c r="P20" s="38">
        <f t="shared" si="3"/>
        <v>2.8649999999999998E-2</v>
      </c>
      <c r="Q20" s="36">
        <f t="shared" si="4"/>
        <v>2.3566282420749283</v>
      </c>
      <c r="R20" s="36">
        <f t="shared" si="5"/>
        <v>48.133549799999997</v>
      </c>
      <c r="S20" s="38">
        <f t="shared" si="6"/>
        <v>0.409681227863046</v>
      </c>
      <c r="T20" s="37">
        <f t="shared" si="7"/>
        <v>5.1162567381712451E-3</v>
      </c>
      <c r="U20" s="42">
        <f t="shared" si="8"/>
        <v>965466.35182998818</v>
      </c>
      <c r="V20" s="44">
        <f t="shared" si="9"/>
        <v>5.2992595013525462E-9</v>
      </c>
      <c r="W20" s="44">
        <f t="shared" si="10"/>
        <v>4.2394076010820369E-8</v>
      </c>
      <c r="X20" s="37">
        <f t="shared" si="11"/>
        <v>1.0093168657992766E-2</v>
      </c>
      <c r="Y20" s="44">
        <f t="shared" si="12"/>
        <v>238079.69432844003</v>
      </c>
      <c r="Z20" s="37">
        <f t="shared" si="13"/>
        <v>0.14022348108538368</v>
      </c>
      <c r="AA20" s="38">
        <f t="shared" si="14"/>
        <v>1.2477765189146162</v>
      </c>
      <c r="AB20" s="36">
        <f t="shared" si="15"/>
        <v>0.62388825945730808</v>
      </c>
      <c r="AC20" s="37">
        <f t="shared" si="16"/>
        <v>7.7913565333812161E-3</v>
      </c>
      <c r="AD20" s="41">
        <f t="shared" si="17"/>
        <v>43.270830844702672</v>
      </c>
      <c r="AE20">
        <f t="shared" si="18"/>
        <v>5.7299999999999997E-2</v>
      </c>
      <c r="AF20" s="36">
        <f t="shared" si="19"/>
        <v>11.329049149202234</v>
      </c>
      <c r="AG20" s="36">
        <f>IF(AC20&lt;(1/(Sheet1!BL19^2)),MPM!AF20,Sheet1!BL19)</f>
        <v>11.87219860895336</v>
      </c>
      <c r="AH20" s="38">
        <f>IF(AG20=AF20,AB20,Sheet1!BK19)</f>
        <v>0.56810868457853136</v>
      </c>
      <c r="AI20" t="str">
        <f t="shared" si="20"/>
        <v>ok</v>
      </c>
      <c r="AJ20" s="37">
        <f t="shared" si="21"/>
        <v>7.0947597490507181E-3</v>
      </c>
      <c r="AK20" s="41">
        <f t="shared" si="22"/>
        <v>39.40214360229664</v>
      </c>
      <c r="AL20" s="42">
        <f t="shared" si="23"/>
        <v>91.059364549087121</v>
      </c>
    </row>
    <row r="21" spans="2:38">
      <c r="B21" s="36">
        <f t="shared" si="0"/>
        <v>16</v>
      </c>
      <c r="C21" s="36">
        <v>3271</v>
      </c>
      <c r="D21" s="36">
        <v>2</v>
      </c>
      <c r="E21" s="36">
        <v>0.72199999999999998</v>
      </c>
      <c r="F21" s="37">
        <v>5.9199999999999999E-3</v>
      </c>
      <c r="G21" s="36">
        <v>28.65</v>
      </c>
      <c r="H21" s="36">
        <v>28.65</v>
      </c>
      <c r="I21" s="36">
        <v>1</v>
      </c>
      <c r="J21" s="36">
        <v>2.68</v>
      </c>
      <c r="K21" s="36">
        <v>965</v>
      </c>
      <c r="L21" s="42">
        <v>1000</v>
      </c>
      <c r="M21" s="43">
        <v>9.9999999999999995E-7</v>
      </c>
      <c r="N21" s="36">
        <f t="shared" si="1"/>
        <v>3.2709999999999999</v>
      </c>
      <c r="O21" s="38">
        <f t="shared" si="2"/>
        <v>2.8649999999999998E-2</v>
      </c>
      <c r="P21" s="38">
        <f t="shared" si="3"/>
        <v>2.8649999999999998E-2</v>
      </c>
      <c r="Q21" s="36">
        <f t="shared" si="4"/>
        <v>2.2652354570637119</v>
      </c>
      <c r="R21" s="36">
        <f t="shared" si="5"/>
        <v>41.930294400000001</v>
      </c>
      <c r="S21" s="38">
        <f t="shared" si="6"/>
        <v>0.41927990708478513</v>
      </c>
      <c r="T21" s="37">
        <f t="shared" si="7"/>
        <v>4.7453479548063542E-3</v>
      </c>
      <c r="U21" s="42">
        <f t="shared" si="8"/>
        <v>949767.711962834</v>
      </c>
      <c r="V21" s="44">
        <f t="shared" si="9"/>
        <v>4.9963247802974874E-9</v>
      </c>
      <c r="W21" s="44">
        <f t="shared" si="10"/>
        <v>3.9970598242379899E-8</v>
      </c>
      <c r="X21" s="37">
        <f t="shared" si="11"/>
        <v>9.9750395266432739E-3</v>
      </c>
      <c r="Y21" s="44">
        <f t="shared" si="12"/>
        <v>249559.42530945086</v>
      </c>
      <c r="Z21" s="37">
        <f t="shared" si="13"/>
        <v>0.15908448237604619</v>
      </c>
      <c r="AA21" s="38">
        <f t="shared" si="14"/>
        <v>1.2849155176239537</v>
      </c>
      <c r="AB21" s="36">
        <f t="shared" si="15"/>
        <v>0.64245775881197686</v>
      </c>
      <c r="AC21" s="37">
        <f t="shared" si="16"/>
        <v>7.271241860896986E-3</v>
      </c>
      <c r="AD21" s="41">
        <f t="shared" si="17"/>
        <v>37.310862834557312</v>
      </c>
      <c r="AE21">
        <f t="shared" si="18"/>
        <v>5.7299999999999997E-2</v>
      </c>
      <c r="AF21" s="36">
        <f t="shared" si="19"/>
        <v>11.727237070362815</v>
      </c>
      <c r="AG21" s="36">
        <f>IF(AC21&lt;(1/(Sheet1!BL20^2)),MPM!AF21,Sheet1!BL20)</f>
        <v>12.019154971379313</v>
      </c>
      <c r="AH21" s="38">
        <f>IF(AG21=AF21,AB21,Sheet1!BK20)</f>
        <v>0.61162906888807278</v>
      </c>
      <c r="AI21" t="str">
        <f t="shared" si="20"/>
        <v>ok</v>
      </c>
      <c r="AJ21" s="37">
        <f t="shared" si="21"/>
        <v>6.9223273093948733E-3</v>
      </c>
      <c r="AK21" s="41">
        <f t="shared" si="22"/>
        <v>35.520480500820661</v>
      </c>
      <c r="AL21" s="42">
        <f t="shared" si="23"/>
        <v>95.20144484013808</v>
      </c>
    </row>
    <row r="22" spans="2:38">
      <c r="B22" s="36">
        <f t="shared" si="0"/>
        <v>17</v>
      </c>
      <c r="C22" s="36">
        <v>3271</v>
      </c>
      <c r="D22" s="36">
        <v>2</v>
      </c>
      <c r="E22" s="36">
        <v>0.72899999999999998</v>
      </c>
      <c r="F22" s="37">
        <v>5.7800000000000004E-3</v>
      </c>
      <c r="G22" s="36">
        <v>28.65</v>
      </c>
      <c r="H22" s="36">
        <v>28.65</v>
      </c>
      <c r="I22" s="36">
        <v>1</v>
      </c>
      <c r="J22" s="36">
        <v>2.68</v>
      </c>
      <c r="K22" s="36">
        <v>963.4</v>
      </c>
      <c r="L22" s="42">
        <v>1000</v>
      </c>
      <c r="M22" s="43">
        <v>9.9999999999999995E-7</v>
      </c>
      <c r="N22" s="36">
        <f t="shared" si="1"/>
        <v>3.2709999999999999</v>
      </c>
      <c r="O22" s="38">
        <f t="shared" si="2"/>
        <v>2.8649999999999998E-2</v>
      </c>
      <c r="P22" s="38">
        <f t="shared" si="3"/>
        <v>2.8649999999999998E-2</v>
      </c>
      <c r="Q22" s="36">
        <f t="shared" si="4"/>
        <v>2.2434842249657065</v>
      </c>
      <c r="R22" s="36">
        <f t="shared" si="5"/>
        <v>41.3356122</v>
      </c>
      <c r="S22" s="38">
        <f t="shared" si="6"/>
        <v>0.42163100057836894</v>
      </c>
      <c r="T22" s="37">
        <f t="shared" si="7"/>
        <v>4.749887685681734E-3</v>
      </c>
      <c r="U22" s="42">
        <f t="shared" si="8"/>
        <v>945922.49855407747</v>
      </c>
      <c r="V22" s="44">
        <f t="shared" si="9"/>
        <v>5.0214343066607877E-9</v>
      </c>
      <c r="W22" s="44">
        <f t="shared" si="10"/>
        <v>4.0171474453286302E-8</v>
      </c>
      <c r="X22" s="37">
        <f t="shared" si="11"/>
        <v>9.9850455426696398E-3</v>
      </c>
      <c r="Y22" s="44">
        <f t="shared" si="12"/>
        <v>248560.59376861621</v>
      </c>
      <c r="Z22" s="37">
        <f t="shared" si="13"/>
        <v>0.16153505412777394</v>
      </c>
      <c r="AA22" s="38">
        <f t="shared" si="14"/>
        <v>1.2964649458722259</v>
      </c>
      <c r="AB22" s="36">
        <f t="shared" si="15"/>
        <v>0.64823247293611297</v>
      </c>
      <c r="AC22" s="37">
        <f t="shared" si="16"/>
        <v>7.3026685334679469E-3</v>
      </c>
      <c r="AD22" s="41">
        <f t="shared" si="17"/>
        <v>36.755948033928895</v>
      </c>
      <c r="AE22">
        <f t="shared" si="18"/>
        <v>5.7299999999999997E-2</v>
      </c>
      <c r="AF22" s="36">
        <f t="shared" si="19"/>
        <v>11.701976071563614</v>
      </c>
      <c r="AG22" s="36">
        <f>IF(AC22&lt;(1/(Sheet1!BL21^2)),MPM!AF22,Sheet1!BL21)</f>
        <v>12.026121458814568</v>
      </c>
      <c r="AH22" s="38">
        <f>IF(AG22=AF22,AB22,Sheet1!BK21)</f>
        <v>0.6137592112605661</v>
      </c>
      <c r="AI22" t="str">
        <f t="shared" si="20"/>
        <v>ok</v>
      </c>
      <c r="AJ22" s="37">
        <f t="shared" si="21"/>
        <v>6.9143097055964923E-3</v>
      </c>
      <c r="AK22" s="41">
        <f t="shared" si="22"/>
        <v>34.801252044327143</v>
      </c>
      <c r="AL22" s="42">
        <f t="shared" si="23"/>
        <v>94.681960079502232</v>
      </c>
    </row>
    <row r="23" spans="2:38">
      <c r="B23" s="36">
        <f t="shared" si="0"/>
        <v>18</v>
      </c>
      <c r="C23" s="36">
        <v>3271</v>
      </c>
      <c r="D23" s="36">
        <v>2</v>
      </c>
      <c r="E23" s="36">
        <v>0.83499999999999996</v>
      </c>
      <c r="F23" s="37">
        <v>3.5200000000000001E-3</v>
      </c>
      <c r="G23" s="36">
        <v>28.65</v>
      </c>
      <c r="H23" s="36">
        <v>28.65</v>
      </c>
      <c r="I23" s="36">
        <v>1</v>
      </c>
      <c r="J23" s="36">
        <v>2.68</v>
      </c>
      <c r="K23" s="36">
        <v>32.9</v>
      </c>
      <c r="L23" s="42">
        <v>1000</v>
      </c>
      <c r="M23" s="43">
        <v>9.9999999999999995E-7</v>
      </c>
      <c r="N23" s="36">
        <f t="shared" si="1"/>
        <v>3.2709999999999999</v>
      </c>
      <c r="O23" s="38">
        <f t="shared" si="2"/>
        <v>2.8649999999999998E-2</v>
      </c>
      <c r="P23" s="38">
        <f t="shared" si="3"/>
        <v>2.8649999999999998E-2</v>
      </c>
      <c r="Q23" s="36">
        <f t="shared" si="4"/>
        <v>1.9586826347305391</v>
      </c>
      <c r="R23" s="36">
        <f t="shared" si="5"/>
        <v>28.833551999999997</v>
      </c>
      <c r="S23" s="38">
        <f t="shared" si="6"/>
        <v>0.45504087193460491</v>
      </c>
      <c r="T23" s="37">
        <f t="shared" si="7"/>
        <v>4.0957546387510261E-3</v>
      </c>
      <c r="U23" s="42">
        <f t="shared" si="8"/>
        <v>891280.65395095386</v>
      </c>
      <c r="V23" s="44">
        <f t="shared" si="9"/>
        <v>4.5953590719095877E-9</v>
      </c>
      <c r="W23" s="44">
        <f t="shared" si="10"/>
        <v>3.6762872575276702E-8</v>
      </c>
      <c r="X23" s="37">
        <f t="shared" si="11"/>
        <v>9.8095341486722793E-3</v>
      </c>
      <c r="Y23" s="44">
        <f t="shared" si="12"/>
        <v>266832.63470736676</v>
      </c>
      <c r="Z23" s="37">
        <f t="shared" si="13"/>
        <v>0.22750520786773926</v>
      </c>
      <c r="AA23" s="38">
        <f t="shared" si="14"/>
        <v>1.4424947921322606</v>
      </c>
      <c r="AB23" s="36">
        <f t="shared" si="15"/>
        <v>0.72124739606613031</v>
      </c>
      <c r="AC23" s="37">
        <f t="shared" si="16"/>
        <v>6.4918396353404635E-3</v>
      </c>
      <c r="AD23" s="41">
        <f t="shared" si="17"/>
        <v>24.905538083038763</v>
      </c>
      <c r="AE23">
        <f t="shared" si="18"/>
        <v>5.7299999999999997E-2</v>
      </c>
      <c r="AF23" s="36">
        <f t="shared" si="19"/>
        <v>12.41126671046837</v>
      </c>
      <c r="AG23" s="36">
        <f>IF(AC23&lt;(1/(Sheet1!BL22^2)),MPM!AF23,Sheet1!BL22)</f>
        <v>12.41126671046837</v>
      </c>
      <c r="AH23" s="38">
        <f>IF(AG23=AF23,AB23,Sheet1!BK22)</f>
        <v>0.72124739606613031</v>
      </c>
      <c r="AI23" t="str">
        <f t="shared" si="20"/>
        <v>ok</v>
      </c>
      <c r="AJ23" s="37">
        <f t="shared" si="21"/>
        <v>6.4918396353404626E-3</v>
      </c>
      <c r="AK23" s="41">
        <f t="shared" si="22"/>
        <v>24.905538083038763</v>
      </c>
      <c r="AL23" s="42">
        <f t="shared" si="23"/>
        <v>100</v>
      </c>
    </row>
    <row r="24" spans="2:38">
      <c r="B24" s="36">
        <f t="shared" si="0"/>
        <v>19</v>
      </c>
      <c r="C24" s="36">
        <v>3271</v>
      </c>
      <c r="D24" s="36">
        <v>2</v>
      </c>
      <c r="E24" s="36">
        <v>0.85299999999999998</v>
      </c>
      <c r="F24" s="37">
        <v>3.4500000000000004E-3</v>
      </c>
      <c r="G24" s="36">
        <v>28.65</v>
      </c>
      <c r="H24" s="36">
        <v>28.65</v>
      </c>
      <c r="I24" s="36">
        <v>1</v>
      </c>
      <c r="J24" s="36">
        <v>2.68</v>
      </c>
      <c r="K24" s="36">
        <v>26.2</v>
      </c>
      <c r="L24" s="42">
        <v>1000</v>
      </c>
      <c r="M24" s="43">
        <v>9.9999999999999995E-7</v>
      </c>
      <c r="N24" s="36">
        <f t="shared" si="1"/>
        <v>3.2709999999999999</v>
      </c>
      <c r="O24" s="38">
        <f t="shared" si="2"/>
        <v>2.8649999999999998E-2</v>
      </c>
      <c r="P24" s="38">
        <f t="shared" si="3"/>
        <v>2.8649999999999998E-2</v>
      </c>
      <c r="Q24" s="36">
        <f t="shared" si="4"/>
        <v>1.9173505275498242</v>
      </c>
      <c r="R24" s="36">
        <f t="shared" si="5"/>
        <v>28.869358500000004</v>
      </c>
      <c r="S24" s="38">
        <f t="shared" si="6"/>
        <v>0.46033459255261738</v>
      </c>
      <c r="T24" s="37">
        <f t="shared" si="7"/>
        <v>4.2379778226346821E-3</v>
      </c>
      <c r="U24" s="42">
        <f t="shared" si="8"/>
        <v>882622.77388019429</v>
      </c>
      <c r="V24" s="44">
        <f t="shared" si="9"/>
        <v>4.8015731613219604E-9</v>
      </c>
      <c r="W24" s="44">
        <f t="shared" si="10"/>
        <v>3.8412585290575683E-8</v>
      </c>
      <c r="X24" s="37">
        <f t="shared" si="11"/>
        <v>9.8960345552835012E-3</v>
      </c>
      <c r="Y24" s="44">
        <f t="shared" si="12"/>
        <v>257624.798758636</v>
      </c>
      <c r="Z24" s="37">
        <f t="shared" si="13"/>
        <v>0.22922668566184332</v>
      </c>
      <c r="AA24" s="38">
        <f t="shared" si="14"/>
        <v>1.4767733143381567</v>
      </c>
      <c r="AB24" s="36">
        <f t="shared" si="15"/>
        <v>0.73838665716907836</v>
      </c>
      <c r="AC24" s="37">
        <f t="shared" si="16"/>
        <v>6.7978082208849638E-3</v>
      </c>
      <c r="AD24" s="41">
        <f t="shared" si="17"/>
        <v>24.990327218558882</v>
      </c>
      <c r="AE24">
        <f t="shared" si="18"/>
        <v>5.7299999999999997E-2</v>
      </c>
      <c r="AF24" s="36">
        <f t="shared" si="19"/>
        <v>12.128736079234139</v>
      </c>
      <c r="AG24" s="36">
        <f>IF(AC24&lt;(1/(Sheet1!BL23^2)),MPM!AF24,Sheet1!BL23)</f>
        <v>12.333428002622481</v>
      </c>
      <c r="AH24" s="38">
        <f>IF(AG24=AF24,AB24,Sheet1!BK23)</f>
        <v>0.71408075105485991</v>
      </c>
      <c r="AI24" t="str">
        <f t="shared" si="20"/>
        <v>ok</v>
      </c>
      <c r="AJ24" s="37">
        <f t="shared" si="21"/>
        <v>6.574040785683884E-3</v>
      </c>
      <c r="AK24" s="41">
        <f t="shared" si="22"/>
        <v>24.167705978766879</v>
      </c>
      <c r="AL24" s="42">
        <f t="shared" si="23"/>
        <v>96.708241422380866</v>
      </c>
    </row>
    <row r="25" spans="2:38">
      <c r="B25" s="36">
        <f t="shared" si="0"/>
        <v>20</v>
      </c>
      <c r="C25" s="36">
        <v>3271</v>
      </c>
      <c r="D25" s="36">
        <v>2</v>
      </c>
      <c r="E25" s="36">
        <v>0.6</v>
      </c>
      <c r="F25" s="37">
        <v>1.2410000000000001E-2</v>
      </c>
      <c r="G25" s="36">
        <v>28.65</v>
      </c>
      <c r="H25" s="36">
        <v>28.65</v>
      </c>
      <c r="I25" s="36">
        <v>1</v>
      </c>
      <c r="J25" s="36">
        <v>2.68</v>
      </c>
      <c r="K25" s="36">
        <v>8469.5</v>
      </c>
      <c r="L25" s="42">
        <v>1000</v>
      </c>
      <c r="M25" s="43">
        <v>9.9999999999999995E-7</v>
      </c>
      <c r="N25" s="36">
        <f t="shared" si="1"/>
        <v>3.2709999999999999</v>
      </c>
      <c r="O25" s="38">
        <f t="shared" si="2"/>
        <v>2.8649999999999998E-2</v>
      </c>
      <c r="P25" s="38">
        <f t="shared" si="3"/>
        <v>2.8649999999999998E-2</v>
      </c>
      <c r="Q25" s="36">
        <f t="shared" si="4"/>
        <v>2.7258333333333336</v>
      </c>
      <c r="R25" s="36">
        <f t="shared" si="5"/>
        <v>73.045259999999999</v>
      </c>
      <c r="S25" s="38">
        <f t="shared" si="6"/>
        <v>0.37499999999999994</v>
      </c>
      <c r="T25" s="37">
        <f t="shared" si="7"/>
        <v>6.1443148291578957E-3</v>
      </c>
      <c r="U25" s="42">
        <f t="shared" si="8"/>
        <v>1022187.5000000001</v>
      </c>
      <c r="V25" s="44">
        <f t="shared" si="9"/>
        <v>6.0109469438414134E-9</v>
      </c>
      <c r="W25" s="44">
        <f t="shared" si="10"/>
        <v>4.8087575550731307E-8</v>
      </c>
      <c r="X25" s="37">
        <f t="shared" si="11"/>
        <v>1.0350779855154507E-2</v>
      </c>
      <c r="Y25" s="44">
        <f t="shared" si="12"/>
        <v>215248.52805761996</v>
      </c>
      <c r="Z25" s="37">
        <f t="shared" si="13"/>
        <v>9.4759364232030796E-2</v>
      </c>
      <c r="AA25" s="38">
        <f t="shared" si="14"/>
        <v>1.1052406357679692</v>
      </c>
      <c r="AB25" s="36">
        <f t="shared" si="15"/>
        <v>0.55262031788398458</v>
      </c>
      <c r="AC25" s="37">
        <f t="shared" si="16"/>
        <v>9.0545952375160454E-3</v>
      </c>
      <c r="AD25" s="41">
        <f t="shared" si="17"/>
        <v>67.277158001863839</v>
      </c>
      <c r="AE25">
        <f t="shared" si="18"/>
        <v>5.7299999999999997E-2</v>
      </c>
      <c r="AF25" s="36">
        <f t="shared" si="19"/>
        <v>10.509098907594648</v>
      </c>
      <c r="AG25" s="36">
        <f>IF(AC25&lt;(1/(Sheet1!BL24^2)),MPM!AF25,Sheet1!BL24)</f>
        <v>11.475963607020935</v>
      </c>
      <c r="AH25" s="38">
        <f>IF(AG25=AF25,AB25,Sheet1!BK24)</f>
        <v>0.46342502565948068</v>
      </c>
      <c r="AI25" t="str">
        <f t="shared" si="20"/>
        <v>ok</v>
      </c>
      <c r="AJ25" s="37">
        <f t="shared" si="21"/>
        <v>7.5931446857886928E-3</v>
      </c>
      <c r="AK25" s="41">
        <f t="shared" si="22"/>
        <v>56.418335812541443</v>
      </c>
      <c r="AL25" s="42">
        <f t="shared" si="23"/>
        <v>83.859570600438317</v>
      </c>
    </row>
    <row r="26" spans="2:38">
      <c r="B26" s="36">
        <f t="shared" si="0"/>
        <v>21</v>
      </c>
      <c r="C26" s="36">
        <v>4614</v>
      </c>
      <c r="D26" s="36">
        <v>2</v>
      </c>
      <c r="E26" s="36">
        <v>0.80100000000000005</v>
      </c>
      <c r="F26" s="37">
        <v>1.0869999999999999E-2</v>
      </c>
      <c r="G26" s="36">
        <v>28.65</v>
      </c>
      <c r="H26" s="36">
        <v>28.65</v>
      </c>
      <c r="I26" s="36">
        <v>1</v>
      </c>
      <c r="J26" s="36">
        <v>2.68</v>
      </c>
      <c r="K26" s="36">
        <v>8437.6</v>
      </c>
      <c r="L26" s="42">
        <v>1000</v>
      </c>
      <c r="M26" s="43">
        <v>9.9999999999999995E-7</v>
      </c>
      <c r="N26" s="36">
        <f t="shared" si="1"/>
        <v>4.6139999999999999</v>
      </c>
      <c r="O26" s="38">
        <f t="shared" si="2"/>
        <v>2.8649999999999998E-2</v>
      </c>
      <c r="P26" s="38">
        <f t="shared" si="3"/>
        <v>2.8649999999999998E-2</v>
      </c>
      <c r="Q26" s="36">
        <f t="shared" si="4"/>
        <v>2.8801498127340821</v>
      </c>
      <c r="R26" s="36">
        <f t="shared" si="5"/>
        <v>85.414394700000003</v>
      </c>
      <c r="S26" s="38">
        <f t="shared" si="6"/>
        <v>0.444752915047196</v>
      </c>
      <c r="T26" s="37">
        <f t="shared" si="7"/>
        <v>5.7172501934582981E-3</v>
      </c>
      <c r="U26" s="42">
        <f t="shared" si="8"/>
        <v>1280955.0249861185</v>
      </c>
      <c r="V26" s="44">
        <f t="shared" si="9"/>
        <v>4.4632716074635445E-9</v>
      </c>
      <c r="W26" s="44">
        <f t="shared" si="10"/>
        <v>3.5706172859708356E-8</v>
      </c>
      <c r="X26" s="37">
        <f t="shared" si="11"/>
        <v>9.7524819732589391E-3</v>
      </c>
      <c r="Y26" s="44">
        <f t="shared" si="12"/>
        <v>273131.5397922094</v>
      </c>
      <c r="Z26" s="37">
        <f t="shared" si="13"/>
        <v>0.15192151630881784</v>
      </c>
      <c r="AA26" s="38">
        <f t="shared" si="14"/>
        <v>1.4500784836911822</v>
      </c>
      <c r="AB26" s="36">
        <f t="shared" si="15"/>
        <v>0.7250392418455911</v>
      </c>
      <c r="AC26" s="37">
        <f t="shared" si="16"/>
        <v>9.3203003408458447E-3</v>
      </c>
      <c r="AD26" s="41">
        <f t="shared" si="17"/>
        <v>77.31434204243206</v>
      </c>
      <c r="AE26">
        <f t="shared" si="18"/>
        <v>5.7299999999999997E-2</v>
      </c>
      <c r="AF26" s="36">
        <f t="shared" si="19"/>
        <v>10.358217983233212</v>
      </c>
      <c r="AG26" s="36">
        <f>IF(AC26&lt;(1/(Sheet1!BL25^2)),MPM!AF26,Sheet1!BL25)</f>
        <v>11.82935014862008</v>
      </c>
      <c r="AH26" s="38">
        <f>IF(AG26=AF26,AB26,Sheet1!BK25)</f>
        <v>0.55591684159462851</v>
      </c>
      <c r="AI26" t="str">
        <f t="shared" si="20"/>
        <v>ok</v>
      </c>
      <c r="AJ26" s="37">
        <f t="shared" si="21"/>
        <v>7.1462503387831177E-3</v>
      </c>
      <c r="AK26" s="41">
        <f t="shared" si="22"/>
        <v>59.280025622369827</v>
      </c>
      <c r="AL26" s="42">
        <f t="shared" si="23"/>
        <v>76.674034928520058</v>
      </c>
    </row>
    <row r="27" spans="2:38">
      <c r="B27" s="36">
        <f t="shared" si="0"/>
        <v>22</v>
      </c>
      <c r="C27" s="36">
        <v>4483</v>
      </c>
      <c r="D27" s="36">
        <v>2</v>
      </c>
      <c r="E27" s="36">
        <v>0.78100000000000003</v>
      </c>
      <c r="F27" s="37">
        <v>1.0670000000000001E-2</v>
      </c>
      <c r="G27" s="36">
        <v>28.65</v>
      </c>
      <c r="H27" s="36">
        <v>28.65</v>
      </c>
      <c r="I27" s="36">
        <v>1</v>
      </c>
      <c r="J27" s="36">
        <v>2.68</v>
      </c>
      <c r="K27" s="36">
        <v>8501.4</v>
      </c>
      <c r="L27" s="42">
        <v>1000</v>
      </c>
      <c r="M27" s="43">
        <v>9.9999999999999995E-7</v>
      </c>
      <c r="N27" s="36">
        <f t="shared" si="1"/>
        <v>4.4829999999999997</v>
      </c>
      <c r="O27" s="38">
        <f t="shared" si="2"/>
        <v>2.8649999999999998E-2</v>
      </c>
      <c r="P27" s="38">
        <f t="shared" si="3"/>
        <v>2.8649999999999998E-2</v>
      </c>
      <c r="Q27" s="36">
        <f t="shared" si="4"/>
        <v>2.8700384122919331</v>
      </c>
      <c r="R27" s="36">
        <f t="shared" si="5"/>
        <v>81.749378700000008</v>
      </c>
      <c r="S27" s="38">
        <f t="shared" si="6"/>
        <v>0.43851768669286917</v>
      </c>
      <c r="T27" s="37">
        <f t="shared" si="7"/>
        <v>5.5724364273403637E-3</v>
      </c>
      <c r="U27" s="42">
        <f t="shared" si="8"/>
        <v>1258562.6052779336</v>
      </c>
      <c r="V27" s="44">
        <f t="shared" si="9"/>
        <v>4.4276195748798519E-9</v>
      </c>
      <c r="W27" s="44">
        <f t="shared" si="10"/>
        <v>3.5420956599038816E-8</v>
      </c>
      <c r="X27" s="37">
        <f t="shared" si="11"/>
        <v>9.7368516406388713E-3</v>
      </c>
      <c r="Y27" s="44">
        <f t="shared" si="12"/>
        <v>274889.57316593453</v>
      </c>
      <c r="Z27" s="37">
        <f t="shared" si="13"/>
        <v>0.14960688729678037</v>
      </c>
      <c r="AA27" s="38">
        <f t="shared" si="14"/>
        <v>1.4123931127032197</v>
      </c>
      <c r="AB27" s="36">
        <f t="shared" si="15"/>
        <v>0.70619655635160983</v>
      </c>
      <c r="AC27" s="37">
        <f t="shared" si="16"/>
        <v>8.973949135675818E-3</v>
      </c>
      <c r="AD27" s="41">
        <f t="shared" si="17"/>
        <v>73.919500284025162</v>
      </c>
      <c r="AE27">
        <f t="shared" si="18"/>
        <v>5.7299999999999997E-2</v>
      </c>
      <c r="AF27" s="36">
        <f t="shared" si="19"/>
        <v>10.556214300206586</v>
      </c>
      <c r="AG27" s="36">
        <f>IF(AC27&lt;(1/(Sheet1!BL26^2)),MPM!AF27,Sheet1!BL26)</f>
        <v>11.846421621723863</v>
      </c>
      <c r="AH27" s="38">
        <f>IF(AG27=AF27,AB27,Sheet1!BK26)</f>
        <v>0.56074785514495529</v>
      </c>
      <c r="AI27" t="str">
        <f t="shared" si="20"/>
        <v>ok</v>
      </c>
      <c r="AJ27" s="37">
        <f t="shared" si="21"/>
        <v>7.1256687452054121E-3</v>
      </c>
      <c r="AK27" s="41">
        <f t="shared" si="22"/>
        <v>58.694992012055074</v>
      </c>
      <c r="AL27" s="42">
        <f t="shared" si="23"/>
        <v>79.403935073326949</v>
      </c>
    </row>
    <row r="28" spans="2:38">
      <c r="B28" s="36">
        <f t="shared" si="0"/>
        <v>23</v>
      </c>
      <c r="C28" s="36">
        <v>4578</v>
      </c>
      <c r="D28" s="36">
        <v>2</v>
      </c>
      <c r="E28" s="36">
        <v>0.86099999999999999</v>
      </c>
      <c r="F28" s="37">
        <v>7.3899999999999999E-3</v>
      </c>
      <c r="G28" s="36">
        <v>28.65</v>
      </c>
      <c r="H28" s="36">
        <v>28.65</v>
      </c>
      <c r="I28" s="36">
        <v>1</v>
      </c>
      <c r="J28" s="36">
        <v>2.68</v>
      </c>
      <c r="K28" s="36">
        <v>3818.4</v>
      </c>
      <c r="L28" s="42">
        <v>1000</v>
      </c>
      <c r="M28" s="43">
        <v>9.9999999999999995E-7</v>
      </c>
      <c r="N28" s="36">
        <f t="shared" si="1"/>
        <v>4.5780000000000003</v>
      </c>
      <c r="O28" s="38">
        <f t="shared" si="2"/>
        <v>2.8649999999999998E-2</v>
      </c>
      <c r="P28" s="38">
        <f t="shared" si="3"/>
        <v>2.8649999999999998E-2</v>
      </c>
      <c r="Q28" s="36">
        <f t="shared" si="4"/>
        <v>2.6585365853658538</v>
      </c>
      <c r="R28" s="36">
        <f t="shared" si="5"/>
        <v>62.4189699</v>
      </c>
      <c r="S28" s="38">
        <f t="shared" si="6"/>
        <v>0.46265448683503491</v>
      </c>
      <c r="T28" s="37">
        <f t="shared" si="7"/>
        <v>4.7455323866521393E-3</v>
      </c>
      <c r="U28" s="42">
        <f t="shared" si="8"/>
        <v>1229983.879634605</v>
      </c>
      <c r="V28" s="44">
        <f t="shared" si="9"/>
        <v>3.8582069775271434E-9</v>
      </c>
      <c r="W28" s="44">
        <f t="shared" si="10"/>
        <v>3.0865655820217147E-8</v>
      </c>
      <c r="X28" s="37">
        <f t="shared" si="11"/>
        <v>9.4724342059250202E-3</v>
      </c>
      <c r="Y28" s="44">
        <f t="shared" si="12"/>
        <v>306892.36804489122</v>
      </c>
      <c r="Z28" s="37">
        <f t="shared" si="13"/>
        <v>0.19878178870371935</v>
      </c>
      <c r="AA28" s="38">
        <f t="shared" si="14"/>
        <v>1.5232182112962807</v>
      </c>
      <c r="AB28" s="36">
        <f t="shared" si="15"/>
        <v>0.76160910564814033</v>
      </c>
      <c r="AC28" s="37">
        <f t="shared" si="16"/>
        <v>7.8119650401469506E-3</v>
      </c>
      <c r="AD28" s="41">
        <f t="shared" si="17"/>
        <v>55.213537562157008</v>
      </c>
      <c r="AE28">
        <f t="shared" si="18"/>
        <v>5.7299999999999997E-2</v>
      </c>
      <c r="AF28" s="36">
        <f t="shared" si="19"/>
        <v>11.314095871188325</v>
      </c>
      <c r="AG28" s="36">
        <f>IF(AC28&lt;(1/(Sheet1!BL27^2)),MPM!AF28,Sheet1!BL27)</f>
        <v>12.167907960418747</v>
      </c>
      <c r="AH28" s="38">
        <f>IF(AG28=AF28,AB28,Sheet1!BK27)</f>
        <v>0.65847608215268161</v>
      </c>
      <c r="AI28" t="str">
        <f t="shared" si="20"/>
        <v>ok</v>
      </c>
      <c r="AJ28" s="37">
        <f t="shared" si="21"/>
        <v>6.7541105996702247E-3</v>
      </c>
      <c r="AK28" s="41">
        <f t="shared" si="22"/>
        <v>47.736816201476465</v>
      </c>
      <c r="AL28" s="42">
        <f t="shared" si="23"/>
        <v>86.458535912024161</v>
      </c>
    </row>
    <row r="29" spans="2:38">
      <c r="B29" s="36">
        <f t="shared" si="0"/>
        <v>24</v>
      </c>
      <c r="C29" s="36">
        <v>4554</v>
      </c>
      <c r="D29" s="36">
        <v>2</v>
      </c>
      <c r="E29" s="36">
        <v>0.85199999999999998</v>
      </c>
      <c r="F29" s="37">
        <v>7.3699999999999998E-3</v>
      </c>
      <c r="G29" s="36">
        <v>28.65</v>
      </c>
      <c r="H29" s="36">
        <v>28.65</v>
      </c>
      <c r="I29" s="36">
        <v>1</v>
      </c>
      <c r="J29" s="36">
        <v>2.68</v>
      </c>
      <c r="K29" s="36">
        <v>3796.1</v>
      </c>
      <c r="L29" s="42">
        <v>1000</v>
      </c>
      <c r="M29" s="43">
        <v>9.9999999999999995E-7</v>
      </c>
      <c r="N29" s="36">
        <f t="shared" si="1"/>
        <v>4.5540000000000003</v>
      </c>
      <c r="O29" s="38">
        <f t="shared" si="2"/>
        <v>2.8649999999999998E-2</v>
      </c>
      <c r="P29" s="38">
        <f t="shared" si="3"/>
        <v>2.8649999999999998E-2</v>
      </c>
      <c r="Q29" s="36">
        <f t="shared" si="4"/>
        <v>2.672535211267606</v>
      </c>
      <c r="R29" s="36">
        <f t="shared" si="5"/>
        <v>61.599344399999993</v>
      </c>
      <c r="S29" s="38">
        <f t="shared" si="6"/>
        <v>0.4600431965442765</v>
      </c>
      <c r="T29" s="37">
        <f t="shared" si="7"/>
        <v>4.6568069663799633E-3</v>
      </c>
      <c r="U29" s="42">
        <f t="shared" si="8"/>
        <v>1229481.6414686828</v>
      </c>
      <c r="V29" s="44">
        <f t="shared" si="9"/>
        <v>3.787618138663017E-9</v>
      </c>
      <c r="W29" s="44">
        <f t="shared" si="10"/>
        <v>3.0300945109304136E-8</v>
      </c>
      <c r="X29" s="37">
        <f t="shared" si="11"/>
        <v>9.4375166433806369E-3</v>
      </c>
      <c r="Y29" s="44">
        <f t="shared" si="12"/>
        <v>311459.48119231354</v>
      </c>
      <c r="Z29" s="37">
        <f t="shared" si="13"/>
        <v>0.19858558035610466</v>
      </c>
      <c r="AA29" s="38">
        <f t="shared" si="14"/>
        <v>1.5054144196438952</v>
      </c>
      <c r="AB29" s="36">
        <f t="shared" si="15"/>
        <v>0.75270720982194761</v>
      </c>
      <c r="AC29" s="37">
        <f t="shared" si="16"/>
        <v>7.6193109792156545E-3</v>
      </c>
      <c r="AD29" s="41">
        <f t="shared" si="17"/>
        <v>54.420505457963884</v>
      </c>
      <c r="AE29">
        <f t="shared" si="18"/>
        <v>5.7299999999999997E-2</v>
      </c>
      <c r="AF29" s="36">
        <f t="shared" si="19"/>
        <v>11.456241240756878</v>
      </c>
      <c r="AG29" s="36">
        <f>IF(AC29&lt;(1/(Sheet1!BL28^2)),MPM!AF29,Sheet1!BL28)</f>
        <v>12.188022112196446</v>
      </c>
      <c r="AH29" s="38">
        <f>IF(AG29=AF29,AB29,Sheet1!BK28)</f>
        <v>0.6650340922871959</v>
      </c>
      <c r="AI29" t="str">
        <f t="shared" si="20"/>
        <v>ok</v>
      </c>
      <c r="AJ29" s="37">
        <f t="shared" si="21"/>
        <v>6.7318360905234513E-3</v>
      </c>
      <c r="AK29" s="41">
        <f t="shared" si="22"/>
        <v>48.081765359859666</v>
      </c>
      <c r="AL29" s="42">
        <f t="shared" si="23"/>
        <v>88.352294700753077</v>
      </c>
    </row>
    <row r="30" spans="2:38">
      <c r="B30" s="36">
        <f t="shared" si="0"/>
        <v>25</v>
      </c>
      <c r="C30" s="36">
        <v>4583</v>
      </c>
      <c r="D30" s="36">
        <v>2</v>
      </c>
      <c r="E30" s="36">
        <v>0.90800000000000003</v>
      </c>
      <c r="F30" s="37">
        <v>5.7800000000000004E-3</v>
      </c>
      <c r="G30" s="36">
        <v>28.65</v>
      </c>
      <c r="H30" s="36">
        <v>28.65</v>
      </c>
      <c r="I30" s="36">
        <v>1</v>
      </c>
      <c r="J30" s="36">
        <v>2.68</v>
      </c>
      <c r="K30" s="36">
        <v>1930</v>
      </c>
      <c r="L30" s="42">
        <v>1000</v>
      </c>
      <c r="M30" s="43">
        <v>9.9999999999999995E-7</v>
      </c>
      <c r="N30" s="36">
        <f t="shared" si="1"/>
        <v>4.5830000000000002</v>
      </c>
      <c r="O30" s="38">
        <f t="shared" si="2"/>
        <v>2.8649999999999998E-2</v>
      </c>
      <c r="P30" s="38">
        <f t="shared" si="3"/>
        <v>2.8649999999999998E-2</v>
      </c>
      <c r="Q30" s="36">
        <f t="shared" si="4"/>
        <v>2.5236784140969162</v>
      </c>
      <c r="R30" s="36">
        <f t="shared" si="5"/>
        <v>51.485234400000003</v>
      </c>
      <c r="S30" s="38">
        <f t="shared" si="6"/>
        <v>0.47589098532494761</v>
      </c>
      <c r="T30" s="37">
        <f t="shared" si="7"/>
        <v>4.2367837512182847E-3</v>
      </c>
      <c r="U30" s="42">
        <f t="shared" si="8"/>
        <v>1200995.8071278827</v>
      </c>
      <c r="V30" s="44">
        <f t="shared" si="9"/>
        <v>3.5277256807001906E-9</v>
      </c>
      <c r="W30" s="44">
        <f t="shared" si="10"/>
        <v>2.8221805445601525E-8</v>
      </c>
      <c r="X30" s="37">
        <f t="shared" si="11"/>
        <v>9.3042946299928524E-3</v>
      </c>
      <c r="Y30" s="44">
        <f t="shared" si="12"/>
        <v>329684.59965919587</v>
      </c>
      <c r="Z30" s="37">
        <f t="shared" si="13"/>
        <v>0.23723594481642529</v>
      </c>
      <c r="AA30" s="38">
        <f t="shared" si="14"/>
        <v>1.5787640551835747</v>
      </c>
      <c r="AB30" s="36">
        <f t="shared" si="15"/>
        <v>0.78938202759178733</v>
      </c>
      <c r="AC30" s="37">
        <f t="shared" si="16"/>
        <v>7.0277459568202976E-3</v>
      </c>
      <c r="AD30" s="41">
        <f t="shared" si="17"/>
        <v>44.759381852104013</v>
      </c>
      <c r="AE30">
        <f t="shared" si="18"/>
        <v>5.7299999999999997E-2</v>
      </c>
      <c r="AF30" s="36">
        <f t="shared" si="19"/>
        <v>11.928668593153256</v>
      </c>
      <c r="AG30" s="36">
        <f>IF(AC30&lt;(1/(Sheet1!BL29^2)),MPM!AF30,Sheet1!BL29)</f>
        <v>12.385208836463852</v>
      </c>
      <c r="AH30" s="38">
        <f>IF(AG30=AF30,AB30,Sheet1!BK29)</f>
        <v>0.73225865306779236</v>
      </c>
      <c r="AI30" t="str">
        <f t="shared" si="20"/>
        <v>ok</v>
      </c>
      <c r="AJ30" s="37">
        <f t="shared" si="21"/>
        <v>6.5191853987297162E-3</v>
      </c>
      <c r="AK30" s="41">
        <f t="shared" si="22"/>
        <v>41.520383693326721</v>
      </c>
      <c r="AL30" s="42">
        <f t="shared" si="23"/>
        <v>92.763532415439215</v>
      </c>
    </row>
    <row r="31" spans="2:38">
      <c r="B31" s="36">
        <f t="shared" si="0"/>
        <v>26</v>
      </c>
      <c r="C31" s="36">
        <v>4609</v>
      </c>
      <c r="D31" s="36">
        <v>2</v>
      </c>
      <c r="E31" s="36">
        <v>0.92500000000000004</v>
      </c>
      <c r="F31" s="37">
        <v>5.7499999999999999E-3</v>
      </c>
      <c r="G31" s="36">
        <v>28.65</v>
      </c>
      <c r="H31" s="36">
        <v>28.65</v>
      </c>
      <c r="I31" s="36">
        <v>1</v>
      </c>
      <c r="J31" s="36">
        <v>2.68</v>
      </c>
      <c r="K31" s="36">
        <v>1915.6</v>
      </c>
      <c r="L31" s="42">
        <v>1000</v>
      </c>
      <c r="M31" s="43">
        <v>9.9999999999999995E-7</v>
      </c>
      <c r="N31" s="36">
        <f t="shared" si="1"/>
        <v>4.609</v>
      </c>
      <c r="O31" s="38">
        <f t="shared" si="2"/>
        <v>2.8649999999999998E-2</v>
      </c>
      <c r="P31" s="38">
        <f t="shared" si="3"/>
        <v>2.8649999999999998E-2</v>
      </c>
      <c r="Q31" s="36">
        <f t="shared" si="4"/>
        <v>2.4913513513513514</v>
      </c>
      <c r="R31" s="36">
        <f t="shared" si="5"/>
        <v>52.176937500000001</v>
      </c>
      <c r="S31" s="38">
        <f t="shared" si="6"/>
        <v>0.48051948051948051</v>
      </c>
      <c r="T31" s="37">
        <f t="shared" si="7"/>
        <v>4.3669467027382201E-3</v>
      </c>
      <c r="U31" s="42">
        <f t="shared" si="8"/>
        <v>1197142.857142857</v>
      </c>
      <c r="V31" s="44">
        <f t="shared" si="9"/>
        <v>3.6478075082538833E-9</v>
      </c>
      <c r="W31" s="44">
        <f t="shared" si="10"/>
        <v>2.9182460066031066E-8</v>
      </c>
      <c r="X31" s="37">
        <f t="shared" si="11"/>
        <v>9.36679198331772E-3</v>
      </c>
      <c r="Y31" s="44">
        <f t="shared" si="12"/>
        <v>320973.35050312785</v>
      </c>
      <c r="Z31" s="37">
        <f t="shared" si="13"/>
        <v>0.2383448236270243</v>
      </c>
      <c r="AA31" s="38">
        <f t="shared" si="14"/>
        <v>1.6116551763729758</v>
      </c>
      <c r="AB31" s="36">
        <f t="shared" si="15"/>
        <v>0.80582758818648792</v>
      </c>
      <c r="AC31" s="37">
        <f t="shared" si="16"/>
        <v>7.3233370796999629E-3</v>
      </c>
      <c r="AD31" s="41">
        <f t="shared" si="17"/>
        <v>45.454719680629317</v>
      </c>
      <c r="AE31">
        <f t="shared" si="18"/>
        <v>5.7299999999999997E-2</v>
      </c>
      <c r="AF31" s="36">
        <f t="shared" si="19"/>
        <v>11.68545124664274</v>
      </c>
      <c r="AG31" s="36">
        <f>IF(AC31&lt;(1/(Sheet1!BL30^2)),MPM!AF31,Sheet1!BL30)</f>
        <v>12.353387792742526</v>
      </c>
      <c r="AH31" s="38">
        <f>IF(AG31=AF31,AB31,Sheet1!BK30)</f>
        <v>0.72104265584889293</v>
      </c>
      <c r="AI31" t="str">
        <f t="shared" si="20"/>
        <v>ok</v>
      </c>
      <c r="AJ31" s="37">
        <f t="shared" si="21"/>
        <v>6.5528141438823961E-3</v>
      </c>
      <c r="AK31" s="41">
        <f t="shared" si="22"/>
        <v>40.672213608067388</v>
      </c>
      <c r="AL31" s="42">
        <f t="shared" si="23"/>
        <v>89.478526968894684</v>
      </c>
    </row>
    <row r="32" spans="2:38">
      <c r="B32" s="36">
        <f t="shared" si="0"/>
        <v>27</v>
      </c>
      <c r="C32" s="36">
        <v>4600</v>
      </c>
      <c r="D32" s="36">
        <v>2</v>
      </c>
      <c r="E32" s="36">
        <v>0.97299999999999998</v>
      </c>
      <c r="F32" s="37">
        <v>4.79E-3</v>
      </c>
      <c r="G32" s="36">
        <v>28.65</v>
      </c>
      <c r="H32" s="36">
        <v>28.65</v>
      </c>
      <c r="I32" s="36">
        <v>1</v>
      </c>
      <c r="J32" s="36">
        <v>2.68</v>
      </c>
      <c r="K32" s="36">
        <v>960.2</v>
      </c>
      <c r="L32" s="42">
        <v>1000</v>
      </c>
      <c r="M32" s="43">
        <v>9.9999999999999995E-7</v>
      </c>
      <c r="N32" s="36">
        <f t="shared" si="1"/>
        <v>4.5999999999999996</v>
      </c>
      <c r="O32" s="38">
        <f t="shared" si="2"/>
        <v>2.8649999999999998E-2</v>
      </c>
      <c r="P32" s="38">
        <f t="shared" si="3"/>
        <v>2.8649999999999998E-2</v>
      </c>
      <c r="Q32" s="36">
        <f t="shared" si="4"/>
        <v>2.3638232271325794</v>
      </c>
      <c r="R32" s="36">
        <f t="shared" si="5"/>
        <v>45.721172699999997</v>
      </c>
      <c r="S32" s="38">
        <f t="shared" si="6"/>
        <v>0.49315762797769896</v>
      </c>
      <c r="T32" s="37">
        <f t="shared" si="7"/>
        <v>4.1472506540660269E-3</v>
      </c>
      <c r="U32" s="42">
        <f t="shared" si="8"/>
        <v>1165737.4556512926</v>
      </c>
      <c r="V32" s="44">
        <f t="shared" si="9"/>
        <v>3.5576198002053351E-9</v>
      </c>
      <c r="W32" s="44">
        <f t="shared" si="10"/>
        <v>2.8460958401642681E-8</v>
      </c>
      <c r="X32" s="37">
        <f t="shared" si="11"/>
        <v>9.3200104585308991E-3</v>
      </c>
      <c r="Y32" s="44">
        <f t="shared" si="12"/>
        <v>327466.50084675208</v>
      </c>
      <c r="Z32" s="37">
        <f t="shared" si="13"/>
        <v>0.26958437641751715</v>
      </c>
      <c r="AA32" s="38">
        <f t="shared" si="14"/>
        <v>1.6764156235824828</v>
      </c>
      <c r="AB32" s="36">
        <f t="shared" si="15"/>
        <v>0.83820781179124138</v>
      </c>
      <c r="AC32" s="37">
        <f t="shared" si="16"/>
        <v>7.0489792684534499E-3</v>
      </c>
      <c r="AD32" s="41">
        <f t="shared" si="17"/>
        <v>39.387301255289259</v>
      </c>
      <c r="AE32">
        <f t="shared" si="18"/>
        <v>5.7299999999999997E-2</v>
      </c>
      <c r="AF32" s="36">
        <f t="shared" si="19"/>
        <v>11.91068895698702</v>
      </c>
      <c r="AG32" s="36">
        <f>IF(AC32&lt;(1/(Sheet1!BL31^2)),MPM!AF32,Sheet1!BL31)</f>
        <v>12.473766791363632</v>
      </c>
      <c r="AH32" s="38">
        <f>IF(AG32=AF32,AB32,Sheet1!BK31)</f>
        <v>0.76424081911081831</v>
      </c>
      <c r="AI32" t="str">
        <f t="shared" si="20"/>
        <v>ok</v>
      </c>
      <c r="AJ32" s="37">
        <f t="shared" si="21"/>
        <v>6.426947606603086E-3</v>
      </c>
      <c r="AK32" s="41">
        <f t="shared" si="22"/>
        <v>35.911599664666781</v>
      </c>
      <c r="AL32" s="42">
        <f t="shared" si="23"/>
        <v>91.175578219754954</v>
      </c>
    </row>
    <row r="33" spans="2:38">
      <c r="B33" s="36">
        <f t="shared" si="0"/>
        <v>28</v>
      </c>
      <c r="C33" s="36">
        <v>4600</v>
      </c>
      <c r="D33" s="36">
        <v>2</v>
      </c>
      <c r="E33" s="36">
        <v>0.96099999999999997</v>
      </c>
      <c r="F33" s="37">
        <v>5.0199999999999993E-3</v>
      </c>
      <c r="G33" s="36">
        <v>28.65</v>
      </c>
      <c r="H33" s="36">
        <v>28.65</v>
      </c>
      <c r="I33" s="36">
        <v>1</v>
      </c>
      <c r="J33" s="36">
        <v>2.68</v>
      </c>
      <c r="K33" s="36">
        <v>955.4</v>
      </c>
      <c r="L33" s="42">
        <v>1000</v>
      </c>
      <c r="M33" s="43">
        <v>9.9999999999999995E-7</v>
      </c>
      <c r="N33" s="36">
        <f t="shared" si="1"/>
        <v>4.5999999999999996</v>
      </c>
      <c r="O33" s="38">
        <f t="shared" si="2"/>
        <v>2.8649999999999998E-2</v>
      </c>
      <c r="P33" s="38">
        <f t="shared" si="3"/>
        <v>2.8649999999999998E-2</v>
      </c>
      <c r="Q33" s="36">
        <f t="shared" si="4"/>
        <v>2.3933402705515086</v>
      </c>
      <c r="R33" s="36">
        <f t="shared" si="5"/>
        <v>47.325598199999995</v>
      </c>
      <c r="S33" s="38">
        <f t="shared" si="6"/>
        <v>0.49005609382967874</v>
      </c>
      <c r="T33" s="37">
        <f t="shared" si="7"/>
        <v>4.2131761962486067E-3</v>
      </c>
      <c r="U33" s="42">
        <f t="shared" si="8"/>
        <v>1172870.984191739</v>
      </c>
      <c r="V33" s="44">
        <f t="shared" si="9"/>
        <v>3.5921906612363118E-9</v>
      </c>
      <c r="W33" s="44">
        <f t="shared" si="10"/>
        <v>2.8737525289890495E-8</v>
      </c>
      <c r="X33" s="37">
        <f t="shared" si="11"/>
        <v>9.3380537388022544E-3</v>
      </c>
      <c r="Y33" s="44">
        <f t="shared" si="12"/>
        <v>324942.86284585769</v>
      </c>
      <c r="Z33" s="37">
        <f t="shared" si="13"/>
        <v>0.26094918055501687</v>
      </c>
      <c r="AA33" s="38">
        <f t="shared" si="14"/>
        <v>1.6610508194449831</v>
      </c>
      <c r="AB33" s="36">
        <f t="shared" si="15"/>
        <v>0.83052540972249156</v>
      </c>
      <c r="AC33" s="37">
        <f t="shared" si="16"/>
        <v>7.1403048154698966E-3</v>
      </c>
      <c r="AD33" s="41">
        <f t="shared" si="17"/>
        <v>40.900220432275759</v>
      </c>
      <c r="AE33">
        <f t="shared" si="18"/>
        <v>5.7299999999999997E-2</v>
      </c>
      <c r="AF33" s="36">
        <f t="shared" si="19"/>
        <v>11.834274101043329</v>
      </c>
      <c r="AG33" s="36">
        <f>IF(AC33&lt;(1/(Sheet1!BL32^2)),MPM!AF33,Sheet1!BL32)</f>
        <v>12.439386387995345</v>
      </c>
      <c r="AH33" s="38">
        <f>IF(AG33=AF33,AB33,Sheet1!BK32)</f>
        <v>0.75168910621004559</v>
      </c>
      <c r="AI33" t="str">
        <f t="shared" si="20"/>
        <v>ok</v>
      </c>
      <c r="AJ33" s="37">
        <f t="shared" si="21"/>
        <v>6.4625227377408659E-3</v>
      </c>
      <c r="AK33" s="41">
        <f t="shared" si="22"/>
        <v>37.017832060829335</v>
      </c>
      <c r="AL33" s="42">
        <f t="shared" si="23"/>
        <v>90.507659053146071</v>
      </c>
    </row>
    <row r="34" spans="2:38">
      <c r="B34" s="36">
        <f t="shared" si="0"/>
        <v>29</v>
      </c>
      <c r="C34" s="36">
        <v>4600</v>
      </c>
      <c r="D34" s="36">
        <v>2</v>
      </c>
      <c r="E34" s="36">
        <v>1.018</v>
      </c>
      <c r="F34" s="37">
        <v>3.96E-3</v>
      </c>
      <c r="G34" s="36">
        <v>28.65</v>
      </c>
      <c r="H34" s="36">
        <v>28.65</v>
      </c>
      <c r="I34" s="36">
        <v>1</v>
      </c>
      <c r="J34" s="36">
        <v>2.68</v>
      </c>
      <c r="K34" s="36">
        <v>2599.9</v>
      </c>
      <c r="L34" s="42">
        <v>1000</v>
      </c>
      <c r="M34" s="43">
        <v>9.9999999999999995E-7</v>
      </c>
      <c r="N34" s="36">
        <f t="shared" si="1"/>
        <v>4.5999999999999996</v>
      </c>
      <c r="O34" s="38">
        <f t="shared" si="2"/>
        <v>2.8649999999999998E-2</v>
      </c>
      <c r="P34" s="38">
        <f t="shared" si="3"/>
        <v>2.8649999999999998E-2</v>
      </c>
      <c r="Q34" s="36">
        <f t="shared" si="4"/>
        <v>2.2593320235756384</v>
      </c>
      <c r="R34" s="36">
        <f t="shared" si="5"/>
        <v>39.5468568</v>
      </c>
      <c r="S34" s="38">
        <f t="shared" si="6"/>
        <v>0.50445986124876119</v>
      </c>
      <c r="T34" s="37">
        <f t="shared" si="7"/>
        <v>3.8391112151696365E-3</v>
      </c>
      <c r="U34" s="42">
        <f t="shared" si="8"/>
        <v>1139742.3191278495</v>
      </c>
      <c r="V34" s="44">
        <f t="shared" si="9"/>
        <v>3.3684027966140546E-9</v>
      </c>
      <c r="W34" s="44">
        <f t="shared" si="10"/>
        <v>2.6947222372912437E-8</v>
      </c>
      <c r="X34" s="37">
        <f t="shared" si="11"/>
        <v>9.2186918210223293E-3</v>
      </c>
      <c r="Y34" s="44">
        <f t="shared" si="12"/>
        <v>342101.74590346764</v>
      </c>
      <c r="Z34" s="37">
        <f t="shared" si="13"/>
        <v>0.30828543454057844</v>
      </c>
      <c r="AA34" s="38">
        <f t="shared" si="14"/>
        <v>1.7277145654594217</v>
      </c>
      <c r="AB34" s="36">
        <f t="shared" si="15"/>
        <v>0.86385728272971085</v>
      </c>
      <c r="AC34" s="37">
        <f t="shared" si="16"/>
        <v>6.5742478979872341E-3</v>
      </c>
      <c r="AD34" s="41">
        <f t="shared" si="17"/>
        <v>33.558782176570709</v>
      </c>
      <c r="AE34">
        <f t="shared" si="18"/>
        <v>5.7299999999999997E-2</v>
      </c>
      <c r="AF34" s="36">
        <f t="shared" si="19"/>
        <v>12.33323372756319</v>
      </c>
      <c r="AG34" s="36">
        <f>IF(AC34&lt;(1/(Sheet1!BL33^2)),MPM!AF34,Sheet1!BL33)</f>
        <v>12.630452989708537</v>
      </c>
      <c r="AH34" s="38">
        <f>IF(AG34=AF34,AB34,Sheet1!BK33)</f>
        <v>0.82367914338078652</v>
      </c>
      <c r="AI34" t="str">
        <f t="shared" si="20"/>
        <v>ok</v>
      </c>
      <c r="AJ34" s="37">
        <f t="shared" si="21"/>
        <v>6.2684785845380708E-3</v>
      </c>
      <c r="AK34" s="41">
        <f t="shared" si="22"/>
        <v>31.997957889816686</v>
      </c>
      <c r="AL34" s="42">
        <f t="shared" si="23"/>
        <v>95.34898412421019</v>
      </c>
    </row>
    <row r="35" spans="2:38">
      <c r="B35" s="36">
        <f t="shared" si="0"/>
        <v>30</v>
      </c>
      <c r="C35" s="36">
        <v>4600</v>
      </c>
      <c r="D35" s="36">
        <v>2</v>
      </c>
      <c r="E35" s="36">
        <v>1.026</v>
      </c>
      <c r="F35" s="37">
        <v>4.0000000000000001E-3</v>
      </c>
      <c r="G35" s="36">
        <v>28.65</v>
      </c>
      <c r="H35" s="36">
        <v>28.65</v>
      </c>
      <c r="I35" s="36">
        <v>1</v>
      </c>
      <c r="J35" s="36">
        <v>2.68</v>
      </c>
      <c r="K35" s="36">
        <v>2654.1</v>
      </c>
      <c r="L35" s="42">
        <v>1000</v>
      </c>
      <c r="M35" s="43">
        <v>9.9999999999999995E-7</v>
      </c>
      <c r="N35" s="36">
        <f t="shared" si="1"/>
        <v>4.5999999999999996</v>
      </c>
      <c r="O35" s="38">
        <f t="shared" si="2"/>
        <v>2.8649999999999998E-2</v>
      </c>
      <c r="P35" s="38">
        <f t="shared" si="3"/>
        <v>2.8649999999999998E-2</v>
      </c>
      <c r="Q35" s="36">
        <f t="shared" si="4"/>
        <v>2.2417153996101362</v>
      </c>
      <c r="R35" s="36">
        <f t="shared" si="5"/>
        <v>40.260239999999996</v>
      </c>
      <c r="S35" s="38">
        <f t="shared" si="6"/>
        <v>0.50641658440276416</v>
      </c>
      <c r="T35" s="37">
        <f t="shared" si="7"/>
        <v>3.9543578472522626E-3</v>
      </c>
      <c r="U35" s="42">
        <f t="shared" si="8"/>
        <v>1135241.855873643</v>
      </c>
      <c r="V35" s="44">
        <f t="shared" si="9"/>
        <v>3.483273477623079E-9</v>
      </c>
      <c r="W35" s="44">
        <f t="shared" si="10"/>
        <v>2.7866187820984632E-8</v>
      </c>
      <c r="X35" s="37">
        <f t="shared" si="11"/>
        <v>9.2807272104514834E-3</v>
      </c>
      <c r="Y35" s="44">
        <f t="shared" si="12"/>
        <v>333046.17302057485</v>
      </c>
      <c r="Z35" s="37">
        <f t="shared" si="13"/>
        <v>0.30486062020052757</v>
      </c>
      <c r="AA35" s="38">
        <f t="shared" si="14"/>
        <v>1.7471393797994725</v>
      </c>
      <c r="AB35" s="36">
        <f t="shared" si="15"/>
        <v>0.87356968989973627</v>
      </c>
      <c r="AC35" s="37">
        <f t="shared" si="16"/>
        <v>6.8212757337926802E-3</v>
      </c>
      <c r="AD35" s="41">
        <f t="shared" si="17"/>
        <v>34.278874631665651</v>
      </c>
      <c r="AE35">
        <f t="shared" si="18"/>
        <v>5.7299999999999997E-2</v>
      </c>
      <c r="AF35" s="36">
        <f t="shared" si="19"/>
        <v>12.107854611399603</v>
      </c>
      <c r="AG35" s="36">
        <f>IF(AC35&lt;(1/(Sheet1!BL34^2)),MPM!AF35,Sheet1!BL34)</f>
        <v>12.589933332301738</v>
      </c>
      <c r="AH35" s="38">
        <f>IF(AG35=AF35,AB35,Sheet1!BK34)</f>
        <v>0.8079511268864995</v>
      </c>
      <c r="AI35" t="str">
        <f t="shared" si="20"/>
        <v>ok</v>
      </c>
      <c r="AJ35" s="37">
        <f t="shared" si="21"/>
        <v>6.3088926727635376E-3</v>
      </c>
      <c r="AK35" s="41">
        <f t="shared" si="22"/>
        <v>31.704002218079552</v>
      </c>
      <c r="AL35" s="42">
        <f t="shared" si="23"/>
        <v>92.488456983335382</v>
      </c>
    </row>
    <row r="36" spans="2:38">
      <c r="B36" s="36">
        <f t="shared" si="0"/>
        <v>31</v>
      </c>
      <c r="C36" s="36">
        <v>4600</v>
      </c>
      <c r="D36" s="36">
        <v>2</v>
      </c>
      <c r="E36" s="36">
        <v>1.0920000000000001</v>
      </c>
      <c r="F36" s="37">
        <v>3.1700000000000001E-3</v>
      </c>
      <c r="G36" s="36">
        <v>28.65</v>
      </c>
      <c r="H36" s="36">
        <v>28.65</v>
      </c>
      <c r="I36" s="36">
        <v>1</v>
      </c>
      <c r="J36" s="36">
        <v>2.68</v>
      </c>
      <c r="K36" s="36">
        <v>29.7</v>
      </c>
      <c r="L36" s="42">
        <v>1000</v>
      </c>
      <c r="M36" s="43">
        <v>9.9999999999999995E-7</v>
      </c>
      <c r="N36" s="36">
        <f t="shared" si="1"/>
        <v>4.5999999999999996</v>
      </c>
      <c r="O36" s="38">
        <f t="shared" si="2"/>
        <v>2.8649999999999998E-2</v>
      </c>
      <c r="P36" s="38">
        <f t="shared" si="3"/>
        <v>2.8649999999999998E-2</v>
      </c>
      <c r="Q36" s="36">
        <f t="shared" si="4"/>
        <v>2.1062271062271058</v>
      </c>
      <c r="R36" s="36">
        <f t="shared" si="5"/>
        <v>33.9586884</v>
      </c>
      <c r="S36" s="38">
        <f t="shared" si="6"/>
        <v>0.52198852772466542</v>
      </c>
      <c r="T36" s="37">
        <f t="shared" si="7"/>
        <v>3.6591383688891E-3</v>
      </c>
      <c r="U36" s="42">
        <f t="shared" si="8"/>
        <v>1099426.3862332695</v>
      </c>
      <c r="V36" s="44">
        <f t="shared" si="9"/>
        <v>3.3282249859634773E-9</v>
      </c>
      <c r="W36" s="44">
        <f t="shared" si="10"/>
        <v>2.6625799887707819E-8</v>
      </c>
      <c r="X36" s="37">
        <f t="shared" si="11"/>
        <v>9.1965942989362601E-3</v>
      </c>
      <c r="Y36" s="44">
        <f t="shared" si="12"/>
        <v>345401.61564055015</v>
      </c>
      <c r="Z36" s="37">
        <f t="shared" si="13"/>
        <v>0.35815564538538536</v>
      </c>
      <c r="AA36" s="38">
        <f t="shared" si="14"/>
        <v>1.8258443546146148</v>
      </c>
      <c r="AB36" s="36">
        <f t="shared" si="15"/>
        <v>0.9129221773073074</v>
      </c>
      <c r="AC36" s="37">
        <f t="shared" si="16"/>
        <v>6.3995823459111981E-3</v>
      </c>
      <c r="AD36" s="41">
        <f t="shared" si="17"/>
        <v>28.389779993249459</v>
      </c>
      <c r="AE36">
        <f t="shared" si="18"/>
        <v>5.7299999999999997E-2</v>
      </c>
      <c r="AF36" s="36">
        <f t="shared" si="19"/>
        <v>12.500407885284675</v>
      </c>
      <c r="AG36" s="36">
        <f>IF(AC36&lt;(1/(Sheet1!BL35^2)),MPM!AF36,Sheet1!BL35)</f>
        <v>12.760852892156876</v>
      </c>
      <c r="AH36" s="38">
        <f>IF(AG36=AF36,AB36,Sheet1!BK35)</f>
        <v>0.87603754903798192</v>
      </c>
      <c r="AI36" t="str">
        <f t="shared" si="20"/>
        <v>ok</v>
      </c>
      <c r="AJ36" s="37">
        <f t="shared" si="21"/>
        <v>6.1410211871796693E-3</v>
      </c>
      <c r="AK36" s="41">
        <f t="shared" si="22"/>
        <v>27.24275288828882</v>
      </c>
      <c r="AL36" s="42">
        <f t="shared" si="23"/>
        <v>95.959718232288594</v>
      </c>
    </row>
    <row r="37" spans="2:38">
      <c r="B37" s="36">
        <f t="shared" si="0"/>
        <v>32</v>
      </c>
      <c r="C37" s="36">
        <v>4600</v>
      </c>
      <c r="D37" s="36">
        <v>2</v>
      </c>
      <c r="E37" s="36">
        <v>1.0920000000000001</v>
      </c>
      <c r="F37" s="37">
        <v>3.2400000000000003E-3</v>
      </c>
      <c r="G37" s="36">
        <v>28.65</v>
      </c>
      <c r="H37" s="36">
        <v>28.65</v>
      </c>
      <c r="I37" s="36">
        <v>1</v>
      </c>
      <c r="J37" s="36">
        <v>2.68</v>
      </c>
      <c r="K37" s="36">
        <v>31.3</v>
      </c>
      <c r="L37" s="42">
        <v>1000</v>
      </c>
      <c r="M37" s="43">
        <v>9.9999999999999995E-7</v>
      </c>
      <c r="N37" s="36">
        <f t="shared" si="1"/>
        <v>4.5999999999999996</v>
      </c>
      <c r="O37" s="38">
        <f t="shared" si="2"/>
        <v>2.8649999999999998E-2</v>
      </c>
      <c r="P37" s="38">
        <f t="shared" si="3"/>
        <v>2.8649999999999998E-2</v>
      </c>
      <c r="Q37" s="36">
        <f t="shared" si="4"/>
        <v>2.1062271062271058</v>
      </c>
      <c r="R37" s="36">
        <f t="shared" si="5"/>
        <v>34.708564800000005</v>
      </c>
      <c r="S37" s="38">
        <f t="shared" si="6"/>
        <v>0.52198852772466542</v>
      </c>
      <c r="T37" s="37">
        <f t="shared" si="7"/>
        <v>3.7399395316090487E-3</v>
      </c>
      <c r="U37" s="42">
        <f t="shared" si="8"/>
        <v>1099426.3862332695</v>
      </c>
      <c r="V37" s="44">
        <f t="shared" si="9"/>
        <v>3.4017189130983179E-9</v>
      </c>
      <c r="W37" s="44">
        <f t="shared" si="10"/>
        <v>2.7213751304786543E-8</v>
      </c>
      <c r="X37" s="37">
        <f t="shared" si="11"/>
        <v>9.2368561015368361E-3</v>
      </c>
      <c r="Y37" s="44">
        <f t="shared" si="12"/>
        <v>339418.70042415627</v>
      </c>
      <c r="Z37" s="37">
        <f t="shared" si="13"/>
        <v>0.35195180972399237</v>
      </c>
      <c r="AA37" s="38">
        <f t="shared" si="14"/>
        <v>1.8320481902760077</v>
      </c>
      <c r="AB37" s="36">
        <f t="shared" si="15"/>
        <v>0.91602409513800387</v>
      </c>
      <c r="AC37" s="37">
        <f t="shared" si="16"/>
        <v>6.5631226422663514E-3</v>
      </c>
      <c r="AD37" s="41">
        <f t="shared" si="17"/>
        <v>29.115276249504372</v>
      </c>
      <c r="AE37">
        <f t="shared" si="18"/>
        <v>5.7299999999999997E-2</v>
      </c>
      <c r="AF37" s="36">
        <f t="shared" si="19"/>
        <v>12.343682433835019</v>
      </c>
      <c r="AG37" s="36">
        <f>IF(AC37&lt;(1/(Sheet1!BL36^2)),MPM!AF37,Sheet1!BL36)</f>
        <v>12.726060502245316</v>
      </c>
      <c r="AH37" s="38">
        <f>IF(AG37=AF37,AB37,Sheet1!BK36)</f>
        <v>0.86180381140855888</v>
      </c>
      <c r="AI37" t="str">
        <f t="shared" si="20"/>
        <v>ok</v>
      </c>
      <c r="AJ37" s="37">
        <f t="shared" si="21"/>
        <v>6.1746455554347194E-3</v>
      </c>
      <c r="AK37" s="41">
        <f t="shared" si="22"/>
        <v>27.391917062695104</v>
      </c>
      <c r="AL37" s="42">
        <f t="shared" si="23"/>
        <v>94.0809107492545</v>
      </c>
    </row>
    <row r="38" spans="2:38">
      <c r="B38" s="36">
        <f t="shared" si="0"/>
        <v>33</v>
      </c>
      <c r="C38" s="36">
        <v>1641</v>
      </c>
      <c r="D38" s="36">
        <v>2</v>
      </c>
      <c r="E38" s="36">
        <v>0.35099999999999998</v>
      </c>
      <c r="F38" s="37">
        <v>1.762E-2</v>
      </c>
      <c r="G38" s="36">
        <v>28.65</v>
      </c>
      <c r="H38" s="36">
        <v>28.65</v>
      </c>
      <c r="I38" s="36">
        <v>1</v>
      </c>
      <c r="J38" s="36">
        <v>2.68</v>
      </c>
      <c r="K38" s="36">
        <v>8485.4</v>
      </c>
      <c r="L38" s="42">
        <v>1000</v>
      </c>
      <c r="M38" s="43">
        <v>9.9999999999999995E-7</v>
      </c>
      <c r="N38" s="36">
        <f t="shared" si="1"/>
        <v>1.641</v>
      </c>
      <c r="O38" s="38">
        <f t="shared" si="2"/>
        <v>2.8649999999999998E-2</v>
      </c>
      <c r="P38" s="38">
        <f t="shared" si="3"/>
        <v>2.8649999999999998E-2</v>
      </c>
      <c r="Q38" s="36">
        <f t="shared" si="4"/>
        <v>2.3376068376068377</v>
      </c>
      <c r="R38" s="36">
        <f t="shared" si="5"/>
        <v>60.671122199999999</v>
      </c>
      <c r="S38" s="38">
        <f t="shared" si="6"/>
        <v>0.25980754996299038</v>
      </c>
      <c r="T38" s="37">
        <f t="shared" si="7"/>
        <v>8.2183331233913505E-3</v>
      </c>
      <c r="U38" s="42">
        <f t="shared" si="8"/>
        <v>607327.90525536647</v>
      </c>
      <c r="V38" s="44">
        <f t="shared" si="9"/>
        <v>1.3531953747351266E-8</v>
      </c>
      <c r="W38" s="44">
        <f t="shared" si="10"/>
        <v>1.0825562997881013E-7</v>
      </c>
      <c r="X38" s="37">
        <f t="shared" si="11"/>
        <v>1.2174653057686625E-2</v>
      </c>
      <c r="Y38" s="44">
        <f t="shared" si="12"/>
        <v>112462.07758496885</v>
      </c>
      <c r="Z38" s="37">
        <f t="shared" si="13"/>
        <v>3.3773163730763549E-2</v>
      </c>
      <c r="AA38" s="38">
        <f t="shared" si="14"/>
        <v>0.6682268362692364</v>
      </c>
      <c r="AB38" s="36">
        <f t="shared" si="15"/>
        <v>0.3341134181346182</v>
      </c>
      <c r="AC38" s="37">
        <f t="shared" si="16"/>
        <v>1.0568805146795713E-2</v>
      </c>
      <c r="AD38" s="41">
        <f t="shared" si="17"/>
        <v>57.75223937408866</v>
      </c>
      <c r="AE38">
        <f t="shared" si="18"/>
        <v>5.7299999999999997E-2</v>
      </c>
      <c r="AF38" s="36">
        <f t="shared" si="19"/>
        <v>9.727182283963872</v>
      </c>
      <c r="AG38" s="36">
        <f>IF(AC38&lt;(1/(Sheet1!BL37^2)),MPM!AF38,Sheet1!BL37)</f>
        <v>10.570071856905876</v>
      </c>
      <c r="AH38" s="38">
        <f>IF(AG38=AF38,AB38,Sheet1!BK37)</f>
        <v>0.28295159538337294</v>
      </c>
      <c r="AI38" t="str">
        <f t="shared" si="20"/>
        <v>ok</v>
      </c>
      <c r="AJ38" s="37">
        <f t="shared" si="21"/>
        <v>8.9504345383306233E-3</v>
      </c>
      <c r="AK38" s="41">
        <f t="shared" si="22"/>
        <v>48.908805752417415</v>
      </c>
      <c r="AL38" s="42">
        <f t="shared" si="23"/>
        <v>84.68728880903106</v>
      </c>
    </row>
    <row r="39" spans="2:38">
      <c r="B39" s="36">
        <f t="shared" ref="B39:B59" si="24">+B38+1</f>
        <v>34</v>
      </c>
      <c r="C39" s="36">
        <v>3271</v>
      </c>
      <c r="D39" s="36">
        <v>2</v>
      </c>
      <c r="E39" s="36">
        <v>0.82199999999999995</v>
      </c>
      <c r="F39" s="37">
        <v>3.8999999999999998E-3</v>
      </c>
      <c r="G39" s="36">
        <v>28.65</v>
      </c>
      <c r="H39" s="36">
        <v>28.65</v>
      </c>
      <c r="I39" s="36">
        <v>1</v>
      </c>
      <c r="J39" s="36">
        <v>2.68</v>
      </c>
      <c r="K39" s="36">
        <v>31.9</v>
      </c>
      <c r="L39" s="42">
        <v>1000</v>
      </c>
      <c r="M39" s="43">
        <v>9.9999999999999995E-7</v>
      </c>
      <c r="N39" s="36">
        <f t="shared" si="1"/>
        <v>3.2709999999999999</v>
      </c>
      <c r="O39" s="38">
        <f t="shared" si="2"/>
        <v>2.8649999999999998E-2</v>
      </c>
      <c r="P39" s="38">
        <f t="shared" si="3"/>
        <v>2.8649999999999998E-2</v>
      </c>
      <c r="Q39" s="36">
        <f t="shared" si="4"/>
        <v>1.9896593673965937</v>
      </c>
      <c r="R39" s="36">
        <f t="shared" si="5"/>
        <v>31.448897999999996</v>
      </c>
      <c r="S39" s="38">
        <f t="shared" si="6"/>
        <v>0.45115257958287591</v>
      </c>
      <c r="T39" s="37">
        <f t="shared" si="7"/>
        <v>4.3601315987484776E-3</v>
      </c>
      <c r="U39" s="42">
        <f t="shared" si="8"/>
        <v>897639.9560922063</v>
      </c>
      <c r="V39" s="44">
        <f t="shared" si="9"/>
        <v>4.8573278953957361E-9</v>
      </c>
      <c r="W39" s="44">
        <f t="shared" si="10"/>
        <v>3.8858623163165889E-8</v>
      </c>
      <c r="X39" s="37">
        <f t="shared" si="11"/>
        <v>9.918910631412035E-3</v>
      </c>
      <c r="Y39" s="44">
        <f t="shared" si="12"/>
        <v>255256.35815152031</v>
      </c>
      <c r="Z39" s="37">
        <f t="shared" si="13"/>
        <v>0.21091120403699401</v>
      </c>
      <c r="AA39" s="38">
        <f t="shared" si="14"/>
        <v>1.4330887959630059</v>
      </c>
      <c r="AB39" s="36">
        <f t="shared" si="15"/>
        <v>0.71654439798150293</v>
      </c>
      <c r="AC39" s="37">
        <f t="shared" si="16"/>
        <v>6.9249917055421387E-3</v>
      </c>
      <c r="AD39" s="41">
        <f t="shared" si="17"/>
        <v>27.414272122374321</v>
      </c>
      <c r="AE39">
        <f t="shared" si="18"/>
        <v>5.7299999999999997E-2</v>
      </c>
      <c r="AF39" s="36">
        <f t="shared" si="19"/>
        <v>12.01684255914487</v>
      </c>
      <c r="AG39" s="36">
        <f>IF(AC39&lt;(1/(Sheet1!BL38^2)),MPM!AF39,Sheet1!BL38)</f>
        <v>12.258784691799301</v>
      </c>
      <c r="AH39" s="38">
        <f>IF(AG39=AF39,AB39,Sheet1!BK38)</f>
        <v>0.68853974245292227</v>
      </c>
      <c r="AI39" t="str">
        <f t="shared" si="20"/>
        <v>ok</v>
      </c>
      <c r="AJ39" s="37">
        <f t="shared" si="21"/>
        <v>6.6543427298876232E-3</v>
      </c>
      <c r="AK39" s="41">
        <f t="shared" si="22"/>
        <v>26.34284200610476</v>
      </c>
      <c r="AL39" s="42">
        <f t="shared" si="23"/>
        <v>96.091706861714897</v>
      </c>
    </row>
    <row r="40" spans="2:38">
      <c r="B40" s="36">
        <f t="shared" si="24"/>
        <v>35</v>
      </c>
      <c r="C40" s="36">
        <v>21.7</v>
      </c>
      <c r="D40" s="36">
        <v>0.35399999999999998</v>
      </c>
      <c r="E40" s="36">
        <v>0.06</v>
      </c>
      <c r="F40" s="37">
        <v>2.2699999999999998E-2</v>
      </c>
      <c r="G40" s="36">
        <v>5.21</v>
      </c>
      <c r="H40" s="36">
        <v>5.21</v>
      </c>
      <c r="I40" s="36">
        <v>1</v>
      </c>
      <c r="J40" s="36">
        <v>2.68</v>
      </c>
      <c r="K40" s="36">
        <v>149.6</v>
      </c>
      <c r="L40" s="42">
        <v>1000</v>
      </c>
      <c r="M40" s="43">
        <v>9.9999999999999995E-7</v>
      </c>
      <c r="N40" s="36">
        <f t="shared" si="1"/>
        <v>2.1700000000000001E-2</v>
      </c>
      <c r="O40" s="38">
        <f t="shared" si="2"/>
        <v>5.2100000000000002E-3</v>
      </c>
      <c r="P40" s="38">
        <f t="shared" si="3"/>
        <v>5.2100000000000002E-3</v>
      </c>
      <c r="Q40" s="36">
        <f t="shared" si="4"/>
        <v>1.0216572504708099</v>
      </c>
      <c r="R40" s="36">
        <f t="shared" si="5"/>
        <v>13.361219999999999</v>
      </c>
      <c r="S40" s="38">
        <f t="shared" si="6"/>
        <v>4.4810126582278481E-2</v>
      </c>
      <c r="T40" s="37">
        <f t="shared" si="7"/>
        <v>9.5600594379038218E-3</v>
      </c>
      <c r="U40" s="42">
        <f t="shared" si="8"/>
        <v>45780.590717299587</v>
      </c>
      <c r="V40" s="44">
        <f t="shared" si="9"/>
        <v>2.0882341813670095E-7</v>
      </c>
      <c r="W40" s="44">
        <f t="shared" si="10"/>
        <v>1.6705873450936076E-6</v>
      </c>
      <c r="X40" s="37">
        <f t="shared" si="11"/>
        <v>2.1044583409558788E-2</v>
      </c>
      <c r="Y40" s="44">
        <f t="shared" si="12"/>
        <v>12597.116499993361</v>
      </c>
      <c r="Z40" s="37">
        <f t="shared" si="13"/>
        <v>1.4796097020821691E-3</v>
      </c>
      <c r="AA40" s="38">
        <f t="shared" si="14"/>
        <v>1.9760390297917829E-2</v>
      </c>
      <c r="AB40" s="36">
        <f t="shared" si="15"/>
        <v>5.5820311576039068E-2</v>
      </c>
      <c r="AC40" s="37">
        <f t="shared" si="16"/>
        <v>1.1909037916449237E-2</v>
      </c>
      <c r="AD40" s="41">
        <f t="shared" si="17"/>
        <v>12.430457723933412</v>
      </c>
      <c r="AE40">
        <f t="shared" si="18"/>
        <v>1.042E-2</v>
      </c>
      <c r="AF40" s="36">
        <f t="shared" si="19"/>
        <v>9.1635058408235075</v>
      </c>
      <c r="AG40" s="36">
        <f>IF(AC40&lt;(1/(Sheet1!BL39^2)),MPM!AF40,Sheet1!BL39)</f>
        <v>10.303736565100376</v>
      </c>
      <c r="AH40" s="38">
        <f>IF(AG40=AF40,AB40,Sheet1!BK39)</f>
        <v>4.4149530059515434E-2</v>
      </c>
      <c r="AI40" t="str">
        <f t="shared" si="20"/>
        <v>ok</v>
      </c>
      <c r="AJ40" s="37">
        <f t="shared" si="21"/>
        <v>9.4191238382609951E-3</v>
      </c>
      <c r="AK40" s="41">
        <f t="shared" si="22"/>
        <v>9.8315263994814917</v>
      </c>
      <c r="AL40" s="42">
        <f t="shared" si="23"/>
        <v>79.092231499665715</v>
      </c>
    </row>
    <row r="41" spans="2:38">
      <c r="B41" s="36">
        <f t="shared" si="24"/>
        <v>36</v>
      </c>
      <c r="C41" s="36">
        <v>21.7</v>
      </c>
      <c r="D41" s="36">
        <v>0.35399999999999998</v>
      </c>
      <c r="E41" s="36">
        <v>7.0999999999999994E-2</v>
      </c>
      <c r="F41" s="37">
        <v>9.640000000000001E-3</v>
      </c>
      <c r="G41" s="36">
        <v>5.21</v>
      </c>
      <c r="H41" s="36">
        <v>5.21</v>
      </c>
      <c r="I41" s="36">
        <v>1</v>
      </c>
      <c r="J41" s="36">
        <v>2.68</v>
      </c>
      <c r="K41" s="36">
        <v>13</v>
      </c>
      <c r="L41" s="42">
        <v>1000</v>
      </c>
      <c r="M41" s="43">
        <v>9.9999999999999995E-7</v>
      </c>
      <c r="N41" s="36">
        <f t="shared" si="1"/>
        <v>2.1700000000000001E-2</v>
      </c>
      <c r="O41" s="38">
        <f t="shared" si="2"/>
        <v>5.2100000000000002E-3</v>
      </c>
      <c r="P41" s="38">
        <f t="shared" si="3"/>
        <v>5.2100000000000002E-3</v>
      </c>
      <c r="Q41" s="36">
        <f t="shared" si="4"/>
        <v>0.86337232434152955</v>
      </c>
      <c r="R41" s="36">
        <f t="shared" si="5"/>
        <v>6.7143564000000007</v>
      </c>
      <c r="S41" s="38">
        <f t="shared" si="6"/>
        <v>5.0673387096774186E-2</v>
      </c>
      <c r="T41" s="37">
        <f t="shared" si="7"/>
        <v>6.4287972505465158E-3</v>
      </c>
      <c r="U41" s="42">
        <f t="shared" si="8"/>
        <v>43750.000000000007</v>
      </c>
      <c r="V41" s="44">
        <f t="shared" si="9"/>
        <v>1.4694393715534892E-7</v>
      </c>
      <c r="W41" s="44">
        <f t="shared" si="10"/>
        <v>1.1755514972427913E-6</v>
      </c>
      <c r="X41" s="37">
        <f t="shared" si="11"/>
        <v>1.9616197588444153E-2</v>
      </c>
      <c r="Y41" s="44">
        <f t="shared" si="12"/>
        <v>16686.804137847772</v>
      </c>
      <c r="Z41" s="37">
        <f t="shared" si="13"/>
        <v>2.7445009768891494E-3</v>
      </c>
      <c r="AA41" s="38">
        <f t="shared" si="14"/>
        <v>2.2389499023110847E-2</v>
      </c>
      <c r="AB41" s="36">
        <f t="shared" si="15"/>
        <v>6.3247172381669062E-2</v>
      </c>
      <c r="AC41" s="37">
        <f t="shared" si="16"/>
        <v>8.0239997996502492E-3</v>
      </c>
      <c r="AD41" s="41">
        <f t="shared" si="17"/>
        <v>5.9811838966586341</v>
      </c>
      <c r="AE41">
        <f t="shared" si="18"/>
        <v>1.042E-2</v>
      </c>
      <c r="AF41" s="36">
        <f t="shared" si="19"/>
        <v>11.163607156598671</v>
      </c>
      <c r="AG41" s="36">
        <f>IF(AC41&lt;(1/(Sheet1!BL40^2)),MPM!AF41,Sheet1!BL40)</f>
        <v>11.163607156598671</v>
      </c>
      <c r="AH41" s="38">
        <f>IF(AG41=AF41,AB41,Sheet1!BK40)</f>
        <v>6.3247172381669062E-2</v>
      </c>
      <c r="AI41" t="str">
        <f t="shared" si="20"/>
        <v>ok</v>
      </c>
      <c r="AJ41" s="37">
        <f t="shared" si="21"/>
        <v>8.0239997996502492E-3</v>
      </c>
      <c r="AK41" s="41">
        <f t="shared" si="22"/>
        <v>5.9811838966586341</v>
      </c>
      <c r="AL41" s="42">
        <f t="shared" si="23"/>
        <v>100</v>
      </c>
    </row>
    <row r="42" spans="2:38">
      <c r="B42" s="36">
        <f t="shared" si="24"/>
        <v>37</v>
      </c>
      <c r="C42" s="36">
        <v>21.7</v>
      </c>
      <c r="D42" s="36">
        <v>0.35399999999999998</v>
      </c>
      <c r="E42" s="36">
        <v>7.8E-2</v>
      </c>
      <c r="F42" s="37">
        <v>6.94E-3</v>
      </c>
      <c r="G42" s="36">
        <v>5.21</v>
      </c>
      <c r="H42" s="36">
        <v>5.21</v>
      </c>
      <c r="I42" s="36">
        <v>1</v>
      </c>
      <c r="J42" s="36">
        <v>2.68</v>
      </c>
      <c r="K42" s="36">
        <v>1.2</v>
      </c>
      <c r="L42" s="42">
        <v>1000</v>
      </c>
      <c r="M42" s="43">
        <v>9.9999999999999995E-7</v>
      </c>
      <c r="N42" s="36">
        <f t="shared" si="1"/>
        <v>2.1700000000000001E-2</v>
      </c>
      <c r="O42" s="38">
        <f t="shared" si="2"/>
        <v>5.2100000000000002E-3</v>
      </c>
      <c r="P42" s="38">
        <f t="shared" si="3"/>
        <v>5.2100000000000002E-3</v>
      </c>
      <c r="Q42" s="36">
        <f t="shared" si="4"/>
        <v>0.78589019266985383</v>
      </c>
      <c r="R42" s="36">
        <f t="shared" si="5"/>
        <v>5.3103491999999992</v>
      </c>
      <c r="S42" s="38">
        <f t="shared" si="6"/>
        <v>5.4141176470588227E-2</v>
      </c>
      <c r="T42" s="37">
        <f t="shared" si="7"/>
        <v>5.9680496593796581E-3</v>
      </c>
      <c r="U42" s="42">
        <f t="shared" si="8"/>
        <v>42549.01960784314</v>
      </c>
      <c r="V42" s="44">
        <f t="shared" si="9"/>
        <v>1.4026291826191821E-7</v>
      </c>
      <c r="W42" s="44">
        <f t="shared" si="10"/>
        <v>1.1221033460953457E-6</v>
      </c>
      <c r="X42" s="37">
        <f t="shared" si="11"/>
        <v>1.9434486362815726E-2</v>
      </c>
      <c r="Y42" s="44">
        <f t="shared" si="12"/>
        <v>17319.693796870975</v>
      </c>
      <c r="Z42" s="37">
        <f t="shared" si="13"/>
        <v>3.4379767778154563E-3</v>
      </c>
      <c r="AA42" s="38">
        <f t="shared" si="14"/>
        <v>2.4174023222184541E-2</v>
      </c>
      <c r="AB42" s="36">
        <f t="shared" si="15"/>
        <v>6.8288201192611697E-2</v>
      </c>
      <c r="AC42" s="37">
        <f t="shared" si="16"/>
        <v>7.5274939045444043E-3</v>
      </c>
      <c r="AD42" s="41">
        <f t="shared" si="17"/>
        <v>4.6491563406746748</v>
      </c>
      <c r="AE42">
        <f t="shared" si="18"/>
        <v>1.042E-2</v>
      </c>
      <c r="AF42" s="36">
        <f t="shared" si="19"/>
        <v>11.525898579357474</v>
      </c>
      <c r="AG42" s="36">
        <f>IF(AC42&lt;(1/(Sheet1!BL41^2)),MPM!AF42,Sheet1!BL41)</f>
        <v>11.525898579357474</v>
      </c>
      <c r="AH42" s="38">
        <f>IF(AG42=AF42,AB42,Sheet1!BK41)</f>
        <v>6.8288201192611697E-2</v>
      </c>
      <c r="AI42" t="str">
        <f t="shared" si="20"/>
        <v>ok</v>
      </c>
      <c r="AJ42" s="37">
        <f t="shared" si="21"/>
        <v>7.5274939045444043E-3</v>
      </c>
      <c r="AK42" s="41">
        <f t="shared" si="22"/>
        <v>4.6491563406746748</v>
      </c>
      <c r="AL42" s="42">
        <f t="shared" si="23"/>
        <v>100</v>
      </c>
    </row>
    <row r="43" spans="2:38">
      <c r="B43" s="36">
        <f t="shared" si="24"/>
        <v>38</v>
      </c>
      <c r="C43" s="36">
        <v>21.7</v>
      </c>
      <c r="D43" s="36">
        <v>0.35399999999999998</v>
      </c>
      <c r="E43" s="36">
        <v>6.7000000000000004E-2</v>
      </c>
      <c r="F43" s="37">
        <v>1.2670000000000001E-2</v>
      </c>
      <c r="G43" s="36">
        <v>5.21</v>
      </c>
      <c r="H43" s="36">
        <v>5.21</v>
      </c>
      <c r="I43" s="36">
        <v>1</v>
      </c>
      <c r="J43" s="36">
        <v>2.68</v>
      </c>
      <c r="K43" s="36">
        <v>37.799999999999997</v>
      </c>
      <c r="L43" s="42">
        <v>1000</v>
      </c>
      <c r="M43" s="43">
        <v>9.9999999999999995E-7</v>
      </c>
      <c r="N43" s="36">
        <f t="shared" si="1"/>
        <v>2.1700000000000001E-2</v>
      </c>
      <c r="O43" s="38">
        <f t="shared" si="2"/>
        <v>5.2100000000000002E-3</v>
      </c>
      <c r="P43" s="38">
        <f t="shared" si="3"/>
        <v>5.2100000000000002E-3</v>
      </c>
      <c r="Q43" s="36">
        <f t="shared" si="4"/>
        <v>0.91491694072012819</v>
      </c>
      <c r="R43" s="36">
        <f t="shared" si="5"/>
        <v>8.3276109000000016</v>
      </c>
      <c r="S43" s="38">
        <f t="shared" si="6"/>
        <v>4.8602459016393443E-2</v>
      </c>
      <c r="T43" s="37">
        <f t="shared" si="7"/>
        <v>7.2167311537296979E-3</v>
      </c>
      <c r="U43" s="42">
        <f t="shared" si="8"/>
        <v>44467.2131147541</v>
      </c>
      <c r="V43" s="44">
        <f t="shared" si="9"/>
        <v>1.6229330889493514E-7</v>
      </c>
      <c r="W43" s="44">
        <f t="shared" si="10"/>
        <v>1.2983464711594811E-6</v>
      </c>
      <c r="X43" s="37">
        <f t="shared" si="11"/>
        <v>2.0009886072983034E-2</v>
      </c>
      <c r="Y43" s="44">
        <f t="shared" si="12"/>
        <v>15411.823051448906</v>
      </c>
      <c r="Z43" s="37">
        <f t="shared" si="13"/>
        <v>2.2572369107830199E-3</v>
      </c>
      <c r="AA43" s="38">
        <f t="shared" si="14"/>
        <v>2.1460763089216978E-2</v>
      </c>
      <c r="AB43" s="36">
        <f t="shared" si="15"/>
        <v>6.0623624545810675E-2</v>
      </c>
      <c r="AC43" s="37">
        <f t="shared" si="16"/>
        <v>9.0016926872814318E-3</v>
      </c>
      <c r="AD43" s="41">
        <f t="shared" si="17"/>
        <v>7.5350739785850838</v>
      </c>
      <c r="AE43">
        <f t="shared" si="18"/>
        <v>1.042E-2</v>
      </c>
      <c r="AF43" s="36">
        <f t="shared" si="19"/>
        <v>10.53993442421865</v>
      </c>
      <c r="AG43" s="36">
        <f>IF(AC43&lt;(1/(Sheet1!BL42^2)),MPM!AF43,Sheet1!BL42)</f>
        <v>10.781272268655739</v>
      </c>
      <c r="AH43" s="38">
        <f>IF(AG43=AF43,AB43,Sheet1!BK42)</f>
        <v>5.7939892943299355E-2</v>
      </c>
      <c r="AI43" t="str">
        <f t="shared" si="20"/>
        <v>ok</v>
      </c>
      <c r="AJ43" s="37">
        <f t="shared" si="21"/>
        <v>8.6031990747504408E-3</v>
      </c>
      <c r="AK43" s="41">
        <f t="shared" si="22"/>
        <v>7.2015057315089361</v>
      </c>
      <c r="AL43" s="42">
        <f t="shared" si="23"/>
        <v>95.573125784509088</v>
      </c>
    </row>
    <row r="44" spans="2:38">
      <c r="B44" s="36">
        <f t="shared" si="24"/>
        <v>39</v>
      </c>
      <c r="C44" s="36">
        <v>21.7</v>
      </c>
      <c r="D44" s="36">
        <v>0.35399999999999998</v>
      </c>
      <c r="E44" s="36">
        <v>6.0999999999999999E-2</v>
      </c>
      <c r="F44" s="37">
        <v>1.7600000000000001E-2</v>
      </c>
      <c r="G44" s="36">
        <v>5.21</v>
      </c>
      <c r="H44" s="36">
        <v>5.21</v>
      </c>
      <c r="I44" s="36">
        <v>1</v>
      </c>
      <c r="J44" s="36">
        <v>2.68</v>
      </c>
      <c r="K44" s="36">
        <v>88.7</v>
      </c>
      <c r="L44" s="42">
        <v>1000</v>
      </c>
      <c r="M44" s="43">
        <v>9.9999999999999995E-7</v>
      </c>
      <c r="N44" s="36">
        <f t="shared" si="1"/>
        <v>2.1700000000000001E-2</v>
      </c>
      <c r="O44" s="38">
        <f t="shared" si="2"/>
        <v>5.2100000000000002E-3</v>
      </c>
      <c r="P44" s="38">
        <f t="shared" si="3"/>
        <v>5.2100000000000002E-3</v>
      </c>
      <c r="Q44" s="36">
        <f t="shared" si="4"/>
        <v>1.0049087709548949</v>
      </c>
      <c r="R44" s="36">
        <f t="shared" si="5"/>
        <v>10.532016</v>
      </c>
      <c r="S44" s="38">
        <f t="shared" si="6"/>
        <v>4.5365546218487394E-2</v>
      </c>
      <c r="T44" s="37">
        <f t="shared" si="7"/>
        <v>7.7562990607725609E-3</v>
      </c>
      <c r="U44" s="42">
        <f t="shared" si="8"/>
        <v>45588.23529411765</v>
      </c>
      <c r="V44" s="44">
        <f t="shared" si="9"/>
        <v>1.7013817294597876E-7</v>
      </c>
      <c r="W44" s="44">
        <f t="shared" si="10"/>
        <v>1.3611053835678301E-6</v>
      </c>
      <c r="X44" s="37">
        <f t="shared" si="11"/>
        <v>2.0199696579690753E-2</v>
      </c>
      <c r="Y44" s="44">
        <f t="shared" si="12"/>
        <v>14840.655854833089</v>
      </c>
      <c r="Z44" s="37">
        <f t="shared" si="13"/>
        <v>1.8017158040815856E-3</v>
      </c>
      <c r="AA44" s="38">
        <f t="shared" si="14"/>
        <v>1.9792284195918414E-2</v>
      </c>
      <c r="AB44" s="36">
        <f t="shared" si="15"/>
        <v>5.5910407333102867E-2</v>
      </c>
      <c r="AC44" s="37">
        <f t="shared" si="16"/>
        <v>9.5591892092865959E-3</v>
      </c>
      <c r="AD44" s="41">
        <f t="shared" si="17"/>
        <v>9.6532672885042086</v>
      </c>
      <c r="AE44">
        <f t="shared" si="18"/>
        <v>1.042E-2</v>
      </c>
      <c r="AF44" s="36">
        <f t="shared" si="19"/>
        <v>10.227970601710345</v>
      </c>
      <c r="AG44" s="36">
        <f>IF(AC44&lt;(1/(Sheet1!BL43^2)),MPM!AF44,Sheet1!BL43)</f>
        <v>10.592884795982112</v>
      </c>
      <c r="AH44" s="38">
        <f>IF(AG44=AF44,AB44,Sheet1!BK43)</f>
        <v>5.2124643807856176E-2</v>
      </c>
      <c r="AI44" t="str">
        <f t="shared" si="20"/>
        <v>ok</v>
      </c>
      <c r="AJ44" s="37">
        <f t="shared" si="21"/>
        <v>8.9119245661012543E-3</v>
      </c>
      <c r="AK44" s="41">
        <f t="shared" si="22"/>
        <v>8.9996325010479286</v>
      </c>
      <c r="AL44" s="42">
        <f t="shared" si="23"/>
        <v>93.228875074922314</v>
      </c>
    </row>
    <row r="45" spans="2:38">
      <c r="B45" s="36">
        <f t="shared" si="24"/>
        <v>40</v>
      </c>
      <c r="C45" s="36">
        <v>21.7</v>
      </c>
      <c r="D45" s="36">
        <v>0.35399999999999998</v>
      </c>
      <c r="E45" s="36">
        <v>5.8000000000000003E-2</v>
      </c>
      <c r="F45" s="37">
        <v>2.2260000000000002E-2</v>
      </c>
      <c r="G45" s="36">
        <v>5.21</v>
      </c>
      <c r="H45" s="36">
        <v>5.21</v>
      </c>
      <c r="I45" s="36">
        <v>1</v>
      </c>
      <c r="J45" s="36">
        <v>2.68</v>
      </c>
      <c r="K45" s="36">
        <v>151.9</v>
      </c>
      <c r="L45" s="42">
        <v>1000</v>
      </c>
      <c r="M45" s="43">
        <v>9.9999999999999995E-7</v>
      </c>
      <c r="N45" s="36">
        <f t="shared" si="1"/>
        <v>2.1700000000000001E-2</v>
      </c>
      <c r="O45" s="38">
        <f t="shared" si="2"/>
        <v>5.2100000000000002E-3</v>
      </c>
      <c r="P45" s="38">
        <f t="shared" si="3"/>
        <v>5.2100000000000002E-3</v>
      </c>
      <c r="Q45" s="36">
        <f t="shared" si="4"/>
        <v>1.0568868108318721</v>
      </c>
      <c r="R45" s="36">
        <f t="shared" si="5"/>
        <v>12.665494800000001</v>
      </c>
      <c r="S45" s="38">
        <f t="shared" si="6"/>
        <v>4.3685106382978726E-2</v>
      </c>
      <c r="T45" s="37">
        <f t="shared" si="7"/>
        <v>8.5402504812022977E-3</v>
      </c>
      <c r="U45" s="42">
        <f t="shared" si="8"/>
        <v>46170.212765957447</v>
      </c>
      <c r="V45" s="44">
        <f t="shared" si="9"/>
        <v>1.8497316710438156E-7</v>
      </c>
      <c r="W45" s="44">
        <f t="shared" si="10"/>
        <v>1.4797853368350525E-6</v>
      </c>
      <c r="X45" s="37">
        <f t="shared" si="11"/>
        <v>2.054027432526162E-2</v>
      </c>
      <c r="Y45" s="44">
        <f t="shared" si="12"/>
        <v>13880.577009360641</v>
      </c>
      <c r="Z45" s="37">
        <f t="shared" si="13"/>
        <v>1.5234809599132882E-3</v>
      </c>
      <c r="AA45" s="38">
        <f t="shared" si="14"/>
        <v>1.9008519040086713E-2</v>
      </c>
      <c r="AB45" s="36">
        <f t="shared" si="15"/>
        <v>5.3696381469171509E-2</v>
      </c>
      <c r="AC45" s="37">
        <f t="shared" si="16"/>
        <v>1.0497411718781885E-2</v>
      </c>
      <c r="AD45" s="41">
        <f t="shared" si="17"/>
        <v>11.725711039251868</v>
      </c>
      <c r="AE45">
        <f t="shared" si="18"/>
        <v>1.042E-2</v>
      </c>
      <c r="AF45" s="36">
        <f t="shared" si="19"/>
        <v>9.7602037632508658</v>
      </c>
      <c r="AG45" s="36">
        <f>IF(AC45&lt;(1/(Sheet1!BL44^2)),MPM!AF45,Sheet1!BL44)</f>
        <v>10.416891674196858</v>
      </c>
      <c r="AH45" s="38">
        <f>IF(AG45=AF45,AB45,Sheet1!BK44)</f>
        <v>4.713966515494207E-2</v>
      </c>
      <c r="AI45" t="str">
        <f t="shared" si="20"/>
        <v>ok</v>
      </c>
      <c r="AJ45" s="37">
        <f t="shared" si="21"/>
        <v>9.2156018683754812E-3</v>
      </c>
      <c r="AK45" s="41">
        <f t="shared" si="22"/>
        <v>10.293916963171156</v>
      </c>
      <c r="AL45" s="42">
        <f t="shared" si="23"/>
        <v>87.789277159502106</v>
      </c>
    </row>
    <row r="46" spans="2:38">
      <c r="B46" s="36">
        <f t="shared" si="24"/>
        <v>41</v>
      </c>
      <c r="C46" s="36">
        <v>60.8</v>
      </c>
      <c r="D46" s="36">
        <v>0.35399999999999998</v>
      </c>
      <c r="E46" s="36">
        <v>0.13600000000000001</v>
      </c>
      <c r="F46" s="37">
        <v>1.12E-2</v>
      </c>
      <c r="G46" s="36">
        <v>5.21</v>
      </c>
      <c r="H46" s="36">
        <v>5.21</v>
      </c>
      <c r="I46" s="36">
        <v>1</v>
      </c>
      <c r="J46" s="36">
        <v>2.68</v>
      </c>
      <c r="K46" s="36">
        <v>154.19999999999999</v>
      </c>
      <c r="L46" s="42">
        <v>1000</v>
      </c>
      <c r="M46" s="43">
        <v>9.9999999999999995E-7</v>
      </c>
      <c r="N46" s="36">
        <f t="shared" si="1"/>
        <v>6.08E-2</v>
      </c>
      <c r="O46" s="38">
        <f t="shared" si="2"/>
        <v>5.2100000000000002E-3</v>
      </c>
      <c r="P46" s="38">
        <f t="shared" si="3"/>
        <v>5.2100000000000002E-3</v>
      </c>
      <c r="Q46" s="36">
        <f t="shared" si="4"/>
        <v>1.2628780325689597</v>
      </c>
      <c r="R46" s="36">
        <f t="shared" si="5"/>
        <v>14.942592000000001</v>
      </c>
      <c r="S46" s="38">
        <f t="shared" si="6"/>
        <v>7.6907348242811494E-2</v>
      </c>
      <c r="T46" s="37">
        <f t="shared" si="7"/>
        <v>5.298245152858475E-3</v>
      </c>
      <c r="U46" s="42">
        <f t="shared" si="8"/>
        <v>97124.600638977616</v>
      </c>
      <c r="V46" s="44">
        <f t="shared" si="9"/>
        <v>5.4551010948838916E-8</v>
      </c>
      <c r="W46" s="44">
        <f t="shared" si="10"/>
        <v>4.3640808759071132E-7</v>
      </c>
      <c r="X46" s="37">
        <f t="shared" si="11"/>
        <v>1.6089592825437926E-2</v>
      </c>
      <c r="Y46" s="44">
        <f t="shared" si="12"/>
        <v>36868.227887948022</v>
      </c>
      <c r="Z46" s="37">
        <f t="shared" si="13"/>
        <v>7.9407177311671805E-3</v>
      </c>
      <c r="AA46" s="38">
        <f t="shared" si="14"/>
        <v>4.0203282268832817E-2</v>
      </c>
      <c r="AB46" s="36">
        <f t="shared" si="15"/>
        <v>0.11356859397975373</v>
      </c>
      <c r="AC46" s="37">
        <f t="shared" si="16"/>
        <v>7.8238850554364862E-3</v>
      </c>
      <c r="AD46" s="41">
        <f t="shared" si="17"/>
        <v>12.478008557743502</v>
      </c>
      <c r="AE46">
        <f t="shared" si="18"/>
        <v>1.042E-2</v>
      </c>
      <c r="AF46" s="36">
        <f t="shared" si="19"/>
        <v>11.305473837391121</v>
      </c>
      <c r="AG46" s="36">
        <f>IF(AC46&lt;(1/(Sheet1!BL45^2)),MPM!AF46,Sheet1!BL45)</f>
        <v>11.867514547324477</v>
      </c>
      <c r="AH46" s="38">
        <f>IF(AG46=AF46,AB46,Sheet1!BK45)</f>
        <v>0.1030661948014919</v>
      </c>
      <c r="AI46" t="str">
        <f t="shared" si="20"/>
        <v>ok</v>
      </c>
      <c r="AJ46" s="37">
        <f t="shared" si="21"/>
        <v>7.1003614022194621E-3</v>
      </c>
      <c r="AK46" s="41">
        <f t="shared" si="22"/>
        <v>11.32408895480933</v>
      </c>
      <c r="AL46" s="42">
        <f t="shared" si="23"/>
        <v>90.752373685317906</v>
      </c>
    </row>
    <row r="47" spans="2:38">
      <c r="B47" s="36">
        <f t="shared" si="24"/>
        <v>42</v>
      </c>
      <c r="C47" s="36">
        <v>60.8</v>
      </c>
      <c r="D47" s="36">
        <v>0.35399999999999998</v>
      </c>
      <c r="E47" s="36">
        <v>0.14799999999999999</v>
      </c>
      <c r="F47" s="37">
        <v>8.8800000000000007E-3</v>
      </c>
      <c r="G47" s="36">
        <v>5.21</v>
      </c>
      <c r="H47" s="36">
        <v>5.21</v>
      </c>
      <c r="I47" s="36">
        <v>1</v>
      </c>
      <c r="J47" s="36">
        <v>2.68</v>
      </c>
      <c r="K47" s="36">
        <v>89.2</v>
      </c>
      <c r="L47" s="42">
        <v>1000</v>
      </c>
      <c r="M47" s="43">
        <v>9.9999999999999995E-7</v>
      </c>
      <c r="N47" s="36">
        <f t="shared" si="1"/>
        <v>6.08E-2</v>
      </c>
      <c r="O47" s="38">
        <f t="shared" si="2"/>
        <v>5.2100000000000002E-3</v>
      </c>
      <c r="P47" s="38">
        <f t="shared" si="3"/>
        <v>5.2100000000000002E-3</v>
      </c>
      <c r="Q47" s="36">
        <f t="shared" si="4"/>
        <v>1.1604825164147199</v>
      </c>
      <c r="R47" s="36">
        <f t="shared" si="5"/>
        <v>12.8926944</v>
      </c>
      <c r="S47" s="38">
        <f t="shared" si="6"/>
        <v>8.060307692307693E-2</v>
      </c>
      <c r="T47" s="37">
        <f t="shared" si="7"/>
        <v>5.2138242806463687E-3</v>
      </c>
      <c r="U47" s="42">
        <f t="shared" si="8"/>
        <v>93538.461538461561</v>
      </c>
      <c r="V47" s="44">
        <f t="shared" si="9"/>
        <v>5.5739897737173335E-8</v>
      </c>
      <c r="W47" s="44">
        <f t="shared" si="10"/>
        <v>4.4591918189738668E-7</v>
      </c>
      <c r="X47" s="37">
        <f t="shared" si="11"/>
        <v>1.6159120759694477E-2</v>
      </c>
      <c r="Y47" s="44">
        <f t="shared" si="12"/>
        <v>36237.778987074285</v>
      </c>
      <c r="Z47" s="37">
        <f t="shared" si="13"/>
        <v>9.2430367786262412E-3</v>
      </c>
      <c r="AA47" s="38">
        <f t="shared" si="14"/>
        <v>4.3148963221373751E-2</v>
      </c>
      <c r="AB47" s="36">
        <f t="shared" si="15"/>
        <v>0.12188972661405015</v>
      </c>
      <c r="AC47" s="37">
        <f t="shared" si="16"/>
        <v>7.884458515004078E-3</v>
      </c>
      <c r="AD47" s="41">
        <f t="shared" si="17"/>
        <v>10.618155376584429</v>
      </c>
      <c r="AE47">
        <f t="shared" si="18"/>
        <v>1.042E-2</v>
      </c>
      <c r="AF47" s="36">
        <f t="shared" si="19"/>
        <v>11.261962160060584</v>
      </c>
      <c r="AG47" s="36">
        <f>IF(AC47&lt;(1/(Sheet1!BL46^2)),MPM!AF47,Sheet1!BL46)</f>
        <v>11.9613363581388</v>
      </c>
      <c r="AH47" s="38">
        <f>IF(AG47=AF47,AB47,Sheet1!BK46)</f>
        <v>0.10805274999038239</v>
      </c>
      <c r="AI47" t="str">
        <f t="shared" si="20"/>
        <v>ok</v>
      </c>
      <c r="AJ47" s="37">
        <f t="shared" si="21"/>
        <v>6.9894112355308189E-3</v>
      </c>
      <c r="AK47" s="41">
        <f t="shared" si="22"/>
        <v>9.4127775989284661</v>
      </c>
      <c r="AL47" s="42">
        <f t="shared" si="23"/>
        <v>88.647954989299649</v>
      </c>
    </row>
    <row r="48" spans="2:38">
      <c r="B48" s="36">
        <f t="shared" si="24"/>
        <v>43</v>
      </c>
      <c r="C48" s="36">
        <v>60.8</v>
      </c>
      <c r="D48" s="36">
        <v>0.35399999999999998</v>
      </c>
      <c r="E48" s="36">
        <v>0.16</v>
      </c>
      <c r="F48" s="37">
        <v>6.2199999999999998E-3</v>
      </c>
      <c r="G48" s="36">
        <v>5.21</v>
      </c>
      <c r="H48" s="36">
        <v>5.21</v>
      </c>
      <c r="I48" s="36">
        <v>1</v>
      </c>
      <c r="J48" s="36">
        <v>2.68</v>
      </c>
      <c r="K48" s="36">
        <v>38.4</v>
      </c>
      <c r="L48" s="42">
        <v>1000</v>
      </c>
      <c r="M48" s="43">
        <v>9.9999999999999995E-7</v>
      </c>
      <c r="N48" s="36">
        <f t="shared" si="1"/>
        <v>6.08E-2</v>
      </c>
      <c r="O48" s="38">
        <f t="shared" si="2"/>
        <v>5.2100000000000002E-3</v>
      </c>
      <c r="P48" s="38">
        <f t="shared" si="3"/>
        <v>5.2100000000000002E-3</v>
      </c>
      <c r="Q48" s="36">
        <f t="shared" si="4"/>
        <v>1.0734463276836159</v>
      </c>
      <c r="R48" s="36">
        <f t="shared" si="5"/>
        <v>9.762912</v>
      </c>
      <c r="S48" s="38">
        <f t="shared" si="6"/>
        <v>8.4035608308605347E-2</v>
      </c>
      <c r="T48" s="37">
        <f t="shared" si="7"/>
        <v>4.4500211084028043E-3</v>
      </c>
      <c r="U48" s="42">
        <f t="shared" si="8"/>
        <v>90207.715133531165</v>
      </c>
      <c r="V48" s="44">
        <f t="shared" si="9"/>
        <v>4.9330826103017925E-8</v>
      </c>
      <c r="W48" s="44">
        <f t="shared" si="10"/>
        <v>3.946466088241434E-7</v>
      </c>
      <c r="X48" s="37">
        <f t="shared" si="11"/>
        <v>1.5769145873161999E-2</v>
      </c>
      <c r="Y48" s="44">
        <f t="shared" si="12"/>
        <v>39957.636833992947</v>
      </c>
      <c r="Z48" s="37">
        <f t="shared" si="13"/>
        <v>1.1911581843565054E-2</v>
      </c>
      <c r="AA48" s="38">
        <f t="shared" si="14"/>
        <v>4.472841815643494E-2</v>
      </c>
      <c r="AB48" s="36">
        <f t="shared" si="15"/>
        <v>0.12635146371874278</v>
      </c>
      <c r="AC48" s="37">
        <f t="shared" si="16"/>
        <v>6.6908146670537003E-3</v>
      </c>
      <c r="AD48" s="41">
        <f t="shared" si="17"/>
        <v>7.7097388834829905</v>
      </c>
      <c r="AE48">
        <f t="shared" si="18"/>
        <v>1.042E-2</v>
      </c>
      <c r="AF48" s="36">
        <f t="shared" si="19"/>
        <v>12.225327436855764</v>
      </c>
      <c r="AG48" s="36">
        <f>IF(AC48&lt;(1/(Sheet1!BL47^2)),MPM!AF48,Sheet1!BL47)</f>
        <v>12.264305466319215</v>
      </c>
      <c r="AH48" s="38">
        <f>IF(AG48=AF48,AB48,Sheet1!BK47)</f>
        <v>0.12554960747718508</v>
      </c>
      <c r="AI48" t="str">
        <f t="shared" si="20"/>
        <v>ok</v>
      </c>
      <c r="AJ48" s="37">
        <f t="shared" si="21"/>
        <v>6.6483531763354732E-3</v>
      </c>
      <c r="AK48" s="41">
        <f t="shared" si="22"/>
        <v>7.6608110589457263</v>
      </c>
      <c r="AL48" s="42">
        <f t="shared" si="23"/>
        <v>99.365376372965301</v>
      </c>
    </row>
    <row r="49" spans="2:38">
      <c r="B49" s="36">
        <f t="shared" si="24"/>
        <v>44</v>
      </c>
      <c r="C49" s="36">
        <v>60.8</v>
      </c>
      <c r="D49" s="36">
        <v>0.35399999999999998</v>
      </c>
      <c r="E49" s="36">
        <v>0.16</v>
      </c>
      <c r="F49" s="37">
        <v>6.3299999999999997E-3</v>
      </c>
      <c r="G49" s="36">
        <v>5.21</v>
      </c>
      <c r="H49" s="36">
        <v>5.21</v>
      </c>
      <c r="I49" s="36">
        <v>1</v>
      </c>
      <c r="J49" s="36">
        <v>2.68</v>
      </c>
      <c r="K49" s="36">
        <v>38.4</v>
      </c>
      <c r="L49" s="42">
        <v>1000</v>
      </c>
      <c r="M49" s="43">
        <v>9.9999999999999995E-7</v>
      </c>
      <c r="N49" s="36">
        <f t="shared" si="1"/>
        <v>6.08E-2</v>
      </c>
      <c r="O49" s="38">
        <f t="shared" si="2"/>
        <v>5.2100000000000002E-3</v>
      </c>
      <c r="P49" s="38">
        <f t="shared" si="3"/>
        <v>5.2100000000000002E-3</v>
      </c>
      <c r="Q49" s="36">
        <f t="shared" si="4"/>
        <v>1.0734463276836159</v>
      </c>
      <c r="R49" s="36">
        <f t="shared" si="5"/>
        <v>9.935568</v>
      </c>
      <c r="S49" s="38">
        <f t="shared" si="6"/>
        <v>8.4035608308605347E-2</v>
      </c>
      <c r="T49" s="37">
        <f t="shared" si="7"/>
        <v>4.5287192308986739E-3</v>
      </c>
      <c r="U49" s="42">
        <f t="shared" si="8"/>
        <v>90207.715133531165</v>
      </c>
      <c r="V49" s="44">
        <f t="shared" si="9"/>
        <v>5.0203236210949114E-8</v>
      </c>
      <c r="W49" s="44">
        <f t="shared" si="10"/>
        <v>4.0162588968759291E-7</v>
      </c>
      <c r="X49" s="37">
        <f t="shared" si="11"/>
        <v>1.5824530571947087E-2</v>
      </c>
      <c r="Y49" s="44">
        <f t="shared" si="12"/>
        <v>39401.171533678498</v>
      </c>
      <c r="Z49" s="37">
        <f t="shared" si="13"/>
        <v>1.1745696608776578E-2</v>
      </c>
      <c r="AA49" s="38">
        <f t="shared" si="14"/>
        <v>4.4894303391223418E-2</v>
      </c>
      <c r="AB49" s="36">
        <f t="shared" si="15"/>
        <v>0.12682006607690233</v>
      </c>
      <c r="AC49" s="37">
        <f t="shared" si="16"/>
        <v>6.8343941772537366E-3</v>
      </c>
      <c r="AD49" s="41">
        <f t="shared" si="17"/>
        <v>7.875183689197228</v>
      </c>
      <c r="AE49">
        <f t="shared" si="18"/>
        <v>1.042E-2</v>
      </c>
      <c r="AF49" s="36">
        <f t="shared" si="19"/>
        <v>12.096228672379022</v>
      </c>
      <c r="AG49" s="36">
        <f>IF(AC49&lt;(1/(Sheet1!BL48^2)),MPM!AF49,Sheet1!BL48)</f>
        <v>12.237460225597149</v>
      </c>
      <c r="AH49" s="38">
        <f>IF(AG49=AF49,AB49,Sheet1!BK48)</f>
        <v>0.12390971705123661</v>
      </c>
      <c r="AI49" t="str">
        <f t="shared" si="20"/>
        <v>ok</v>
      </c>
      <c r="AJ49" s="37">
        <f t="shared" si="21"/>
        <v>6.6775540725478892E-3</v>
      </c>
      <c r="AK49" s="41">
        <f t="shared" si="22"/>
        <v>7.6944588725774477</v>
      </c>
      <c r="AL49" s="42">
        <f t="shared" si="23"/>
        <v>97.705135222843253</v>
      </c>
    </row>
    <row r="50" spans="2:38">
      <c r="B50" s="36">
        <f t="shared" si="24"/>
        <v>45</v>
      </c>
      <c r="C50" s="36">
        <v>43.4</v>
      </c>
      <c r="D50" s="36">
        <v>0.35399999999999998</v>
      </c>
      <c r="E50" s="36">
        <v>0.12</v>
      </c>
      <c r="F50" s="37">
        <v>7.5499999999999994E-3</v>
      </c>
      <c r="G50" s="36">
        <v>5.21</v>
      </c>
      <c r="H50" s="36">
        <v>5.21</v>
      </c>
      <c r="I50" s="36">
        <v>1</v>
      </c>
      <c r="J50" s="36">
        <v>2.68</v>
      </c>
      <c r="K50" s="36">
        <v>45.7</v>
      </c>
      <c r="L50" s="42">
        <v>1000</v>
      </c>
      <c r="M50" s="43">
        <v>9.9999999999999995E-7</v>
      </c>
      <c r="N50" s="36">
        <f t="shared" si="1"/>
        <v>4.3400000000000001E-2</v>
      </c>
      <c r="O50" s="38">
        <f t="shared" si="2"/>
        <v>5.2100000000000002E-3</v>
      </c>
      <c r="P50" s="38">
        <f t="shared" si="3"/>
        <v>5.2100000000000002E-3</v>
      </c>
      <c r="Q50" s="36">
        <f t="shared" si="4"/>
        <v>1.0216572504708099</v>
      </c>
      <c r="R50" s="36">
        <f t="shared" si="5"/>
        <v>8.8878599999999999</v>
      </c>
      <c r="S50" s="38">
        <f t="shared" si="6"/>
        <v>7.1515151515151518E-2</v>
      </c>
      <c r="T50" s="37">
        <f t="shared" si="7"/>
        <v>5.0746206129468558E-3</v>
      </c>
      <c r="U50" s="42">
        <f t="shared" si="8"/>
        <v>73063.973063973084</v>
      </c>
      <c r="V50" s="44">
        <f t="shared" si="9"/>
        <v>6.9454484886876308E-8</v>
      </c>
      <c r="W50" s="44">
        <f t="shared" si="10"/>
        <v>5.5563587909501047E-7</v>
      </c>
      <c r="X50" s="37">
        <f t="shared" si="11"/>
        <v>1.6885913177684501E-2</v>
      </c>
      <c r="Y50" s="44">
        <f t="shared" si="12"/>
        <v>30390.249825456482</v>
      </c>
      <c r="Z50" s="37">
        <f t="shared" si="13"/>
        <v>7.1390478115321166E-3</v>
      </c>
      <c r="AA50" s="38">
        <f t="shared" si="14"/>
        <v>3.5340952188467882E-2</v>
      </c>
      <c r="AB50" s="36">
        <f t="shared" si="15"/>
        <v>9.9833198272508153E-2</v>
      </c>
      <c r="AC50" s="37">
        <f t="shared" si="16"/>
        <v>7.084031776157902E-3</v>
      </c>
      <c r="AD50" s="41">
        <f t="shared" si="17"/>
        <v>7.3941957466524517</v>
      </c>
      <c r="AE50">
        <f t="shared" si="18"/>
        <v>1.042E-2</v>
      </c>
      <c r="AF50" s="36">
        <f t="shared" si="19"/>
        <v>11.88118476581216</v>
      </c>
      <c r="AG50" s="36">
        <f>IF(AC50&lt;(1/(Sheet1!BL49^2)),MPM!AF50,Sheet1!BL49)</f>
        <v>11.88118476581216</v>
      </c>
      <c r="AH50" s="38">
        <f>IF(AG50=AF50,AB50,Sheet1!BK49)</f>
        <v>9.9833198272508153E-2</v>
      </c>
      <c r="AI50" t="str">
        <f t="shared" si="20"/>
        <v>ok</v>
      </c>
      <c r="AJ50" s="37">
        <f t="shared" si="21"/>
        <v>7.0840317761579029E-3</v>
      </c>
      <c r="AK50" s="41">
        <f t="shared" si="22"/>
        <v>7.3941957466524526</v>
      </c>
      <c r="AL50" s="42">
        <f t="shared" si="23"/>
        <v>100.00000000000001</v>
      </c>
    </row>
    <row r="51" spans="2:38">
      <c r="B51" s="36">
        <f t="shared" si="24"/>
        <v>46</v>
      </c>
      <c r="C51" s="36">
        <v>60.8</v>
      </c>
      <c r="D51" s="36">
        <v>0.35399999999999998</v>
      </c>
      <c r="E51" s="36">
        <v>0.17499999999999999</v>
      </c>
      <c r="F51" s="37">
        <v>4.6699999999999997E-3</v>
      </c>
      <c r="G51" s="36">
        <v>5.21</v>
      </c>
      <c r="H51" s="36">
        <v>5.21</v>
      </c>
      <c r="I51" s="36">
        <v>1</v>
      </c>
      <c r="J51" s="36">
        <v>2.68</v>
      </c>
      <c r="K51" s="36">
        <v>13.6</v>
      </c>
      <c r="L51" s="42">
        <v>1000</v>
      </c>
      <c r="M51" s="43">
        <v>9.9999999999999995E-7</v>
      </c>
      <c r="N51" s="36">
        <f t="shared" si="1"/>
        <v>6.08E-2</v>
      </c>
      <c r="O51" s="38">
        <f t="shared" si="2"/>
        <v>5.2100000000000002E-3</v>
      </c>
      <c r="P51" s="38">
        <f t="shared" si="3"/>
        <v>5.2100000000000002E-3</v>
      </c>
      <c r="Q51" s="36">
        <f t="shared" si="4"/>
        <v>0.98143664245359175</v>
      </c>
      <c r="R51" s="36">
        <f t="shared" si="5"/>
        <v>8.017222499999999</v>
      </c>
      <c r="S51" s="38">
        <f t="shared" si="6"/>
        <v>8.7997159090909077E-2</v>
      </c>
      <c r="T51" s="37">
        <f t="shared" si="7"/>
        <v>4.1853328523115321E-3</v>
      </c>
      <c r="U51" s="42">
        <f t="shared" si="8"/>
        <v>86363.636363636368</v>
      </c>
      <c r="V51" s="44">
        <f t="shared" si="9"/>
        <v>4.8461748816238793E-8</v>
      </c>
      <c r="W51" s="44">
        <f t="shared" si="10"/>
        <v>3.8769399052991034E-7</v>
      </c>
      <c r="X51" s="37">
        <f t="shared" si="11"/>
        <v>1.5713188101464586E-2</v>
      </c>
      <c r="Y51" s="44">
        <f t="shared" si="12"/>
        <v>40529.87274831727</v>
      </c>
      <c r="Z51" s="37">
        <f t="shared" si="13"/>
        <v>1.4453765885943898E-2</v>
      </c>
      <c r="AA51" s="38">
        <f t="shared" si="14"/>
        <v>4.7496234114056096E-2</v>
      </c>
      <c r="AB51" s="36">
        <f t="shared" si="15"/>
        <v>0.13417015286456524</v>
      </c>
      <c r="AC51" s="37">
        <f t="shared" si="16"/>
        <v>6.3814190638085957E-3</v>
      </c>
      <c r="AD51" s="41">
        <f t="shared" si="17"/>
        <v>6.1466969621384671</v>
      </c>
      <c r="AE51">
        <f t="shared" si="18"/>
        <v>1.042E-2</v>
      </c>
      <c r="AF51" s="36">
        <f t="shared" si="19"/>
        <v>12.518185052198273</v>
      </c>
      <c r="AG51" s="36">
        <f>IF(AC51&lt;(1/(Sheet1!BL50^2)),MPM!AF51,Sheet1!BL50)</f>
        <v>12.518185052198273</v>
      </c>
      <c r="AH51" s="38">
        <f>IF(AG51=AF51,AB51,Sheet1!BK50)</f>
        <v>0.13417015286456524</v>
      </c>
      <c r="AI51" t="str">
        <f t="shared" si="20"/>
        <v>ok</v>
      </c>
      <c r="AJ51" s="37">
        <f t="shared" si="21"/>
        <v>6.3814190638085957E-3</v>
      </c>
      <c r="AK51" s="41">
        <f t="shared" si="22"/>
        <v>6.1466969621384671</v>
      </c>
      <c r="AL51" s="42">
        <f t="shared" si="23"/>
        <v>100</v>
      </c>
    </row>
    <row r="52" spans="2:38">
      <c r="B52" s="36">
        <f t="shared" si="24"/>
        <v>47</v>
      </c>
      <c r="C52" s="36">
        <v>60.8</v>
      </c>
      <c r="D52" s="36">
        <v>0.35399999999999998</v>
      </c>
      <c r="E52" s="36">
        <v>0.19800000000000001</v>
      </c>
      <c r="F52" s="37">
        <v>3.1900000000000001E-3</v>
      </c>
      <c r="G52" s="36">
        <v>5.21</v>
      </c>
      <c r="H52" s="36">
        <v>5.21</v>
      </c>
      <c r="I52" s="36">
        <v>1</v>
      </c>
      <c r="J52" s="36">
        <v>2.68</v>
      </c>
      <c r="K52" s="36">
        <v>1.2</v>
      </c>
      <c r="L52" s="42">
        <v>1000</v>
      </c>
      <c r="M52" s="43">
        <v>9.9999999999999995E-7</v>
      </c>
      <c r="N52" s="36">
        <f t="shared" si="1"/>
        <v>6.08E-2</v>
      </c>
      <c r="O52" s="38">
        <f t="shared" si="2"/>
        <v>5.2100000000000002E-3</v>
      </c>
      <c r="P52" s="38">
        <f t="shared" si="3"/>
        <v>5.2100000000000002E-3</v>
      </c>
      <c r="Q52" s="36">
        <f t="shared" si="4"/>
        <v>0.86743137590595221</v>
      </c>
      <c r="R52" s="36">
        <f t="shared" si="5"/>
        <v>6.1961922000000005</v>
      </c>
      <c r="S52" s="38">
        <f t="shared" si="6"/>
        <v>9.3455999999999997E-2</v>
      </c>
      <c r="T52" s="37">
        <f t="shared" si="7"/>
        <v>3.8868396589904347E-3</v>
      </c>
      <c r="U52" s="42">
        <f t="shared" si="8"/>
        <v>81066.666666666672</v>
      </c>
      <c r="V52" s="44">
        <f t="shared" si="9"/>
        <v>4.7946212898730689E-8</v>
      </c>
      <c r="W52" s="44">
        <f t="shared" si="10"/>
        <v>3.8356970318984552E-7</v>
      </c>
      <c r="X52" s="37">
        <f t="shared" si="11"/>
        <v>1.5679613561323375E-2</v>
      </c>
      <c r="Y52" s="44">
        <f t="shared" si="12"/>
        <v>40878.133572407947</v>
      </c>
      <c r="Z52" s="37">
        <f t="shared" si="13"/>
        <v>1.8661696295879247E-2</v>
      </c>
      <c r="AA52" s="38">
        <f t="shared" si="14"/>
        <v>5.1430303704120758E-2</v>
      </c>
      <c r="AB52" s="36">
        <f t="shared" si="15"/>
        <v>0.14528334379695129</v>
      </c>
      <c r="AC52" s="37">
        <f t="shared" si="16"/>
        <v>6.0423414490319745E-3</v>
      </c>
      <c r="AD52" s="41">
        <f t="shared" si="17"/>
        <v>4.546482432447414</v>
      </c>
      <c r="AE52">
        <f t="shared" si="18"/>
        <v>1.042E-2</v>
      </c>
      <c r="AF52" s="36">
        <f t="shared" si="19"/>
        <v>12.864632024857363</v>
      </c>
      <c r="AG52" s="36">
        <f>IF(AC52&lt;(1/(Sheet1!BL51^2)),MPM!AF52,Sheet1!BL51)</f>
        <v>12.864632024857363</v>
      </c>
      <c r="AH52" s="38">
        <f>IF(AG52=AF52,AB52,Sheet1!BK51)</f>
        <v>0.14528334379695129</v>
      </c>
      <c r="AI52" t="str">
        <f t="shared" si="20"/>
        <v>ok</v>
      </c>
      <c r="AJ52" s="37">
        <f t="shared" si="21"/>
        <v>6.0423414490319745E-3</v>
      </c>
      <c r="AK52" s="41">
        <f t="shared" si="22"/>
        <v>4.546482432447414</v>
      </c>
      <c r="AL52" s="42">
        <f t="shared" si="23"/>
        <v>100</v>
      </c>
    </row>
    <row r="53" spans="2:38">
      <c r="B53" s="36">
        <f t="shared" si="24"/>
        <v>48</v>
      </c>
      <c r="C53" s="36">
        <v>60.8</v>
      </c>
      <c r="D53" s="36">
        <v>0.35399999999999998</v>
      </c>
      <c r="E53" s="36">
        <v>0.19500000000000001</v>
      </c>
      <c r="F53" s="37">
        <v>3.29E-3</v>
      </c>
      <c r="G53" s="36">
        <v>5.21</v>
      </c>
      <c r="H53" s="36">
        <v>5.21</v>
      </c>
      <c r="I53" s="36">
        <v>1</v>
      </c>
      <c r="J53" s="36">
        <v>2.68</v>
      </c>
      <c r="K53" s="36">
        <v>1.2</v>
      </c>
      <c r="L53" s="42">
        <v>1000</v>
      </c>
      <c r="M53" s="43">
        <v>9.9999999999999995E-7</v>
      </c>
      <c r="N53" s="36">
        <f t="shared" si="1"/>
        <v>6.08E-2</v>
      </c>
      <c r="O53" s="38">
        <f t="shared" si="2"/>
        <v>5.2100000000000002E-3</v>
      </c>
      <c r="P53" s="38">
        <f t="shared" si="3"/>
        <v>5.2100000000000002E-3</v>
      </c>
      <c r="Q53" s="36">
        <f t="shared" si="4"/>
        <v>0.88077647399681303</v>
      </c>
      <c r="R53" s="36">
        <f t="shared" si="5"/>
        <v>6.2936055</v>
      </c>
      <c r="S53" s="38">
        <f t="shared" si="6"/>
        <v>9.2782258064516121E-2</v>
      </c>
      <c r="T53" s="37">
        <f t="shared" si="7"/>
        <v>3.8600988954188517E-3</v>
      </c>
      <c r="U53" s="42">
        <f t="shared" si="8"/>
        <v>81720.430107526874</v>
      </c>
      <c r="V53" s="44">
        <f t="shared" si="9"/>
        <v>4.7235420693941212E-8</v>
      </c>
      <c r="W53" s="44">
        <f t="shared" si="10"/>
        <v>3.778833655515297E-7</v>
      </c>
      <c r="X53" s="37">
        <f t="shared" si="11"/>
        <v>1.5632846031610751E-2</v>
      </c>
      <c r="Y53" s="44">
        <f t="shared" si="12"/>
        <v>41369.500371613984</v>
      </c>
      <c r="Z53" s="37">
        <f t="shared" si="13"/>
        <v>1.8318047338067106E-2</v>
      </c>
      <c r="AA53" s="38">
        <f t="shared" si="14"/>
        <v>5.0711952661932888E-2</v>
      </c>
      <c r="AB53" s="36">
        <f t="shared" si="15"/>
        <v>0.14325410356478219</v>
      </c>
      <c r="AC53" s="37">
        <f t="shared" si="16"/>
        <v>5.9599218478830545E-3</v>
      </c>
      <c r="AD53" s="41">
        <f t="shared" si="17"/>
        <v>4.6235118671429882</v>
      </c>
      <c r="AE53">
        <f t="shared" si="18"/>
        <v>1.042E-2</v>
      </c>
      <c r="AF53" s="36">
        <f t="shared" si="19"/>
        <v>12.953278930741501</v>
      </c>
      <c r="AG53" s="36">
        <f>IF(AC53&lt;(1/(Sheet1!BL52^2)),MPM!AF53,Sheet1!BL52)</f>
        <v>12.953278930741501</v>
      </c>
      <c r="AH53" s="38">
        <f>IF(AG53=AF53,AB53,Sheet1!BK52)</f>
        <v>0.14325410356478219</v>
      </c>
      <c r="AI53" t="str">
        <f t="shared" si="20"/>
        <v>ok</v>
      </c>
      <c r="AJ53" s="37">
        <f t="shared" si="21"/>
        <v>5.9599218478830563E-3</v>
      </c>
      <c r="AK53" s="41">
        <f t="shared" si="22"/>
        <v>4.6235118671429891</v>
      </c>
      <c r="AL53" s="42">
        <f t="shared" si="23"/>
        <v>100.00000000000003</v>
      </c>
    </row>
    <row r="54" spans="2:38">
      <c r="B54" s="36">
        <f t="shared" si="24"/>
        <v>49</v>
      </c>
      <c r="C54" s="36">
        <v>43.4</v>
      </c>
      <c r="D54" s="36">
        <v>0.35399999999999998</v>
      </c>
      <c r="E54" s="36">
        <v>0.14499999999999999</v>
      </c>
      <c r="F54" s="37">
        <v>3.7200000000000002E-3</v>
      </c>
      <c r="G54" s="36">
        <v>5.21</v>
      </c>
      <c r="H54" s="36">
        <v>5.21</v>
      </c>
      <c r="I54" s="36">
        <v>1</v>
      </c>
      <c r="J54" s="36">
        <v>2.68</v>
      </c>
      <c r="K54" s="36">
        <v>1.2</v>
      </c>
      <c r="L54" s="42">
        <v>1000</v>
      </c>
      <c r="M54" s="43">
        <v>9.9999999999999995E-7</v>
      </c>
      <c r="N54" s="36">
        <f t="shared" si="1"/>
        <v>4.3400000000000001E-2</v>
      </c>
      <c r="O54" s="38">
        <f t="shared" si="2"/>
        <v>5.2100000000000002E-3</v>
      </c>
      <c r="P54" s="38">
        <f t="shared" si="3"/>
        <v>5.2100000000000002E-3</v>
      </c>
      <c r="Q54" s="36">
        <f t="shared" si="4"/>
        <v>0.84550944866549793</v>
      </c>
      <c r="R54" s="36">
        <f t="shared" si="5"/>
        <v>5.2915139999999994</v>
      </c>
      <c r="S54" s="38">
        <f t="shared" si="6"/>
        <v>7.9704968944099383E-2</v>
      </c>
      <c r="T54" s="37">
        <f t="shared" si="7"/>
        <v>4.068744451397115E-3</v>
      </c>
      <c r="U54" s="42">
        <f t="shared" si="8"/>
        <v>67391.30434782611</v>
      </c>
      <c r="V54" s="44">
        <f t="shared" si="9"/>
        <v>6.0374917665892648E-8</v>
      </c>
      <c r="W54" s="44">
        <f t="shared" si="10"/>
        <v>4.8299934132714119E-7</v>
      </c>
      <c r="X54" s="37">
        <f t="shared" si="11"/>
        <v>1.6419344055829985E-2</v>
      </c>
      <c r="Y54" s="44">
        <f t="shared" si="12"/>
        <v>33994.547509556476</v>
      </c>
      <c r="Z54" s="37">
        <f t="shared" si="13"/>
        <v>1.1659738153525454E-2</v>
      </c>
      <c r="AA54" s="38">
        <f t="shared" si="14"/>
        <v>3.9670261846474542E-2</v>
      </c>
      <c r="AB54" s="36">
        <f t="shared" si="15"/>
        <v>0.11206288657196199</v>
      </c>
      <c r="AC54" s="37">
        <f t="shared" si="16"/>
        <v>5.7205373013443639E-3</v>
      </c>
      <c r="AD54" s="41">
        <f t="shared" si="17"/>
        <v>4.0895333322479228</v>
      </c>
      <c r="AE54">
        <f t="shared" si="18"/>
        <v>1.042E-2</v>
      </c>
      <c r="AF54" s="36">
        <f t="shared" si="19"/>
        <v>13.221526174173221</v>
      </c>
      <c r="AG54" s="36">
        <f>IF(AC54&lt;(1/(Sheet1!BL53^2)),MPM!AF54,Sheet1!BL53)</f>
        <v>13.221526174173221</v>
      </c>
      <c r="AH54" s="38">
        <f>IF(AG54=AF54,AB54,Sheet1!BK53)</f>
        <v>0.11206288657196199</v>
      </c>
      <c r="AI54" t="str">
        <f t="shared" si="20"/>
        <v>ok</v>
      </c>
      <c r="AJ54" s="37">
        <f t="shared" si="21"/>
        <v>5.7205373013443639E-3</v>
      </c>
      <c r="AK54" s="41">
        <f t="shared" si="22"/>
        <v>4.0895333322479228</v>
      </c>
      <c r="AL54" s="42">
        <f t="shared" si="23"/>
        <v>100</v>
      </c>
    </row>
    <row r="55" spans="2:38">
      <c r="B55" s="36">
        <f t="shared" si="24"/>
        <v>50</v>
      </c>
      <c r="C55" s="36">
        <v>43.4</v>
      </c>
      <c r="D55" s="36">
        <v>0.35399999999999998</v>
      </c>
      <c r="E55" s="36">
        <v>0.10100000000000001</v>
      </c>
      <c r="F55" s="37">
        <v>1.307E-2</v>
      </c>
      <c r="G55" s="36">
        <v>5.21</v>
      </c>
      <c r="H55" s="36">
        <v>5.21</v>
      </c>
      <c r="I55" s="36">
        <v>1</v>
      </c>
      <c r="J55" s="36">
        <v>2.68</v>
      </c>
      <c r="K55" s="36">
        <v>154.69999999999999</v>
      </c>
      <c r="L55" s="42">
        <v>1000</v>
      </c>
      <c r="M55" s="43">
        <v>9.9999999999999995E-7</v>
      </c>
      <c r="N55" s="36">
        <f t="shared" si="1"/>
        <v>4.3400000000000001E-2</v>
      </c>
      <c r="O55" s="38">
        <f t="shared" si="2"/>
        <v>5.2100000000000002E-3</v>
      </c>
      <c r="P55" s="38">
        <f t="shared" si="3"/>
        <v>5.2100000000000002E-3</v>
      </c>
      <c r="Q55" s="36">
        <f t="shared" si="4"/>
        <v>1.2138501985791799</v>
      </c>
      <c r="R55" s="36">
        <f t="shared" si="5"/>
        <v>12.9498867</v>
      </c>
      <c r="S55" s="38">
        <f t="shared" si="6"/>
        <v>6.430575539568345E-2</v>
      </c>
      <c r="T55" s="37">
        <f t="shared" si="7"/>
        <v>5.5958266437846418E-3</v>
      </c>
      <c r="U55" s="42">
        <f t="shared" si="8"/>
        <v>78057.553956834527</v>
      </c>
      <c r="V55" s="44">
        <f t="shared" si="9"/>
        <v>7.1688470367379283E-8</v>
      </c>
      <c r="W55" s="44">
        <f t="shared" si="10"/>
        <v>5.7350776293903426E-7</v>
      </c>
      <c r="X55" s="37">
        <f t="shared" si="11"/>
        <v>1.6993168185960385E-2</v>
      </c>
      <c r="Y55" s="44">
        <f t="shared" si="12"/>
        <v>29630.232202744941</v>
      </c>
      <c r="Z55" s="37">
        <f t="shared" si="13"/>
        <v>4.9308447714226369E-3</v>
      </c>
      <c r="AA55" s="38">
        <f t="shared" si="14"/>
        <v>3.0823155228577363E-2</v>
      </c>
      <c r="AB55" s="36">
        <f t="shared" si="15"/>
        <v>8.7071059967732664E-2</v>
      </c>
      <c r="AC55" s="37">
        <f t="shared" si="16"/>
        <v>7.576842139120795E-3</v>
      </c>
      <c r="AD55" s="41">
        <f t="shared" si="17"/>
        <v>11.163963974564791</v>
      </c>
      <c r="AE55">
        <f t="shared" si="18"/>
        <v>1.042E-2</v>
      </c>
      <c r="AF55" s="36">
        <f t="shared" si="19"/>
        <v>11.488302976200316</v>
      </c>
      <c r="AG55" s="36">
        <f>IF(AC55&lt;(1/(Sheet1!BL54^2)),MPM!AF55,Sheet1!BL54)</f>
        <v>11.525996897503259</v>
      </c>
      <c r="AH55" s="38">
        <f>IF(AG55=AF55,AB55,Sheet1!BK54)</f>
        <v>8.6502487374498366E-2</v>
      </c>
      <c r="AI55" t="str">
        <f t="shared" si="20"/>
        <v>ok</v>
      </c>
      <c r="AJ55" s="37">
        <f t="shared" si="21"/>
        <v>7.5273654842275923E-3</v>
      </c>
      <c r="AK55" s="41">
        <f t="shared" si="22"/>
        <v>11.091063472922059</v>
      </c>
      <c r="AL55" s="42">
        <f t="shared" si="23"/>
        <v>99.34700164019857</v>
      </c>
    </row>
    <row r="56" spans="2:38">
      <c r="B56" s="36">
        <f t="shared" si="24"/>
        <v>51</v>
      </c>
      <c r="C56" s="36">
        <v>43.4</v>
      </c>
      <c r="D56" s="36">
        <v>0.35399999999999998</v>
      </c>
      <c r="E56" s="36">
        <v>0.13</v>
      </c>
      <c r="F56" s="37">
        <v>5.62E-3</v>
      </c>
      <c r="G56" s="36">
        <v>5.21</v>
      </c>
      <c r="H56" s="36">
        <v>5.21</v>
      </c>
      <c r="I56" s="36">
        <v>1</v>
      </c>
      <c r="J56" s="36">
        <v>2.68</v>
      </c>
      <c r="K56" s="36">
        <v>13.5</v>
      </c>
      <c r="L56" s="42">
        <v>1000</v>
      </c>
      <c r="M56" s="43">
        <v>9.9999999999999995E-7</v>
      </c>
      <c r="N56" s="36">
        <f t="shared" si="1"/>
        <v>4.3400000000000001E-2</v>
      </c>
      <c r="O56" s="38">
        <f t="shared" si="2"/>
        <v>5.2100000000000002E-3</v>
      </c>
      <c r="P56" s="38">
        <f t="shared" si="3"/>
        <v>5.2100000000000002E-3</v>
      </c>
      <c r="Q56" s="36">
        <f t="shared" si="4"/>
        <v>0.94306823120382444</v>
      </c>
      <c r="R56" s="36">
        <f t="shared" si="5"/>
        <v>7.1671860000000001</v>
      </c>
      <c r="S56" s="38">
        <f t="shared" si="6"/>
        <v>7.4951140065146582E-2</v>
      </c>
      <c r="T56" s="37">
        <f t="shared" si="7"/>
        <v>4.6461939587356497E-3</v>
      </c>
      <c r="U56" s="42">
        <f t="shared" si="8"/>
        <v>70684.039087947895</v>
      </c>
      <c r="V56" s="44">
        <f t="shared" si="9"/>
        <v>6.5731868448472083E-8</v>
      </c>
      <c r="W56" s="44">
        <f t="shared" si="10"/>
        <v>5.2585494758777666E-7</v>
      </c>
      <c r="X56" s="37">
        <f t="shared" si="11"/>
        <v>1.6700892803692396E-2</v>
      </c>
      <c r="Y56" s="44">
        <f t="shared" si="12"/>
        <v>31759.504936301189</v>
      </c>
      <c r="Z56" s="37">
        <f t="shared" si="13"/>
        <v>8.7559637894891931E-3</v>
      </c>
      <c r="AA56" s="38">
        <f t="shared" si="14"/>
        <v>3.7264036210510804E-2</v>
      </c>
      <c r="AB56" s="36">
        <f t="shared" si="15"/>
        <v>0.10526563901274238</v>
      </c>
      <c r="AC56" s="37">
        <f t="shared" si="16"/>
        <v>6.5253787416488301E-3</v>
      </c>
      <c r="AD56" s="41">
        <f t="shared" si="17"/>
        <v>5.8035262631783162</v>
      </c>
      <c r="AE56">
        <f t="shared" si="18"/>
        <v>1.042E-2</v>
      </c>
      <c r="AF56" s="36">
        <f t="shared" si="19"/>
        <v>12.379329939788274</v>
      </c>
      <c r="AG56" s="36">
        <f>IF(AC56&lt;(1/(Sheet1!BL55^2)),MPM!AF56,Sheet1!BL55)</f>
        <v>12.379329939788274</v>
      </c>
      <c r="AH56" s="38">
        <f>IF(AG56=AF56,AB56,Sheet1!BK55)</f>
        <v>0.10526563901274238</v>
      </c>
      <c r="AI56" t="str">
        <f t="shared" si="20"/>
        <v>ok</v>
      </c>
      <c r="AJ56" s="37">
        <f t="shared" si="21"/>
        <v>6.5253787416488292E-3</v>
      </c>
      <c r="AK56" s="41">
        <f t="shared" si="22"/>
        <v>5.8035262631783153</v>
      </c>
      <c r="AL56" s="42">
        <f t="shared" si="23"/>
        <v>99.999999999999986</v>
      </c>
    </row>
    <row r="57" spans="2:38">
      <c r="B57" s="36">
        <f t="shared" si="24"/>
        <v>52</v>
      </c>
      <c r="C57" s="36">
        <v>82.1</v>
      </c>
      <c r="D57" s="36">
        <v>0.35399999999999998</v>
      </c>
      <c r="E57" s="36">
        <v>0.182</v>
      </c>
      <c r="F57" s="37">
        <v>9.8300000000000002E-3</v>
      </c>
      <c r="G57" s="36">
        <v>5.21</v>
      </c>
      <c r="H57" s="36">
        <v>5.21</v>
      </c>
      <c r="I57" s="36">
        <v>1</v>
      </c>
      <c r="J57" s="36">
        <v>2.68</v>
      </c>
      <c r="K57" s="36">
        <v>154.69999999999999</v>
      </c>
      <c r="L57" s="42">
        <v>1000</v>
      </c>
      <c r="M57" s="43">
        <v>9.9999999999999995E-7</v>
      </c>
      <c r="N57" s="36">
        <f t="shared" si="1"/>
        <v>8.2099999999999992E-2</v>
      </c>
      <c r="O57" s="38">
        <f t="shared" si="2"/>
        <v>5.2100000000000002E-3</v>
      </c>
      <c r="P57" s="38">
        <f t="shared" si="3"/>
        <v>5.2100000000000002E-3</v>
      </c>
      <c r="Q57" s="36">
        <f t="shared" si="4"/>
        <v>1.274290681070342</v>
      </c>
      <c r="R57" s="36">
        <f t="shared" si="5"/>
        <v>17.550678599999998</v>
      </c>
      <c r="S57" s="38">
        <f t="shared" si="6"/>
        <v>8.973259052924791E-2</v>
      </c>
      <c r="T57" s="37">
        <f t="shared" si="7"/>
        <v>5.3288772539844377E-3</v>
      </c>
      <c r="U57" s="42">
        <f t="shared" si="8"/>
        <v>114345.40389972145</v>
      </c>
      <c r="V57" s="44">
        <f t="shared" si="9"/>
        <v>4.6603335790022245E-8</v>
      </c>
      <c r="W57" s="44">
        <f t="shared" si="10"/>
        <v>3.7282668632017796E-7</v>
      </c>
      <c r="X57" s="37">
        <f t="shared" si="11"/>
        <v>1.5590781811880988E-2</v>
      </c>
      <c r="Y57" s="44">
        <f t="shared" si="12"/>
        <v>41817.773201170094</v>
      </c>
      <c r="Z57" s="37">
        <f t="shared" si="13"/>
        <v>1.1945209732241354E-2</v>
      </c>
      <c r="AA57" s="38">
        <f t="shared" si="14"/>
        <v>5.2482790267758643E-2</v>
      </c>
      <c r="AB57" s="36">
        <f t="shared" si="15"/>
        <v>0.14825646968293402</v>
      </c>
      <c r="AC57" s="37">
        <f t="shared" si="16"/>
        <v>8.8043878415826025E-3</v>
      </c>
      <c r="AD57" s="41">
        <f t="shared" si="17"/>
        <v>14.296712361405598</v>
      </c>
      <c r="AE57">
        <f t="shared" si="18"/>
        <v>1.042E-2</v>
      </c>
      <c r="AF57" s="36">
        <f t="shared" si="19"/>
        <v>10.657379166433261</v>
      </c>
      <c r="AG57" s="36">
        <f>IF(AC57&lt;(1/(Sheet1!BL56^2)),MPM!AF57,Sheet1!BL56)</f>
        <v>12.089813751230368</v>
      </c>
      <c r="AH57" s="38">
        <f>IF(AG57=AF57,AB57,Sheet1!BK56)</f>
        <v>0.11520604515074802</v>
      </c>
      <c r="AI57" t="str">
        <f t="shared" si="20"/>
        <v>ok</v>
      </c>
      <c r="AJ57" s="37">
        <f t="shared" si="21"/>
        <v>6.841648835113145E-3</v>
      </c>
      <c r="AK57" s="41">
        <f t="shared" si="22"/>
        <v>11.109583906718976</v>
      </c>
      <c r="AL57" s="42">
        <f t="shared" si="23"/>
        <v>77.707263221645491</v>
      </c>
    </row>
    <row r="58" spans="2:38">
      <c r="B58" s="36">
        <f t="shared" si="24"/>
        <v>53</v>
      </c>
      <c r="C58" s="36">
        <v>82.1</v>
      </c>
      <c r="D58" s="36">
        <v>0.35399999999999998</v>
      </c>
      <c r="E58" s="36">
        <v>0.21299999999999999</v>
      </c>
      <c r="F58" s="37">
        <v>5.3800000000000002E-3</v>
      </c>
      <c r="G58" s="36">
        <v>5.21</v>
      </c>
      <c r="H58" s="36">
        <v>5.21</v>
      </c>
      <c r="I58" s="36">
        <v>1</v>
      </c>
      <c r="J58" s="36">
        <v>2.68</v>
      </c>
      <c r="K58" s="36">
        <v>38.4</v>
      </c>
      <c r="L58" s="42">
        <v>1000</v>
      </c>
      <c r="M58" s="43">
        <v>9.9999999999999995E-7</v>
      </c>
      <c r="N58" s="36">
        <f t="shared" si="1"/>
        <v>8.2099999999999992E-2</v>
      </c>
      <c r="O58" s="38">
        <f t="shared" si="2"/>
        <v>5.2100000000000002E-3</v>
      </c>
      <c r="P58" s="38">
        <f t="shared" si="3"/>
        <v>5.2100000000000002E-3</v>
      </c>
      <c r="Q58" s="36">
        <f t="shared" si="4"/>
        <v>1.0888305349990717</v>
      </c>
      <c r="R58" s="36">
        <f t="shared" si="5"/>
        <v>11.2416714</v>
      </c>
      <c r="S58" s="38">
        <f t="shared" si="6"/>
        <v>9.6669230769230757E-2</v>
      </c>
      <c r="T58" s="37">
        <f t="shared" si="7"/>
        <v>4.3034718105593554E-3</v>
      </c>
      <c r="U58" s="42">
        <f t="shared" si="8"/>
        <v>105256.41025641025</v>
      </c>
      <c r="V58" s="44">
        <f t="shared" si="9"/>
        <v>4.0885603072305693E-8</v>
      </c>
      <c r="W58" s="44">
        <f t="shared" si="10"/>
        <v>3.2708482457844554E-7</v>
      </c>
      <c r="X58" s="37">
        <f t="shared" si="11"/>
        <v>1.5187929572158917E-2</v>
      </c>
      <c r="Y58" s="44">
        <f t="shared" si="12"/>
        <v>46434.222656870341</v>
      </c>
      <c r="Z58" s="37">
        <f t="shared" si="13"/>
        <v>1.8167178652685037E-2</v>
      </c>
      <c r="AA58" s="38">
        <f t="shared" si="14"/>
        <v>5.723482134731496E-2</v>
      </c>
      <c r="AB58" s="36">
        <f t="shared" si="15"/>
        <v>0.16168028629185019</v>
      </c>
      <c r="AC58" s="37">
        <f t="shared" si="16"/>
        <v>7.1976010240645061E-3</v>
      </c>
      <c r="AD58" s="41">
        <f t="shared" si="17"/>
        <v>8.5331298138540106</v>
      </c>
      <c r="AE58">
        <f t="shared" si="18"/>
        <v>1.042E-2</v>
      </c>
      <c r="AF58" s="36">
        <f t="shared" si="19"/>
        <v>11.787076857937494</v>
      </c>
      <c r="AG58" s="36">
        <f>IF(AC58&lt;(1/(Sheet1!BL57^2)),MPM!AF58,Sheet1!BL57)</f>
        <v>12.53325748085525</v>
      </c>
      <c r="AH58" s="38">
        <f>IF(AG58=AF58,AB58,Sheet1!BK57)</f>
        <v>0.1430017580377885</v>
      </c>
      <c r="AI58" t="str">
        <f t="shared" si="20"/>
        <v>ok</v>
      </c>
      <c r="AJ58" s="37">
        <f t="shared" si="21"/>
        <v>6.3660797717141069E-3</v>
      </c>
      <c r="AK58" s="41">
        <f t="shared" si="22"/>
        <v>7.5473181850124913</v>
      </c>
      <c r="AL58" s="42">
        <f t="shared" si="23"/>
        <v>88.447244441998293</v>
      </c>
    </row>
    <row r="59" spans="2:38">
      <c r="B59" s="36">
        <f t="shared" si="24"/>
        <v>54</v>
      </c>
      <c r="C59" s="36">
        <v>82.1</v>
      </c>
      <c r="D59" s="36">
        <v>0.35399999999999998</v>
      </c>
      <c r="E59" s="36">
        <v>0.248</v>
      </c>
      <c r="F59" s="37">
        <v>3.1800000000000001E-3</v>
      </c>
      <c r="G59" s="36">
        <v>5.21</v>
      </c>
      <c r="H59" s="36">
        <v>5.21</v>
      </c>
      <c r="I59" s="36">
        <v>1</v>
      </c>
      <c r="J59" s="36">
        <v>2.68</v>
      </c>
      <c r="K59" s="36">
        <v>3.8</v>
      </c>
      <c r="L59" s="42">
        <v>1000</v>
      </c>
      <c r="M59" s="43">
        <v>9.9999999999999995E-7</v>
      </c>
      <c r="N59" s="36">
        <f t="shared" si="1"/>
        <v>8.2099999999999992E-2</v>
      </c>
      <c r="O59" s="38">
        <f t="shared" si="2"/>
        <v>5.2100000000000002E-3</v>
      </c>
      <c r="P59" s="38">
        <f t="shared" si="3"/>
        <v>5.2100000000000002E-3</v>
      </c>
      <c r="Q59" s="36">
        <f t="shared" si="4"/>
        <v>0.93516493530162204</v>
      </c>
      <c r="R59" s="36">
        <f t="shared" si="5"/>
        <v>7.7365584000000007</v>
      </c>
      <c r="S59" s="38">
        <f t="shared" si="6"/>
        <v>0.10328470588235293</v>
      </c>
      <c r="T59" s="37">
        <f t="shared" si="7"/>
        <v>3.6843061918979125E-3</v>
      </c>
      <c r="U59" s="42">
        <f t="shared" si="8"/>
        <v>96588.23529411765</v>
      </c>
      <c r="V59" s="44">
        <f t="shared" si="9"/>
        <v>3.8144461182865108E-8</v>
      </c>
      <c r="W59" s="44">
        <f t="shared" si="10"/>
        <v>3.0515568946292086E-7</v>
      </c>
      <c r="X59" s="37">
        <f t="shared" si="11"/>
        <v>1.4978585055958468E-2</v>
      </c>
      <c r="Y59" s="44">
        <f t="shared" si="12"/>
        <v>49085.059113008931</v>
      </c>
      <c r="Z59" s="37">
        <f t="shared" si="13"/>
        <v>2.6034112701413432E-2</v>
      </c>
      <c r="AA59" s="38">
        <f t="shared" si="14"/>
        <v>6.1757887298586563E-2</v>
      </c>
      <c r="AB59" s="36">
        <f t="shared" si="15"/>
        <v>0.17445730875306939</v>
      </c>
      <c r="AC59" s="37">
        <f t="shared" si="16"/>
        <v>6.2231299142480254E-3</v>
      </c>
      <c r="AD59" s="41">
        <f t="shared" si="17"/>
        <v>5.4423353123990035</v>
      </c>
      <c r="AE59">
        <f t="shared" si="18"/>
        <v>1.042E-2</v>
      </c>
      <c r="AF59" s="36">
        <f t="shared" si="19"/>
        <v>12.676389244673278</v>
      </c>
      <c r="AG59" s="36">
        <f>IF(AC59&lt;(1/(Sheet1!BL58^2)),MPM!AF59,Sheet1!BL58)</f>
        <v>12.885175463973027</v>
      </c>
      <c r="AH59" s="38">
        <f>IF(AG59=AF59,AB59,Sheet1!BK58)</f>
        <v>0.16884944104838534</v>
      </c>
      <c r="AI59" t="str">
        <f t="shared" si="20"/>
        <v>ok</v>
      </c>
      <c r="AJ59" s="37">
        <f t="shared" si="21"/>
        <v>6.0230896320108999E-3</v>
      </c>
      <c r="AK59" s="41">
        <f t="shared" si="22"/>
        <v>5.2673933929914085</v>
      </c>
      <c r="AL59" s="42">
        <f t="shared" si="23"/>
        <v>96.7855358156813</v>
      </c>
    </row>
    <row r="60" spans="2:38">
      <c r="B60" s="36">
        <v>55</v>
      </c>
      <c r="C60" s="36">
        <v>10</v>
      </c>
      <c r="D60" s="36">
        <v>0.35399999999999998</v>
      </c>
      <c r="E60" s="36">
        <v>7.6999999999999999E-2</v>
      </c>
      <c r="F60" s="37">
        <v>1.75E-3</v>
      </c>
      <c r="G60" s="36">
        <v>5.21</v>
      </c>
      <c r="H60" s="36">
        <v>5.21</v>
      </c>
      <c r="I60" s="36">
        <v>1</v>
      </c>
      <c r="J60" s="36">
        <v>1.25</v>
      </c>
      <c r="K60" s="36">
        <v>4.2</v>
      </c>
      <c r="L60" s="42">
        <v>1000</v>
      </c>
      <c r="M60" s="43">
        <v>9.9999999999999995E-7</v>
      </c>
      <c r="N60" s="36">
        <f t="shared" si="1"/>
        <v>0.01</v>
      </c>
      <c r="O60" s="38">
        <f t="shared" si="2"/>
        <v>5.2100000000000002E-3</v>
      </c>
      <c r="P60" s="38">
        <f t="shared" si="3"/>
        <v>5.2100000000000002E-3</v>
      </c>
      <c r="Q60" s="36">
        <f t="shared" si="4"/>
        <v>0.36686477364443471</v>
      </c>
      <c r="R60" s="36">
        <f t="shared" si="5"/>
        <v>1.3218974999999999</v>
      </c>
      <c r="S60" s="38">
        <f t="shared" si="6"/>
        <v>5.3657480314960627E-2</v>
      </c>
      <c r="T60" s="37">
        <f t="shared" si="7"/>
        <v>6.8442411863452205E-3</v>
      </c>
      <c r="U60" s="42">
        <f t="shared" si="8"/>
        <v>19685.039370078739</v>
      </c>
      <c r="V60" s="44">
        <f t="shared" si="9"/>
        <v>3.4768745226633721E-7</v>
      </c>
      <c r="W60" s="44">
        <f t="shared" si="10"/>
        <v>2.7814996181306977E-6</v>
      </c>
      <c r="X60" s="37">
        <f t="shared" si="11"/>
        <v>2.3303561333075443E-2</v>
      </c>
      <c r="Y60" s="44">
        <f t="shared" si="12"/>
        <v>8378.0566357713778</v>
      </c>
      <c r="Z60" s="37">
        <f t="shared" si="13"/>
        <v>3.5168836437789856E-3</v>
      </c>
      <c r="AA60" s="38">
        <f t="shared" si="14"/>
        <v>2.3741116356221011E-2</v>
      </c>
      <c r="AB60" s="36">
        <f t="shared" si="15"/>
        <v>6.7065300441302295E-2</v>
      </c>
      <c r="AC60" s="37">
        <f t="shared" si="16"/>
        <v>8.5544660084792938E-3</v>
      </c>
      <c r="AD60" s="41">
        <f t="shared" si="17"/>
        <v>1.1513435453260574</v>
      </c>
      <c r="AE60">
        <f t="shared" si="18"/>
        <v>1.042E-2</v>
      </c>
      <c r="AF60" s="36">
        <f t="shared" si="19"/>
        <v>10.811938022572692</v>
      </c>
      <c r="AG60" s="36">
        <f>IF(AC60&lt;(1/(Sheet1!BL59^2)),MPM!AF60,Sheet1!BL59)</f>
        <v>10.987994174057222</v>
      </c>
      <c r="AH60" s="38">
        <f>IF(AG60=AF60,AB60,Sheet1!BK59)</f>
        <v>6.4933397737779397E-2</v>
      </c>
      <c r="AI60" t="str">
        <f t="shared" si="20"/>
        <v>ok</v>
      </c>
      <c r="AJ60" s="37">
        <f t="shared" si="21"/>
        <v>8.282532697250853E-3</v>
      </c>
      <c r="AK60" s="41">
        <f t="shared" si="22"/>
        <v>1.1147441056495575</v>
      </c>
      <c r="AL60" s="42">
        <f t="shared" si="23"/>
        <v>96.82115387495962</v>
      </c>
    </row>
    <row r="61" spans="2:38">
      <c r="B61" s="36">
        <f t="shared" ref="B61:B124" si="25">+B60+1</f>
        <v>56</v>
      </c>
      <c r="C61" s="36">
        <v>10</v>
      </c>
      <c r="D61" s="36">
        <v>0.35399999999999998</v>
      </c>
      <c r="E61" s="36">
        <v>6.3E-2</v>
      </c>
      <c r="F61" s="37">
        <v>3.2599999999999999E-3</v>
      </c>
      <c r="G61" s="36">
        <v>5.21</v>
      </c>
      <c r="H61" s="36">
        <v>5.21</v>
      </c>
      <c r="I61" s="36">
        <v>1</v>
      </c>
      <c r="J61" s="36">
        <v>1.25</v>
      </c>
      <c r="K61" s="36">
        <v>27.3</v>
      </c>
      <c r="L61" s="42">
        <v>1000</v>
      </c>
      <c r="M61" s="43">
        <v>9.9999999999999995E-7</v>
      </c>
      <c r="N61" s="36">
        <f t="shared" si="1"/>
        <v>0.01</v>
      </c>
      <c r="O61" s="38">
        <f t="shared" si="2"/>
        <v>5.2100000000000002E-3</v>
      </c>
      <c r="P61" s="38">
        <f t="shared" si="3"/>
        <v>5.2100000000000002E-3</v>
      </c>
      <c r="Q61" s="36">
        <f t="shared" si="4"/>
        <v>0.44839027889875349</v>
      </c>
      <c r="R61" s="36">
        <f t="shared" si="5"/>
        <v>2.0147777999999996</v>
      </c>
      <c r="S61" s="38">
        <f t="shared" si="6"/>
        <v>4.6462499999999997E-2</v>
      </c>
      <c r="T61" s="37">
        <f t="shared" si="7"/>
        <v>7.3905507657064237E-3</v>
      </c>
      <c r="U61" s="42">
        <f t="shared" si="8"/>
        <v>20833.333333333332</v>
      </c>
      <c r="V61" s="44">
        <f t="shared" si="9"/>
        <v>3.5474643675390836E-7</v>
      </c>
      <c r="W61" s="44">
        <f t="shared" si="10"/>
        <v>2.8379714940312669E-6</v>
      </c>
      <c r="X61" s="37">
        <f t="shared" si="11"/>
        <v>2.3397427022537737E-2</v>
      </c>
      <c r="Y61" s="44">
        <f t="shared" si="12"/>
        <v>8244.4193226558036</v>
      </c>
      <c r="Z61" s="37">
        <f t="shared" si="13"/>
        <v>2.3167247006467585E-3</v>
      </c>
      <c r="AA61" s="38">
        <f t="shared" si="14"/>
        <v>1.998527529935324E-2</v>
      </c>
      <c r="AB61" s="36">
        <f t="shared" si="15"/>
        <v>5.6455579941675826E-2</v>
      </c>
      <c r="AC61" s="37">
        <f t="shared" si="16"/>
        <v>8.9800985647856321E-3</v>
      </c>
      <c r="AD61" s="41">
        <f t="shared" si="17"/>
        <v>1.8054833198827573</v>
      </c>
      <c r="AE61">
        <f t="shared" si="18"/>
        <v>1.042E-2</v>
      </c>
      <c r="AF61" s="36">
        <f t="shared" si="19"/>
        <v>10.552599317142464</v>
      </c>
      <c r="AG61" s="36">
        <f>IF(AC61&lt;(1/(Sheet1!BL60^2)),MPM!AF61,Sheet1!BL60)</f>
        <v>10.688912464570803</v>
      </c>
      <c r="AH61" s="38">
        <f>IF(AG61=AF61,AB61,Sheet1!BK60)</f>
        <v>5.5024832426633488E-2</v>
      </c>
      <c r="AI61" t="str">
        <f t="shared" si="20"/>
        <v>ok</v>
      </c>
      <c r="AJ61" s="37">
        <f t="shared" si="21"/>
        <v>8.7525169205172372E-3</v>
      </c>
      <c r="AK61" s="41">
        <f t="shared" si="22"/>
        <v>1.759727155885922</v>
      </c>
      <c r="AL61" s="42">
        <f t="shared" si="23"/>
        <v>97.465711065123173</v>
      </c>
    </row>
    <row r="62" spans="2:38">
      <c r="B62" s="36">
        <f t="shared" si="25"/>
        <v>57</v>
      </c>
      <c r="C62" s="36">
        <v>10</v>
      </c>
      <c r="D62" s="36">
        <v>0.35399999999999998</v>
      </c>
      <c r="E62" s="36">
        <v>5.8000000000000003E-2</v>
      </c>
      <c r="F62" s="37">
        <v>4.2699999999999995E-3</v>
      </c>
      <c r="G62" s="36">
        <v>5.21</v>
      </c>
      <c r="H62" s="36">
        <v>5.21</v>
      </c>
      <c r="I62" s="36">
        <v>1</v>
      </c>
      <c r="J62" s="36">
        <v>1.25</v>
      </c>
      <c r="K62" s="36">
        <v>48.1</v>
      </c>
      <c r="L62" s="42">
        <v>1000</v>
      </c>
      <c r="M62" s="43">
        <v>9.9999999999999995E-7</v>
      </c>
      <c r="N62" s="36">
        <f t="shared" si="1"/>
        <v>0.01</v>
      </c>
      <c r="O62" s="38">
        <f t="shared" si="2"/>
        <v>5.2100000000000002E-3</v>
      </c>
      <c r="P62" s="38">
        <f t="shared" si="3"/>
        <v>5.2100000000000002E-3</v>
      </c>
      <c r="Q62" s="36">
        <f t="shared" si="4"/>
        <v>0.487044613286577</v>
      </c>
      <c r="R62" s="36">
        <f t="shared" si="5"/>
        <v>2.4295445999999998</v>
      </c>
      <c r="S62" s="38">
        <f t="shared" si="6"/>
        <v>4.3685106382978726E-2</v>
      </c>
      <c r="T62" s="37">
        <f t="shared" si="7"/>
        <v>7.7142336948017058E-3</v>
      </c>
      <c r="U62" s="42">
        <f t="shared" si="8"/>
        <v>21276.59574468085</v>
      </c>
      <c r="V62" s="44">
        <f t="shared" si="9"/>
        <v>3.6256898365568017E-7</v>
      </c>
      <c r="W62" s="44">
        <f t="shared" si="10"/>
        <v>2.9005518692454414E-6</v>
      </c>
      <c r="X62" s="37">
        <f t="shared" si="11"/>
        <v>2.3499716491398408E-2</v>
      </c>
      <c r="Y62" s="44">
        <f t="shared" si="12"/>
        <v>8101.8087421797072</v>
      </c>
      <c r="Z62" s="37">
        <f t="shared" si="13"/>
        <v>1.9296175102954318E-3</v>
      </c>
      <c r="AA62" s="38">
        <f t="shared" si="14"/>
        <v>1.8602382489704569E-2</v>
      </c>
      <c r="AB62" s="36">
        <f t="shared" si="15"/>
        <v>5.2549103078261494E-2</v>
      </c>
      <c r="AC62" s="37">
        <f t="shared" si="16"/>
        <v>9.2795026763602389E-3</v>
      </c>
      <c r="AD62" s="41">
        <f t="shared" si="17"/>
        <v>2.2012136141143723</v>
      </c>
      <c r="AE62">
        <f t="shared" si="18"/>
        <v>1.042E-2</v>
      </c>
      <c r="AF62" s="36">
        <f t="shared" si="19"/>
        <v>10.380963148072416</v>
      </c>
      <c r="AG62" s="36">
        <f>IF(AC62&lt;(1/(Sheet1!BL61^2)),MPM!AF62,Sheet1!BL61)</f>
        <v>10.550192286209688</v>
      </c>
      <c r="AH62" s="38">
        <f>IF(AG62=AF62,AB62,Sheet1!BK61)</f>
        <v>5.087680803368002E-2</v>
      </c>
      <c r="AI62" t="str">
        <f t="shared" si="20"/>
        <v>ok</v>
      </c>
      <c r="AJ62" s="37">
        <f t="shared" si="21"/>
        <v>8.9841966589657082E-3</v>
      </c>
      <c r="AK62" s="41">
        <f t="shared" si="22"/>
        <v>2.1311633486540571</v>
      </c>
      <c r="AL62" s="42">
        <f t="shared" si="23"/>
        <v>96.817652543526592</v>
      </c>
    </row>
    <row r="63" spans="2:38">
      <c r="B63" s="36">
        <f t="shared" si="25"/>
        <v>58</v>
      </c>
      <c r="C63" s="36">
        <v>5</v>
      </c>
      <c r="D63" s="36">
        <v>0.35399999999999998</v>
      </c>
      <c r="E63" s="36">
        <v>3.3000000000000002E-2</v>
      </c>
      <c r="F63" s="37">
        <v>6.9699999999999996E-3</v>
      </c>
      <c r="G63" s="36">
        <v>5.21</v>
      </c>
      <c r="H63" s="36">
        <v>5.21</v>
      </c>
      <c r="I63" s="36">
        <v>1</v>
      </c>
      <c r="J63" s="36">
        <v>1.25</v>
      </c>
      <c r="K63" s="36">
        <v>48.5</v>
      </c>
      <c r="L63" s="42">
        <v>1000</v>
      </c>
      <c r="M63" s="43">
        <v>9.9999999999999995E-7</v>
      </c>
      <c r="N63" s="36">
        <f t="shared" si="1"/>
        <v>5.0000000000000001E-3</v>
      </c>
      <c r="O63" s="38">
        <f t="shared" si="2"/>
        <v>5.2100000000000002E-3</v>
      </c>
      <c r="P63" s="38">
        <f t="shared" si="3"/>
        <v>5.2100000000000002E-3</v>
      </c>
      <c r="Q63" s="36">
        <f t="shared" si="4"/>
        <v>0.42800890258517377</v>
      </c>
      <c r="R63" s="36">
        <f t="shared" si="5"/>
        <v>2.2563981000000002</v>
      </c>
      <c r="S63" s="38">
        <f t="shared" si="6"/>
        <v>2.7814285714285715E-2</v>
      </c>
      <c r="T63" s="37">
        <f t="shared" si="7"/>
        <v>1.0381595230876343E-2</v>
      </c>
      <c r="U63" s="42">
        <f t="shared" si="8"/>
        <v>11904.761904761905</v>
      </c>
      <c r="V63" s="44">
        <f t="shared" si="9"/>
        <v>8.720539993936128E-7</v>
      </c>
      <c r="W63" s="44">
        <f t="shared" si="10"/>
        <v>6.9764319951489024E-6</v>
      </c>
      <c r="X63" s="37">
        <f t="shared" si="11"/>
        <v>2.800871397849251E-2</v>
      </c>
      <c r="Y63" s="44">
        <f t="shared" si="12"/>
        <v>4014.7619869251953</v>
      </c>
      <c r="Z63" s="37">
        <f t="shared" si="13"/>
        <v>6.1908593381263368E-4</v>
      </c>
      <c r="AA63" s="38">
        <f t="shared" si="14"/>
        <v>1.1062914066187366E-2</v>
      </c>
      <c r="AB63" s="36">
        <f t="shared" si="15"/>
        <v>3.1251169678495387E-2</v>
      </c>
      <c r="AC63" s="37">
        <f t="shared" si="16"/>
        <v>1.1664401431201978E-2</v>
      </c>
      <c r="AD63" s="41">
        <f t="shared" si="17"/>
        <v>2.1368206025858969</v>
      </c>
      <c r="AE63">
        <f t="shared" si="18"/>
        <v>1.042E-2</v>
      </c>
      <c r="AF63" s="36">
        <f t="shared" si="19"/>
        <v>9.259099928856573</v>
      </c>
      <c r="AG63" s="36">
        <f>IF(AC63&lt;(1/(Sheet1!BL62^2)),MPM!AF63,Sheet1!BL62)</f>
        <v>9.6079509378322623</v>
      </c>
      <c r="AH63" s="38">
        <f>IF(AG63=AF63,AB63,Sheet1!BK62)</f>
        <v>2.9022997603438322E-2</v>
      </c>
      <c r="AI63" t="str">
        <f t="shared" si="20"/>
        <v>ok</v>
      </c>
      <c r="AJ63" s="37">
        <f t="shared" si="21"/>
        <v>1.083274316630446E-2</v>
      </c>
      <c r="AK63" s="41">
        <f t="shared" si="22"/>
        <v>1.9844677771772867</v>
      </c>
      <c r="AL63" s="42">
        <f t="shared" si="23"/>
        <v>92.870116226685639</v>
      </c>
    </row>
    <row r="64" spans="2:38">
      <c r="B64" s="36">
        <f t="shared" si="25"/>
        <v>59</v>
      </c>
      <c r="C64" s="36">
        <v>21.6</v>
      </c>
      <c r="D64" s="36">
        <v>0.35399999999999998</v>
      </c>
      <c r="E64" s="36">
        <v>0.11700000000000001</v>
      </c>
      <c r="F64" s="37">
        <v>2.8E-3</v>
      </c>
      <c r="G64" s="36">
        <v>5.21</v>
      </c>
      <c r="H64" s="36">
        <v>5.21</v>
      </c>
      <c r="I64" s="36">
        <v>1</v>
      </c>
      <c r="J64" s="36">
        <v>1.25</v>
      </c>
      <c r="K64" s="36">
        <v>49.4</v>
      </c>
      <c r="L64" s="42">
        <v>1000</v>
      </c>
      <c r="M64" s="43">
        <v>9.9999999999999995E-7</v>
      </c>
      <c r="N64" s="36">
        <f t="shared" si="1"/>
        <v>2.1600000000000001E-2</v>
      </c>
      <c r="O64" s="38">
        <f t="shared" si="2"/>
        <v>5.2100000000000002E-3</v>
      </c>
      <c r="P64" s="38">
        <f t="shared" si="3"/>
        <v>5.2100000000000002E-3</v>
      </c>
      <c r="Q64" s="36">
        <f t="shared" si="4"/>
        <v>0.5215123859191656</v>
      </c>
      <c r="R64" s="36">
        <f t="shared" si="5"/>
        <v>3.2137560000000001</v>
      </c>
      <c r="S64" s="38">
        <f t="shared" si="6"/>
        <v>7.0438775510204096E-2</v>
      </c>
      <c r="T64" s="37">
        <f t="shared" si="7"/>
        <v>7.1139299046910727E-3</v>
      </c>
      <c r="U64" s="42">
        <f t="shared" si="8"/>
        <v>36734.693877551035</v>
      </c>
      <c r="V64" s="44">
        <f t="shared" si="9"/>
        <v>1.9365698073881245E-7</v>
      </c>
      <c r="W64" s="44">
        <f t="shared" si="10"/>
        <v>1.5492558459104996E-6</v>
      </c>
      <c r="X64" s="37">
        <f t="shared" si="11"/>
        <v>2.0729609656844797E-2</v>
      </c>
      <c r="Y64" s="44">
        <f t="shared" si="12"/>
        <v>13380.365619767585</v>
      </c>
      <c r="Z64" s="37">
        <f t="shared" si="13"/>
        <v>6.0037031517616163E-3</v>
      </c>
      <c r="AA64" s="38">
        <f t="shared" si="14"/>
        <v>3.5414296848238387E-2</v>
      </c>
      <c r="AB64" s="36">
        <f t="shared" si="15"/>
        <v>0.1000403865769446</v>
      </c>
      <c r="AC64" s="37">
        <f t="shared" si="16"/>
        <v>1.0103530230213674E-2</v>
      </c>
      <c r="AD64" s="41">
        <f t="shared" si="17"/>
        <v>2.7479093384955147</v>
      </c>
      <c r="AE64">
        <f t="shared" si="18"/>
        <v>1.042E-2</v>
      </c>
      <c r="AF64" s="36">
        <f t="shared" si="19"/>
        <v>9.9486333923085795</v>
      </c>
      <c r="AG64" s="36">
        <f>IF(AC64&lt;(1/(Sheet1!BL63^2)),MPM!AF64,Sheet1!BL63)</f>
        <v>11.313398276899395</v>
      </c>
      <c r="AH64" s="38">
        <f>IF(AG64=AF64,AB64,Sheet1!BK63)</f>
        <v>7.7359929177562445E-2</v>
      </c>
      <c r="AI64" t="str">
        <f t="shared" si="20"/>
        <v>ok</v>
      </c>
      <c r="AJ64" s="37">
        <f t="shared" si="21"/>
        <v>7.8129284553961984E-3</v>
      </c>
      <c r="AK64" s="41">
        <f t="shared" si="22"/>
        <v>2.1249225344403717</v>
      </c>
      <c r="AL64" s="42">
        <f t="shared" si="23"/>
        <v>77.328698755533566</v>
      </c>
    </row>
    <row r="65" spans="2:38">
      <c r="B65" s="36">
        <f t="shared" si="25"/>
        <v>60</v>
      </c>
      <c r="C65" s="36">
        <v>5</v>
      </c>
      <c r="D65" s="36">
        <v>0.35399999999999998</v>
      </c>
      <c r="E65" s="36">
        <v>4.5999999999999999E-2</v>
      </c>
      <c r="F65" s="37">
        <v>2.1700000000000001E-3</v>
      </c>
      <c r="G65" s="36">
        <v>5.21</v>
      </c>
      <c r="H65" s="36">
        <v>5.21</v>
      </c>
      <c r="I65" s="36">
        <v>1</v>
      </c>
      <c r="J65" s="36">
        <v>1.25</v>
      </c>
      <c r="K65" s="36">
        <v>1.1000000000000001</v>
      </c>
      <c r="L65" s="42">
        <v>1000</v>
      </c>
      <c r="M65" s="43">
        <v>9.9999999999999995E-7</v>
      </c>
      <c r="N65" s="36">
        <f t="shared" si="1"/>
        <v>5.0000000000000001E-3</v>
      </c>
      <c r="O65" s="38">
        <f t="shared" si="2"/>
        <v>5.2100000000000002E-3</v>
      </c>
      <c r="P65" s="38">
        <f t="shared" si="3"/>
        <v>5.2100000000000002E-3</v>
      </c>
      <c r="Q65" s="36">
        <f t="shared" si="4"/>
        <v>0.30704986489805947</v>
      </c>
      <c r="R65" s="36">
        <f t="shared" si="5"/>
        <v>0.97923420000000005</v>
      </c>
      <c r="S65" s="38">
        <f t="shared" si="6"/>
        <v>3.6511210762331839E-2</v>
      </c>
      <c r="T65" s="37">
        <f t="shared" si="7"/>
        <v>8.2439842798228934E-3</v>
      </c>
      <c r="U65" s="42">
        <f t="shared" si="8"/>
        <v>11210.762331838567</v>
      </c>
      <c r="V65" s="44">
        <f t="shared" si="9"/>
        <v>7.3536339776020199E-7</v>
      </c>
      <c r="W65" s="44">
        <f t="shared" si="10"/>
        <v>5.8829071820816159E-6</v>
      </c>
      <c r="X65" s="37">
        <f t="shared" si="11"/>
        <v>2.7069790512015902E-2</v>
      </c>
      <c r="Y65" s="44">
        <f t="shared" si="12"/>
        <v>4601.4308358401622</v>
      </c>
      <c r="Z65" s="37">
        <f t="shared" si="13"/>
        <v>1.3787064750471099E-3</v>
      </c>
      <c r="AA65" s="38">
        <f t="shared" si="14"/>
        <v>1.490529352495289E-2</v>
      </c>
      <c r="AB65" s="36">
        <f t="shared" si="15"/>
        <v>4.2105348940544893E-2</v>
      </c>
      <c r="AC65" s="37">
        <f t="shared" si="16"/>
        <v>9.5071028189627899E-3</v>
      </c>
      <c r="AD65" s="41">
        <f t="shared" si="17"/>
        <v>0.89632603664163768</v>
      </c>
      <c r="AE65">
        <f t="shared" si="18"/>
        <v>1.042E-2</v>
      </c>
      <c r="AF65" s="36">
        <f t="shared" si="19"/>
        <v>10.255950228918818</v>
      </c>
      <c r="AG65" s="36">
        <f>IF(AC65&lt;(1/(Sheet1!BL64^2)),MPM!AF65,Sheet1!BL64)</f>
        <v>10.255950228918818</v>
      </c>
      <c r="AH65" s="38">
        <f>IF(AG65=AF65,AB65,Sheet1!BK64)</f>
        <v>4.2105348940544893E-2</v>
      </c>
      <c r="AI65" t="str">
        <f t="shared" si="20"/>
        <v>ok</v>
      </c>
      <c r="AJ65" s="37">
        <f t="shared" si="21"/>
        <v>9.5071028189627899E-3</v>
      </c>
      <c r="AK65" s="41">
        <f t="shared" si="22"/>
        <v>0.89632603664163768</v>
      </c>
      <c r="AL65" s="42">
        <f t="shared" si="23"/>
        <v>100</v>
      </c>
    </row>
    <row r="66" spans="2:38">
      <c r="B66" s="36">
        <f t="shared" si="25"/>
        <v>61</v>
      </c>
      <c r="C66" s="36">
        <v>10</v>
      </c>
      <c r="D66" s="36">
        <v>0.35399999999999998</v>
      </c>
      <c r="E66" s="36">
        <v>8.2000000000000003E-2</v>
      </c>
      <c r="F66" s="37">
        <v>1.2800000000000001E-3</v>
      </c>
      <c r="G66" s="36">
        <v>5.21</v>
      </c>
      <c r="H66" s="36">
        <v>5.21</v>
      </c>
      <c r="I66" s="36">
        <v>1</v>
      </c>
      <c r="J66" s="36">
        <v>1.25</v>
      </c>
      <c r="K66" s="36">
        <v>1.1000000000000001</v>
      </c>
      <c r="L66" s="42">
        <v>1000</v>
      </c>
      <c r="M66" s="43">
        <v>9.9999999999999995E-7</v>
      </c>
      <c r="N66" s="36">
        <f t="shared" si="1"/>
        <v>0.01</v>
      </c>
      <c r="O66" s="38">
        <f t="shared" si="2"/>
        <v>5.2100000000000002E-3</v>
      </c>
      <c r="P66" s="38">
        <f t="shared" si="3"/>
        <v>5.2100000000000002E-3</v>
      </c>
      <c r="Q66" s="36">
        <f t="shared" si="4"/>
        <v>0.34449497037343257</v>
      </c>
      <c r="R66" s="36">
        <f t="shared" si="5"/>
        <v>1.0296576000000002</v>
      </c>
      <c r="S66" s="38">
        <f t="shared" si="6"/>
        <v>5.6038610038610034E-2</v>
      </c>
      <c r="T66" s="37">
        <f t="shared" si="7"/>
        <v>5.9292608982444255E-3</v>
      </c>
      <c r="U66" s="42">
        <f t="shared" si="8"/>
        <v>19305.019305019305</v>
      </c>
      <c r="V66" s="44">
        <f t="shared" si="9"/>
        <v>3.0713571452906123E-7</v>
      </c>
      <c r="W66" s="44">
        <f t="shared" si="10"/>
        <v>2.4570857162324898E-6</v>
      </c>
      <c r="X66" s="37">
        <f t="shared" si="11"/>
        <v>2.2732675732735956E-2</v>
      </c>
      <c r="Y66" s="44">
        <f t="shared" si="12"/>
        <v>9251.8855091439509</v>
      </c>
      <c r="Z66" s="37">
        <f t="shared" si="13"/>
        <v>4.4044452139746617E-3</v>
      </c>
      <c r="AA66" s="38">
        <f t="shared" si="14"/>
        <v>2.4623554786025337E-2</v>
      </c>
      <c r="AB66" s="36">
        <f t="shared" si="15"/>
        <v>6.9558064367303218E-2</v>
      </c>
      <c r="AC66" s="37">
        <f t="shared" si="16"/>
        <v>7.3597098665805815E-3</v>
      </c>
      <c r="AD66" s="41">
        <f t="shared" si="17"/>
        <v>0.87342670264735323</v>
      </c>
      <c r="AE66">
        <f t="shared" si="18"/>
        <v>1.042E-2</v>
      </c>
      <c r="AF66" s="36">
        <f t="shared" si="19"/>
        <v>11.656539857426305</v>
      </c>
      <c r="AG66" s="36">
        <f>IF(AC66&lt;(1/(Sheet1!BL65^2)),MPM!AF66,Sheet1!BL65)</f>
        <v>11.656539857426305</v>
      </c>
      <c r="AH66" s="38">
        <f>IF(AG66=AF66,AB66,Sheet1!BK65)</f>
        <v>6.9558064367303218E-2</v>
      </c>
      <c r="AI66" t="str">
        <f t="shared" si="20"/>
        <v>ok</v>
      </c>
      <c r="AJ66" s="37">
        <f t="shared" si="21"/>
        <v>7.3597098665805815E-3</v>
      </c>
      <c r="AK66" s="41">
        <f t="shared" si="22"/>
        <v>0.87342670264735323</v>
      </c>
      <c r="AL66" s="42">
        <f t="shared" si="23"/>
        <v>100</v>
      </c>
    </row>
    <row r="67" spans="2:38">
      <c r="B67" s="36">
        <f t="shared" si="25"/>
        <v>62</v>
      </c>
      <c r="C67" s="36">
        <v>10</v>
      </c>
      <c r="D67" s="36">
        <v>0.35399999999999998</v>
      </c>
      <c r="E67" s="36">
        <v>5.0999999999999997E-2</v>
      </c>
      <c r="F67" s="37">
        <v>6.3800000000000003E-3</v>
      </c>
      <c r="G67" s="36">
        <v>5.21</v>
      </c>
      <c r="H67" s="36">
        <v>5.21</v>
      </c>
      <c r="I67" s="36">
        <v>1</v>
      </c>
      <c r="J67" s="36">
        <v>1.25</v>
      </c>
      <c r="K67" s="36">
        <v>106.7</v>
      </c>
      <c r="L67" s="42">
        <v>1000</v>
      </c>
      <c r="M67" s="43">
        <v>9.9999999999999995E-7</v>
      </c>
      <c r="N67" s="36">
        <f t="shared" si="1"/>
        <v>0.01</v>
      </c>
      <c r="O67" s="38">
        <f t="shared" si="2"/>
        <v>5.2100000000000002E-3</v>
      </c>
      <c r="P67" s="38">
        <f t="shared" si="3"/>
        <v>5.2100000000000002E-3</v>
      </c>
      <c r="Q67" s="36">
        <f t="shared" si="4"/>
        <v>0.55389387393375444</v>
      </c>
      <c r="R67" s="36">
        <f t="shared" si="5"/>
        <v>3.1919777999999996</v>
      </c>
      <c r="S67" s="38">
        <f t="shared" si="6"/>
        <v>3.9592105263157894E-2</v>
      </c>
      <c r="T67" s="37">
        <f t="shared" si="7"/>
        <v>8.0769084041022888E-3</v>
      </c>
      <c r="U67" s="42">
        <f t="shared" si="8"/>
        <v>21929.824561403515</v>
      </c>
      <c r="V67" s="44">
        <f t="shared" si="9"/>
        <v>3.6830702322706428E-7</v>
      </c>
      <c r="W67" s="44">
        <f t="shared" si="10"/>
        <v>2.9464561858165142E-6</v>
      </c>
      <c r="X67" s="37">
        <f t="shared" si="11"/>
        <v>2.3573631645151513E-2</v>
      </c>
      <c r="Y67" s="44">
        <f t="shared" si="12"/>
        <v>8000.6727263174462</v>
      </c>
      <c r="Z67" s="37">
        <f t="shared" si="13"/>
        <v>1.4733302830895383E-3</v>
      </c>
      <c r="AA67" s="38">
        <f t="shared" si="14"/>
        <v>1.6580669716910457E-2</v>
      </c>
      <c r="AB67" s="36">
        <f t="shared" si="15"/>
        <v>4.6838050047769655E-2</v>
      </c>
      <c r="AC67" s="37">
        <f t="shared" si="16"/>
        <v>9.5551029062004578E-3</v>
      </c>
      <c r="AD67" s="41">
        <f t="shared" si="17"/>
        <v>2.9314905087797989</v>
      </c>
      <c r="AE67">
        <f t="shared" si="18"/>
        <v>1.042E-2</v>
      </c>
      <c r="AF67" s="36">
        <f t="shared" si="19"/>
        <v>10.230157397643735</v>
      </c>
      <c r="AG67" s="36">
        <f>IF(AC67&lt;(1/(Sheet1!BL66^2)),MPM!AF67,Sheet1!BL66)</f>
        <v>10.361573905032792</v>
      </c>
      <c r="AH67" s="38">
        <f>IF(AG67=AF67,AB67,Sheet1!BK66)</f>
        <v>4.5657484427910955E-2</v>
      </c>
      <c r="AI67" t="str">
        <f t="shared" si="20"/>
        <v>ok</v>
      </c>
      <c r="AJ67" s="37">
        <f t="shared" si="21"/>
        <v>9.3142639733664375E-3</v>
      </c>
      <c r="AK67" s="41">
        <f t="shared" si="22"/>
        <v>2.8576015038493083</v>
      </c>
      <c r="AL67" s="42">
        <f t="shared" si="23"/>
        <v>97.479473165299595</v>
      </c>
    </row>
    <row r="68" spans="2:38">
      <c r="B68" s="36">
        <f t="shared" si="25"/>
        <v>63</v>
      </c>
      <c r="C68" s="36">
        <v>21.6</v>
      </c>
      <c r="D68" s="36">
        <v>0.35399999999999998</v>
      </c>
      <c r="E68" s="36">
        <v>9.8000000000000004E-2</v>
      </c>
      <c r="F68" s="37">
        <v>3.9100000000000003E-3</v>
      </c>
      <c r="G68" s="36">
        <v>5.21</v>
      </c>
      <c r="H68" s="36">
        <v>5.21</v>
      </c>
      <c r="I68" s="36">
        <v>1</v>
      </c>
      <c r="J68" s="36">
        <v>1.25</v>
      </c>
      <c r="K68" s="36">
        <v>109</v>
      </c>
      <c r="L68" s="42">
        <v>1000</v>
      </c>
      <c r="M68" s="43">
        <v>9.9999999999999995E-7</v>
      </c>
      <c r="N68" s="36">
        <f t="shared" si="1"/>
        <v>2.1600000000000001E-2</v>
      </c>
      <c r="O68" s="38">
        <f t="shared" si="2"/>
        <v>5.2100000000000002E-3</v>
      </c>
      <c r="P68" s="38">
        <f t="shared" si="3"/>
        <v>5.2100000000000002E-3</v>
      </c>
      <c r="Q68" s="36">
        <f t="shared" si="4"/>
        <v>0.62262193012798339</v>
      </c>
      <c r="R68" s="36">
        <f t="shared" si="5"/>
        <v>3.7589958000000001</v>
      </c>
      <c r="S68" s="38">
        <f t="shared" si="6"/>
        <v>6.3076363636363639E-2</v>
      </c>
      <c r="T68" s="37">
        <f t="shared" si="7"/>
        <v>6.2411351346063591E-3</v>
      </c>
      <c r="U68" s="42">
        <f t="shared" si="8"/>
        <v>39272.727272727272</v>
      </c>
      <c r="V68" s="44">
        <f t="shared" si="9"/>
        <v>1.5891779277932858E-7</v>
      </c>
      <c r="W68" s="44">
        <f t="shared" si="10"/>
        <v>1.2713423422346286E-6</v>
      </c>
      <c r="X68" s="37">
        <f t="shared" si="11"/>
        <v>1.9925948241625847E-2</v>
      </c>
      <c r="Y68" s="44">
        <f t="shared" si="12"/>
        <v>15673.157087336651</v>
      </c>
      <c r="Z68" s="37">
        <f t="shared" si="13"/>
        <v>4.9338750218556066E-3</v>
      </c>
      <c r="AA68" s="38">
        <f t="shared" si="14"/>
        <v>2.9758124978144396E-2</v>
      </c>
      <c r="AB68" s="36">
        <f t="shared" si="15"/>
        <v>8.4062499938261009E-2</v>
      </c>
      <c r="AC68" s="37">
        <f t="shared" si="16"/>
        <v>8.3176231415640258E-3</v>
      </c>
      <c r="AD68" s="41">
        <f t="shared" si="17"/>
        <v>3.2243937163818726</v>
      </c>
      <c r="AE68">
        <f t="shared" si="18"/>
        <v>1.042E-2</v>
      </c>
      <c r="AF68" s="36">
        <f t="shared" si="19"/>
        <v>10.964791564590646</v>
      </c>
      <c r="AG68" s="36">
        <f>IF(AC68&lt;(1/(Sheet1!BL67^2)),MPM!AF68,Sheet1!BL67)</f>
        <v>11.3424188836197</v>
      </c>
      <c r="AH68" s="38">
        <f>IF(AG68=AF68,AB68,Sheet1!BK67)</f>
        <v>7.8558231487484587E-2</v>
      </c>
      <c r="AI68" t="str">
        <f t="shared" si="20"/>
        <v>ok</v>
      </c>
      <c r="AJ68" s="37">
        <f t="shared" si="21"/>
        <v>7.7729994307047957E-3</v>
      </c>
      <c r="AK68" s="41">
        <f t="shared" si="22"/>
        <v>3.0132659409105655</v>
      </c>
      <c r="AL68" s="42">
        <f t="shared" si="23"/>
        <v>93.452171352442164</v>
      </c>
    </row>
    <row r="69" spans="2:38">
      <c r="B69" s="36">
        <f t="shared" si="25"/>
        <v>64</v>
      </c>
      <c r="C69" s="36">
        <v>2.1</v>
      </c>
      <c r="D69" s="36">
        <v>0.35399999999999998</v>
      </c>
      <c r="E69" s="36">
        <v>2.4E-2</v>
      </c>
      <c r="F69" s="37">
        <v>5.7199999999999994E-3</v>
      </c>
      <c r="G69" s="36">
        <v>5.21</v>
      </c>
      <c r="H69" s="36">
        <v>5.21</v>
      </c>
      <c r="I69" s="36">
        <v>1</v>
      </c>
      <c r="J69" s="36">
        <v>1.25</v>
      </c>
      <c r="K69" s="36">
        <v>4.4000000000000004</v>
      </c>
      <c r="L69" s="42">
        <v>1000</v>
      </c>
      <c r="M69" s="43">
        <v>9.9999999999999995E-7</v>
      </c>
      <c r="N69" s="36">
        <f t="shared" si="1"/>
        <v>2.1000000000000003E-3</v>
      </c>
      <c r="O69" s="38">
        <f t="shared" si="2"/>
        <v>5.2100000000000002E-3</v>
      </c>
      <c r="P69" s="38">
        <f t="shared" si="3"/>
        <v>5.2100000000000002E-3</v>
      </c>
      <c r="Q69" s="36">
        <f t="shared" si="4"/>
        <v>0.24717514124293788</v>
      </c>
      <c r="R69" s="36">
        <f t="shared" si="5"/>
        <v>1.3467167999999998</v>
      </c>
      <c r="S69" s="38">
        <f t="shared" si="6"/>
        <v>2.1134328358208956E-2</v>
      </c>
      <c r="T69" s="37">
        <f t="shared" si="7"/>
        <v>1.9410821006190335E-2</v>
      </c>
      <c r="U69" s="42">
        <f t="shared" si="8"/>
        <v>5223.8805970149269</v>
      </c>
      <c r="V69" s="44">
        <f t="shared" si="9"/>
        <v>3.71578573547072E-6</v>
      </c>
      <c r="W69" s="44">
        <f t="shared" si="10"/>
        <v>2.972628588376576E-5</v>
      </c>
      <c r="X69" s="37">
        <f t="shared" si="11"/>
        <v>3.7427828053835432E-2</v>
      </c>
      <c r="Y69" s="44">
        <f t="shared" si="12"/>
        <v>1259.0818846385268</v>
      </c>
      <c r="Z69" s="37">
        <f t="shared" si="13"/>
        <v>2.4450650724317538E-4</v>
      </c>
      <c r="AA69" s="38">
        <f t="shared" si="14"/>
        <v>8.2514934927568253E-3</v>
      </c>
      <c r="AB69" s="36">
        <f t="shared" si="15"/>
        <v>2.3309303651855441E-2</v>
      </c>
      <c r="AC69" s="37">
        <f t="shared" si="16"/>
        <v>2.1408426768829099E-2</v>
      </c>
      <c r="AD69" s="41">
        <f t="shared" si="17"/>
        <v>1.3079596176772943</v>
      </c>
      <c r="AE69">
        <f t="shared" si="18"/>
        <v>1.042E-2</v>
      </c>
      <c r="AF69" s="36">
        <f t="shared" si="19"/>
        <v>6.83451377494033</v>
      </c>
      <c r="AG69" s="36">
        <f>IF(AC69&lt;(1/(Sheet1!BL68^2)),MPM!AF69,Sheet1!BL68)</f>
        <v>8.5851594877939288</v>
      </c>
      <c r="AH69" s="38">
        <f>IF(AG69=AF69,AB69,Sheet1!BK68)</f>
        <v>1.4772289523628428E-2</v>
      </c>
      <c r="AI69" t="str">
        <f t="shared" si="20"/>
        <v>ok</v>
      </c>
      <c r="AJ69" s="37">
        <f t="shared" si="21"/>
        <v>1.3567607301482348E-2</v>
      </c>
      <c r="AK69" s="41">
        <f t="shared" si="22"/>
        <v>0.82892043635269441</v>
      </c>
      <c r="AL69" s="42">
        <f t="shared" si="23"/>
        <v>63.37507864537217</v>
      </c>
    </row>
    <row r="70" spans="2:38">
      <c r="B70" s="36">
        <f t="shared" si="25"/>
        <v>65</v>
      </c>
      <c r="C70" s="36">
        <v>1.1000000000000001</v>
      </c>
      <c r="D70" s="36">
        <v>0.35399999999999998</v>
      </c>
      <c r="E70" s="36">
        <v>1.2999999999999999E-2</v>
      </c>
      <c r="F70" s="37">
        <v>7.9100000000000004E-3</v>
      </c>
      <c r="G70" s="36">
        <v>5.21</v>
      </c>
      <c r="H70" s="36">
        <v>5.21</v>
      </c>
      <c r="I70" s="36">
        <v>1</v>
      </c>
      <c r="J70" s="36">
        <v>1.25</v>
      </c>
      <c r="K70" s="36">
        <v>4.4000000000000004</v>
      </c>
      <c r="L70" s="42">
        <v>1000</v>
      </c>
      <c r="M70" s="43">
        <v>9.9999999999999995E-7</v>
      </c>
      <c r="N70" s="36">
        <f t="shared" si="1"/>
        <v>1.1000000000000001E-3</v>
      </c>
      <c r="O70" s="38">
        <f t="shared" si="2"/>
        <v>5.2100000000000002E-3</v>
      </c>
      <c r="P70" s="38">
        <f t="shared" si="3"/>
        <v>5.2100000000000002E-3</v>
      </c>
      <c r="Q70" s="36">
        <f t="shared" si="4"/>
        <v>0.23902651021295093</v>
      </c>
      <c r="R70" s="36">
        <f t="shared" si="5"/>
        <v>1.0087623000000001</v>
      </c>
      <c r="S70" s="38">
        <f t="shared" si="6"/>
        <v>1.2110526315789471E-2</v>
      </c>
      <c r="T70" s="37">
        <f t="shared" si="7"/>
        <v>1.6448123830788808E-2</v>
      </c>
      <c r="U70" s="42">
        <f t="shared" si="8"/>
        <v>2894.7368421052629</v>
      </c>
      <c r="V70" s="44">
        <f t="shared" si="9"/>
        <v>5.6820791415452248E-6</v>
      </c>
      <c r="W70" s="44">
        <f t="shared" si="10"/>
        <v>4.5456633132361798E-5</v>
      </c>
      <c r="X70" s="37">
        <f t="shared" si="11"/>
        <v>4.074609080225771E-2</v>
      </c>
      <c r="Y70" s="44">
        <f t="shared" si="12"/>
        <v>896.37282822095938</v>
      </c>
      <c r="Z70" s="37">
        <f t="shared" si="13"/>
        <v>9.7502546947540186E-5</v>
      </c>
      <c r="AA70" s="38">
        <f t="shared" si="14"/>
        <v>4.5044974530524589E-3</v>
      </c>
      <c r="AB70" s="36">
        <f t="shared" si="15"/>
        <v>1.2724569076419376E-2</v>
      </c>
      <c r="AC70" s="37">
        <f t="shared" si="16"/>
        <v>1.728209678133449E-2</v>
      </c>
      <c r="AD70" s="41">
        <f t="shared" si="17"/>
        <v>0.98738965907982212</v>
      </c>
      <c r="AE70">
        <f t="shared" si="18"/>
        <v>1.042E-2</v>
      </c>
      <c r="AF70" s="36">
        <f t="shared" si="19"/>
        <v>7.6067962470459252</v>
      </c>
      <c r="AG70" s="36">
        <f>IF(AC70&lt;(1/(Sheet1!BL69^2)),MPM!AF70,Sheet1!BL69)</f>
        <v>8.1754399070767327</v>
      </c>
      <c r="AH70" s="38">
        <f>IF(AG70=AF70,AB70,Sheet1!BK69)</f>
        <v>1.1016011725668193E-2</v>
      </c>
      <c r="AI70" t="str">
        <f t="shared" si="20"/>
        <v>ok</v>
      </c>
      <c r="AJ70" s="37">
        <f t="shared" si="21"/>
        <v>1.4961589632895324E-2</v>
      </c>
      <c r="AK70" s="41">
        <f t="shared" si="22"/>
        <v>0.85481056343071682</v>
      </c>
      <c r="AL70" s="42">
        <f t="shared" si="23"/>
        <v>86.572768467854956</v>
      </c>
    </row>
    <row r="71" spans="2:38">
      <c r="B71" s="36">
        <f t="shared" si="25"/>
        <v>66</v>
      </c>
      <c r="C71" s="36">
        <v>0.8</v>
      </c>
      <c r="D71" s="36">
        <v>0.35399999999999998</v>
      </c>
      <c r="E71" s="36">
        <v>8.0000000000000002E-3</v>
      </c>
      <c r="F71" s="37">
        <v>1.0630000000000001E-2</v>
      </c>
      <c r="G71" s="36">
        <v>5.21</v>
      </c>
      <c r="H71" s="36">
        <v>5.21</v>
      </c>
      <c r="I71" s="36">
        <v>1</v>
      </c>
      <c r="J71" s="36">
        <v>1.25</v>
      </c>
      <c r="K71" s="36">
        <v>4.4000000000000004</v>
      </c>
      <c r="L71" s="42">
        <v>1000</v>
      </c>
      <c r="M71" s="43">
        <v>9.9999999999999995E-7</v>
      </c>
      <c r="N71" s="36">
        <f t="shared" ref="N71:N134" si="26">C71/1000</f>
        <v>8.0000000000000004E-4</v>
      </c>
      <c r="O71" s="38">
        <f t="shared" ref="O71:O134" si="27">G71/1000</f>
        <v>5.2100000000000002E-3</v>
      </c>
      <c r="P71" s="38">
        <f t="shared" ref="P71:P134" si="28">H71/1000</f>
        <v>5.2100000000000002E-3</v>
      </c>
      <c r="Q71" s="36">
        <f t="shared" ref="Q71:Q134" si="29">N71/(E71*D71)</f>
        <v>0.2824858757062147</v>
      </c>
      <c r="R71" s="36">
        <f t="shared" ref="R71:R134" si="30">L71*9.81*E71*F71</f>
        <v>0.83424240000000005</v>
      </c>
      <c r="S71" s="38">
        <f t="shared" ref="S71:S134" si="31">D71*E71/(D71+2*E71)</f>
        <v>7.6540540540540542E-3</v>
      </c>
      <c r="T71" s="37">
        <f t="shared" ref="T71:T134" si="32">9.81*S71*F71/(Q71^2)</f>
        <v>1.0002310241036108E-2</v>
      </c>
      <c r="U71" s="42">
        <f t="shared" ref="U71:U134" si="33">Q71*S71/M71</f>
        <v>2162.1621621621621</v>
      </c>
      <c r="V71" s="44">
        <f t="shared" ref="V71:V134" si="34">T71/U71</f>
        <v>4.6260684864792003E-6</v>
      </c>
      <c r="W71" s="44">
        <f t="shared" ref="W71:W134" si="35">8*V71</f>
        <v>3.7008547891833602E-5</v>
      </c>
      <c r="X71" s="37">
        <f t="shared" ref="X71:X134" si="36">0.301*(W71^(1/5))</f>
        <v>3.9104515066423172E-2</v>
      </c>
      <c r="Y71" s="44">
        <f t="shared" ref="Y71:Y134" si="37">X71/W71</f>
        <v>1056.634677499791</v>
      </c>
      <c r="Z71" s="37">
        <f t="shared" ref="Z71:Z134" si="38">2*M71*E71*Y71/Q71</f>
        <v>5.9847788133588162E-5</v>
      </c>
      <c r="AA71" s="38">
        <f t="shared" ref="AA71:AA134" si="39">D71*E71-Z71</f>
        <v>2.7721522118664115E-3</v>
      </c>
      <c r="AB71" s="36">
        <f t="shared" ref="AB71:AB134" si="40">AA71/D71</f>
        <v>7.8309384516000325E-3</v>
      </c>
      <c r="AC71" s="37">
        <f t="shared" ref="AC71:AC134" si="41">(T71*(D71+2*E71)-X71*2*E71/8)/D71</f>
        <v>1.0233462596187893E-2</v>
      </c>
      <c r="AD71" s="41">
        <f t="shared" ref="AD71:AD134" si="42">1000*AC71*(Q71^2)</f>
        <v>0.81661261101438709</v>
      </c>
      <c r="AE71">
        <f t="shared" ref="AE71:AE134" si="43">AE$2*P71</f>
        <v>1.042E-2</v>
      </c>
      <c r="AF71" s="36">
        <f t="shared" ref="AF71:AF134" si="44">1/(AC71^0.5)</f>
        <v>9.8852736618203778</v>
      </c>
      <c r="AG71" s="36">
        <f>IF(AC71&lt;(1/(Sheet1!BL70^2)),MPM!AF71,Sheet1!BL70)</f>
        <v>9.8852736618203778</v>
      </c>
      <c r="AH71" s="38">
        <f>IF(AG71=AF71,AB71,Sheet1!BK70)</f>
        <v>7.8309384516000325E-3</v>
      </c>
      <c r="AI71" t="str">
        <f t="shared" ref="AI71:AI134" si="45">IF(AH71&gt;AB71,"error","ok")</f>
        <v>ok</v>
      </c>
      <c r="AJ71" s="37">
        <f t="shared" ref="AJ71:AJ134" si="46">1/(AG71^2)</f>
        <v>1.0233462596187893E-2</v>
      </c>
      <c r="AK71" s="41">
        <f t="shared" ref="AK71:AK134" si="47">L71*AJ71*(Q71^2)</f>
        <v>0.81661261101438709</v>
      </c>
      <c r="AL71" s="42">
        <f t="shared" ref="AL71:AL134" si="48">100*AK71/AD71</f>
        <v>100</v>
      </c>
    </row>
    <row r="72" spans="2:38">
      <c r="B72" s="36">
        <f t="shared" si="25"/>
        <v>67</v>
      </c>
      <c r="C72" s="36">
        <v>550</v>
      </c>
      <c r="D72" s="36">
        <v>2</v>
      </c>
      <c r="E72" s="36">
        <v>0.49</v>
      </c>
      <c r="F72" s="37">
        <v>5.0000000000000001E-4</v>
      </c>
      <c r="G72" s="36">
        <v>0.41</v>
      </c>
      <c r="H72" s="36">
        <v>0.7</v>
      </c>
      <c r="I72" s="36">
        <v>3.5</v>
      </c>
      <c r="J72" s="36">
        <v>2.68</v>
      </c>
      <c r="K72" s="36">
        <v>17.399999999999999</v>
      </c>
      <c r="L72" s="42">
        <v>1000</v>
      </c>
      <c r="M72" s="43">
        <v>9.9999999999999995E-7</v>
      </c>
      <c r="N72" s="36">
        <f t="shared" si="26"/>
        <v>0.55000000000000004</v>
      </c>
      <c r="O72" s="38">
        <f t="shared" si="27"/>
        <v>4.0999999999999999E-4</v>
      </c>
      <c r="P72" s="38">
        <f t="shared" si="28"/>
        <v>6.9999999999999999E-4</v>
      </c>
      <c r="Q72" s="36">
        <f t="shared" si="29"/>
        <v>0.56122448979591844</v>
      </c>
      <c r="R72" s="36">
        <f t="shared" si="30"/>
        <v>2.4034499999999999</v>
      </c>
      <c r="S72" s="38">
        <f t="shared" si="31"/>
        <v>0.32885906040268453</v>
      </c>
      <c r="T72" s="37">
        <f t="shared" si="32"/>
        <v>5.121245504465027E-3</v>
      </c>
      <c r="U72" s="42">
        <f t="shared" si="33"/>
        <v>184563.75838926175</v>
      </c>
      <c r="V72" s="44">
        <f t="shared" si="34"/>
        <v>2.774783927873778E-8</v>
      </c>
      <c r="W72" s="44">
        <f t="shared" si="35"/>
        <v>2.2198271422990224E-7</v>
      </c>
      <c r="X72" s="37">
        <f t="shared" si="36"/>
        <v>1.4054983077837851E-2</v>
      </c>
      <c r="Y72" s="44">
        <f t="shared" si="37"/>
        <v>63315.664584952494</v>
      </c>
      <c r="Z72" s="37">
        <f t="shared" si="38"/>
        <v>0.11056066230434247</v>
      </c>
      <c r="AA72" s="38">
        <f t="shared" si="39"/>
        <v>0.86943933769565751</v>
      </c>
      <c r="AB72" s="36">
        <f t="shared" si="40"/>
        <v>0.43471966884782876</v>
      </c>
      <c r="AC72" s="37">
        <f t="shared" si="41"/>
        <v>6.7697880881353216E-3</v>
      </c>
      <c r="AD72" s="41">
        <f t="shared" si="42"/>
        <v>2.1322999756985999</v>
      </c>
      <c r="AE72">
        <f t="shared" si="43"/>
        <v>1.4E-3</v>
      </c>
      <c r="AF72" s="36">
        <f t="shared" si="44"/>
        <v>12.153810561492442</v>
      </c>
      <c r="AG72" s="36">
        <f>IF(AC72&lt;(1/(Sheet1!BL71^2)),MPM!AF72,Sheet1!BL71)</f>
        <v>18.367584086004431</v>
      </c>
      <c r="AH72" s="38">
        <f>IF(AG72=AF72,AB72,Sheet1!BK71)</f>
        <v>0.1903400340296427</v>
      </c>
      <c r="AI72" t="str">
        <f t="shared" si="45"/>
        <v>ok</v>
      </c>
      <c r="AJ72" s="37">
        <f t="shared" si="46"/>
        <v>2.96412098876817E-3</v>
      </c>
      <c r="AK72" s="41">
        <f t="shared" si="47"/>
        <v>0.93361786662054524</v>
      </c>
      <c r="AL72" s="42">
        <f t="shared" si="48"/>
        <v>43.784546136134836</v>
      </c>
    </row>
    <row r="73" spans="2:38">
      <c r="B73" s="36">
        <f t="shared" si="25"/>
        <v>68</v>
      </c>
      <c r="C73" s="36">
        <v>300</v>
      </c>
      <c r="D73" s="36">
        <v>2</v>
      </c>
      <c r="E73" s="36">
        <v>0.35199999999999998</v>
      </c>
      <c r="F73" s="37">
        <v>4.1999999999999996E-4</v>
      </c>
      <c r="G73" s="36">
        <v>0.4</v>
      </c>
      <c r="H73" s="36">
        <v>0.7</v>
      </c>
      <c r="I73" s="36">
        <v>3.5</v>
      </c>
      <c r="J73" s="36">
        <v>2.68</v>
      </c>
      <c r="K73" s="36">
        <v>4.3</v>
      </c>
      <c r="L73" s="42">
        <v>1000</v>
      </c>
      <c r="M73" s="43">
        <v>9.9999999999999995E-7</v>
      </c>
      <c r="N73" s="36">
        <f t="shared" si="26"/>
        <v>0.3</v>
      </c>
      <c r="O73" s="38">
        <f t="shared" si="27"/>
        <v>4.0000000000000002E-4</v>
      </c>
      <c r="P73" s="38">
        <f t="shared" si="28"/>
        <v>6.9999999999999999E-4</v>
      </c>
      <c r="Q73" s="36">
        <f t="shared" si="29"/>
        <v>0.42613636363636365</v>
      </c>
      <c r="R73" s="36">
        <f t="shared" si="30"/>
        <v>1.4503103999999998</v>
      </c>
      <c r="S73" s="38">
        <f t="shared" si="31"/>
        <v>0.26035502958579881</v>
      </c>
      <c r="T73" s="37">
        <f t="shared" si="32"/>
        <v>5.9072734977514783E-3</v>
      </c>
      <c r="U73" s="42">
        <f t="shared" si="33"/>
        <v>110946.74556213018</v>
      </c>
      <c r="V73" s="44">
        <f t="shared" si="34"/>
        <v>5.3244225126399993E-8</v>
      </c>
      <c r="W73" s="44">
        <f t="shared" si="35"/>
        <v>4.2595380101119994E-7</v>
      </c>
      <c r="X73" s="37">
        <f t="shared" si="36"/>
        <v>1.601175717411053E-2</v>
      </c>
      <c r="Y73" s="44">
        <f t="shared" si="37"/>
        <v>37590.361058169125</v>
      </c>
      <c r="Z73" s="37">
        <f t="shared" si="38"/>
        <v>6.2101281287351824E-2</v>
      </c>
      <c r="AA73" s="38">
        <f t="shared" si="39"/>
        <v>0.64189871871264814</v>
      </c>
      <c r="AB73" s="36">
        <f t="shared" si="40"/>
        <v>0.32094935935632407</v>
      </c>
      <c r="AC73" s="37">
        <f t="shared" si="41"/>
        <v>7.2821164532991351E-3</v>
      </c>
      <c r="AD73" s="41">
        <f t="shared" si="42"/>
        <v>1.3223755504199264</v>
      </c>
      <c r="AE73">
        <f t="shared" si="43"/>
        <v>1.4E-3</v>
      </c>
      <c r="AF73" s="36">
        <f t="shared" si="44"/>
        <v>11.718477489944844</v>
      </c>
      <c r="AG73" s="36">
        <f>IF(AC73&lt;(1/(Sheet1!BL72^2)),MPM!AF73,Sheet1!BL72)</f>
        <v>17.523470483609312</v>
      </c>
      <c r="AH73" s="38">
        <f>IF(AG73=AF73,AB73,Sheet1!BK72)</f>
        <v>0.14352866677055551</v>
      </c>
      <c r="AI73" t="str">
        <f t="shared" si="45"/>
        <v>ok</v>
      </c>
      <c r="AJ73" s="37">
        <f t="shared" si="46"/>
        <v>3.2565650468487722E-3</v>
      </c>
      <c r="AK73" s="41">
        <f t="shared" si="47"/>
        <v>0.59136681264605973</v>
      </c>
      <c r="AL73" s="42">
        <f t="shared" si="48"/>
        <v>44.720035277290819</v>
      </c>
    </row>
    <row r="74" spans="2:38">
      <c r="B74" s="36">
        <f t="shared" si="25"/>
        <v>69</v>
      </c>
      <c r="C74" s="36">
        <v>400</v>
      </c>
      <c r="D74" s="36">
        <v>2</v>
      </c>
      <c r="E74" s="36">
        <v>0.4</v>
      </c>
      <c r="F74" s="37">
        <v>4.7999999999999996E-4</v>
      </c>
      <c r="G74" s="36">
        <v>0.38</v>
      </c>
      <c r="H74" s="36">
        <v>0.7</v>
      </c>
      <c r="I74" s="36">
        <v>3.5</v>
      </c>
      <c r="J74" s="36">
        <v>2.68</v>
      </c>
      <c r="K74" s="36">
        <v>14.2</v>
      </c>
      <c r="L74" s="42">
        <v>1000</v>
      </c>
      <c r="M74" s="43">
        <v>9.9999999999999995E-7</v>
      </c>
      <c r="N74" s="36">
        <f t="shared" si="26"/>
        <v>0.4</v>
      </c>
      <c r="O74" s="38">
        <f t="shared" si="27"/>
        <v>3.8000000000000002E-4</v>
      </c>
      <c r="P74" s="38">
        <f t="shared" si="28"/>
        <v>6.9999999999999999E-4</v>
      </c>
      <c r="Q74" s="36">
        <f t="shared" si="29"/>
        <v>0.5</v>
      </c>
      <c r="R74" s="36">
        <f t="shared" si="30"/>
        <v>1.8835199999999999</v>
      </c>
      <c r="S74" s="38">
        <f t="shared" si="31"/>
        <v>0.28571428571428575</v>
      </c>
      <c r="T74" s="37">
        <f t="shared" si="32"/>
        <v>5.3814857142857149E-3</v>
      </c>
      <c r="U74" s="42">
        <f t="shared" si="33"/>
        <v>142857.14285714287</v>
      </c>
      <c r="V74" s="44">
        <f t="shared" si="34"/>
        <v>3.7670400000000001E-8</v>
      </c>
      <c r="W74" s="44">
        <f t="shared" si="35"/>
        <v>3.0136320000000001E-7</v>
      </c>
      <c r="X74" s="37">
        <f t="shared" si="36"/>
        <v>1.494116766678082E-2</v>
      </c>
      <c r="Y74" s="44">
        <f t="shared" si="37"/>
        <v>49578.607032248197</v>
      </c>
      <c r="Z74" s="37">
        <f t="shared" si="38"/>
        <v>7.9325771251597108E-2</v>
      </c>
      <c r="AA74" s="38">
        <f t="shared" si="39"/>
        <v>0.72067422874840292</v>
      </c>
      <c r="AB74" s="36">
        <f t="shared" si="40"/>
        <v>0.36033711437420146</v>
      </c>
      <c r="AC74" s="37">
        <f t="shared" si="41"/>
        <v>6.7870216166609591E-3</v>
      </c>
      <c r="AD74" s="41">
        <f t="shared" si="42"/>
        <v>1.6967554041652397</v>
      </c>
      <c r="AE74">
        <f t="shared" si="43"/>
        <v>1.4E-3</v>
      </c>
      <c r="AF74" s="36">
        <f t="shared" si="44"/>
        <v>12.138370344699538</v>
      </c>
      <c r="AG74" s="36">
        <f>IF(AC74&lt;(1/(Sheet1!BL73^2)),MPM!AF74,Sheet1!BL73)</f>
        <v>17.936036547903001</v>
      </c>
      <c r="AH74" s="38">
        <f>IF(AG74=AF74,AB74,Sheet1!BK73)</f>
        <v>0.16503528353102934</v>
      </c>
      <c r="AI74" t="str">
        <f t="shared" si="45"/>
        <v>ok</v>
      </c>
      <c r="AJ74" s="37">
        <f t="shared" si="46"/>
        <v>3.1084725714354364E-3</v>
      </c>
      <c r="AK74" s="41">
        <f t="shared" si="47"/>
        <v>0.77711814285885916</v>
      </c>
      <c r="AL74" s="42">
        <f t="shared" si="48"/>
        <v>45.800245630641236</v>
      </c>
    </row>
    <row r="75" spans="2:38">
      <c r="B75" s="36">
        <f t="shared" si="25"/>
        <v>70</v>
      </c>
      <c r="C75" s="36">
        <v>200</v>
      </c>
      <c r="D75" s="36">
        <v>2</v>
      </c>
      <c r="E75" s="36">
        <v>0.28499999999999998</v>
      </c>
      <c r="F75" s="37">
        <v>4.0000000000000002E-4</v>
      </c>
      <c r="G75" s="36">
        <v>0.39</v>
      </c>
      <c r="H75" s="36">
        <v>0.7</v>
      </c>
      <c r="I75" s="36">
        <v>3.5</v>
      </c>
      <c r="J75" s="36">
        <v>2.68</v>
      </c>
      <c r="K75" s="36">
        <v>1.4</v>
      </c>
      <c r="L75" s="42">
        <v>1000</v>
      </c>
      <c r="M75" s="43">
        <v>9.9999999999999995E-7</v>
      </c>
      <c r="N75" s="36">
        <f t="shared" si="26"/>
        <v>0.2</v>
      </c>
      <c r="O75" s="38">
        <f t="shared" si="27"/>
        <v>3.8999999999999999E-4</v>
      </c>
      <c r="P75" s="38">
        <f t="shared" si="28"/>
        <v>6.9999999999999999E-4</v>
      </c>
      <c r="Q75" s="36">
        <f t="shared" si="29"/>
        <v>0.35087719298245618</v>
      </c>
      <c r="R75" s="36">
        <f t="shared" si="30"/>
        <v>1.1183400000000001</v>
      </c>
      <c r="S75" s="38">
        <f t="shared" si="31"/>
        <v>0.22178988326848248</v>
      </c>
      <c r="T75" s="37">
        <f t="shared" si="32"/>
        <v>7.0690401945525281E-3</v>
      </c>
      <c r="U75" s="42">
        <f t="shared" si="33"/>
        <v>77821.011673151763</v>
      </c>
      <c r="V75" s="44">
        <f t="shared" si="34"/>
        <v>9.0837166499999977E-8</v>
      </c>
      <c r="W75" s="44">
        <f t="shared" si="35"/>
        <v>7.2669733199999981E-7</v>
      </c>
      <c r="X75" s="37">
        <f t="shared" si="36"/>
        <v>1.781710784489355E-2</v>
      </c>
      <c r="Y75" s="44">
        <f t="shared" si="37"/>
        <v>24517.921093583365</v>
      </c>
      <c r="Z75" s="37">
        <f t="shared" si="38"/>
        <v>3.9829362816526166E-2</v>
      </c>
      <c r="AA75" s="38">
        <f t="shared" si="39"/>
        <v>0.53017063718347379</v>
      </c>
      <c r="AB75" s="36">
        <f t="shared" si="40"/>
        <v>0.2650853185917369</v>
      </c>
      <c r="AC75" s="37">
        <f t="shared" si="41"/>
        <v>8.4489821830256665E-3</v>
      </c>
      <c r="AD75" s="41">
        <f t="shared" si="42"/>
        <v>1.0401947901539759</v>
      </c>
      <c r="AE75">
        <f t="shared" si="43"/>
        <v>1.4E-3</v>
      </c>
      <c r="AF75" s="36">
        <f t="shared" si="44"/>
        <v>10.879221094548056</v>
      </c>
      <c r="AG75" s="36">
        <f>IF(AC75&lt;(1/(Sheet1!BL74^2)),MPM!AF75,Sheet1!BL74)</f>
        <v>16.794629206113729</v>
      </c>
      <c r="AH75" s="38">
        <f>IF(AG75=AF75,AB75,Sheet1!BK74)</f>
        <v>0.11123473939524353</v>
      </c>
      <c r="AI75" t="str">
        <f t="shared" si="45"/>
        <v>ok</v>
      </c>
      <c r="AJ75" s="37">
        <f t="shared" si="46"/>
        <v>3.5453503647980568E-3</v>
      </c>
      <c r="AK75" s="41">
        <f t="shared" si="47"/>
        <v>0.43648511724198924</v>
      </c>
      <c r="AL75" s="42">
        <f t="shared" si="48"/>
        <v>41.961863429192732</v>
      </c>
    </row>
    <row r="76" spans="2:38">
      <c r="B76" s="36">
        <f t="shared" si="25"/>
        <v>71</v>
      </c>
      <c r="C76" s="36">
        <v>350</v>
      </c>
      <c r="D76" s="36">
        <v>2</v>
      </c>
      <c r="E76" s="36">
        <v>0.372</v>
      </c>
      <c r="F76" s="37">
        <v>4.4999999999999999E-4</v>
      </c>
      <c r="G76" s="36">
        <v>0.4</v>
      </c>
      <c r="H76" s="36">
        <v>0.7</v>
      </c>
      <c r="I76" s="36">
        <v>3.5</v>
      </c>
      <c r="J76" s="36">
        <v>2.68</v>
      </c>
      <c r="K76" s="36">
        <v>9</v>
      </c>
      <c r="L76" s="42">
        <v>1000</v>
      </c>
      <c r="M76" s="43">
        <v>9.9999999999999995E-7</v>
      </c>
      <c r="N76" s="36">
        <f t="shared" si="26"/>
        <v>0.35</v>
      </c>
      <c r="O76" s="38">
        <f t="shared" si="27"/>
        <v>4.0000000000000002E-4</v>
      </c>
      <c r="P76" s="38">
        <f t="shared" si="28"/>
        <v>6.9999999999999999E-4</v>
      </c>
      <c r="Q76" s="36">
        <f t="shared" si="29"/>
        <v>0.47043010752688169</v>
      </c>
      <c r="R76" s="36">
        <f t="shared" si="30"/>
        <v>1.6421939999999999</v>
      </c>
      <c r="S76" s="38">
        <f t="shared" si="31"/>
        <v>0.2711370262390671</v>
      </c>
      <c r="T76" s="37">
        <f t="shared" si="32"/>
        <v>5.4085410720771127E-3</v>
      </c>
      <c r="U76" s="42">
        <f t="shared" si="33"/>
        <v>127551.02040816327</v>
      </c>
      <c r="V76" s="44">
        <f t="shared" si="34"/>
        <v>4.240296200508456E-8</v>
      </c>
      <c r="W76" s="44">
        <f t="shared" si="35"/>
        <v>3.3922369604067648E-7</v>
      </c>
      <c r="X76" s="37">
        <f t="shared" si="36"/>
        <v>1.5299024212094137E-2</v>
      </c>
      <c r="Y76" s="44">
        <f t="shared" si="37"/>
        <v>45100.10471161078</v>
      </c>
      <c r="Z76" s="37">
        <f t="shared" si="38"/>
        <v>7.1327233033274817E-2</v>
      </c>
      <c r="AA76" s="38">
        <f t="shared" si="39"/>
        <v>0.67267276696672518</v>
      </c>
      <c r="AB76" s="36">
        <f t="shared" si="40"/>
        <v>0.33633638348336259</v>
      </c>
      <c r="AC76" s="37">
        <f t="shared" si="41"/>
        <v>6.709113725027421E-3</v>
      </c>
      <c r="AD76" s="41">
        <f t="shared" si="42"/>
        <v>1.4847569648873045</v>
      </c>
      <c r="AE76">
        <f t="shared" si="43"/>
        <v>1.4E-3</v>
      </c>
      <c r="AF76" s="36">
        <f t="shared" si="44"/>
        <v>12.208643807969427</v>
      </c>
      <c r="AG76" s="36">
        <f>IF(AC76&lt;(1/(Sheet1!BL75^2)),MPM!AF76,Sheet1!BL75)</f>
        <v>17.807844174844849</v>
      </c>
      <c r="AH76" s="38">
        <f>IF(AG76=AF76,AB76,Sheet1!BK75)</f>
        <v>0.15808330355618416</v>
      </c>
      <c r="AI76" t="str">
        <f t="shared" si="45"/>
        <v>ok</v>
      </c>
      <c r="AJ76" s="37">
        <f t="shared" si="46"/>
        <v>3.1533872437346181E-3</v>
      </c>
      <c r="AK76" s="41">
        <f t="shared" si="47"/>
        <v>0.69785874334729936</v>
      </c>
      <c r="AL76" s="42">
        <f t="shared" si="48"/>
        <v>47.001547044453034</v>
      </c>
    </row>
    <row r="77" spans="2:38">
      <c r="B77" s="36">
        <f t="shared" si="25"/>
        <v>72</v>
      </c>
      <c r="C77" s="36">
        <v>180</v>
      </c>
      <c r="D77" s="36">
        <v>2</v>
      </c>
      <c r="E77" s="36">
        <v>0.191</v>
      </c>
      <c r="F77" s="37">
        <v>1E-3</v>
      </c>
      <c r="G77" s="36">
        <v>1.03</v>
      </c>
      <c r="H77" s="36">
        <v>1.35</v>
      </c>
      <c r="I77" s="36">
        <v>1.93</v>
      </c>
      <c r="J77" s="36">
        <v>2.68</v>
      </c>
      <c r="K77" s="36">
        <v>16.899999999999999</v>
      </c>
      <c r="L77" s="42">
        <v>1000</v>
      </c>
      <c r="M77" s="43">
        <v>9.9999999999999995E-7</v>
      </c>
      <c r="N77" s="36">
        <f t="shared" si="26"/>
        <v>0.18</v>
      </c>
      <c r="O77" s="38">
        <f t="shared" si="27"/>
        <v>1.0300000000000001E-3</v>
      </c>
      <c r="P77" s="38">
        <f t="shared" si="28"/>
        <v>1.3500000000000001E-3</v>
      </c>
      <c r="Q77" s="36">
        <f t="shared" si="29"/>
        <v>0.47120418848167539</v>
      </c>
      <c r="R77" s="36">
        <f t="shared" si="30"/>
        <v>1.87371</v>
      </c>
      <c r="S77" s="38">
        <f t="shared" si="31"/>
        <v>0.16036943744752308</v>
      </c>
      <c r="T77" s="37">
        <f t="shared" si="32"/>
        <v>7.0855297975557429E-3</v>
      </c>
      <c r="U77" s="42">
        <f t="shared" si="33"/>
        <v>75566.750629722912</v>
      </c>
      <c r="V77" s="44">
        <f t="shared" si="34"/>
        <v>9.3765177654321014E-8</v>
      </c>
      <c r="W77" s="44">
        <f t="shared" si="35"/>
        <v>7.5012142123456811E-7</v>
      </c>
      <c r="X77" s="37">
        <f t="shared" si="36"/>
        <v>1.7930516883158769E-2</v>
      </c>
      <c r="Y77" s="44">
        <f t="shared" si="37"/>
        <v>23903.485989839202</v>
      </c>
      <c r="Z77" s="37">
        <f t="shared" si="38"/>
        <v>1.9378290497673863E-2</v>
      </c>
      <c r="AA77" s="38">
        <f t="shared" si="39"/>
        <v>0.36262170950232614</v>
      </c>
      <c r="AB77" s="36">
        <f t="shared" si="40"/>
        <v>0.18131085475116307</v>
      </c>
      <c r="AC77" s="37">
        <f t="shared" si="41"/>
        <v>8.0107748983034733E-3</v>
      </c>
      <c r="AD77" s="41">
        <f t="shared" si="42"/>
        <v>1.7786594851089097</v>
      </c>
      <c r="AE77">
        <f t="shared" si="43"/>
        <v>2.7000000000000001E-3</v>
      </c>
      <c r="AF77" s="36">
        <f t="shared" si="44"/>
        <v>11.172818295477844</v>
      </c>
      <c r="AG77" s="36">
        <f>IF(AC77&lt;(1/(Sheet1!BL76^2)),MPM!AF77,Sheet1!BL76)</f>
        <v>14.852068831221386</v>
      </c>
      <c r="AH77" s="38">
        <f>IF(AG77=AF77,AB77,Sheet1!BK76)</f>
        <v>0.10260661738780182</v>
      </c>
      <c r="AI77" t="str">
        <f t="shared" si="45"/>
        <v>ok</v>
      </c>
      <c r="AJ77" s="37">
        <f t="shared" si="46"/>
        <v>4.5334214320437256E-3</v>
      </c>
      <c r="AK77" s="41">
        <f t="shared" si="47"/>
        <v>1.0065709163552035</v>
      </c>
      <c r="AL77" s="42">
        <f t="shared" si="48"/>
        <v>56.591546880237715</v>
      </c>
    </row>
    <row r="78" spans="2:38">
      <c r="B78" s="36">
        <f t="shared" si="25"/>
        <v>73</v>
      </c>
      <c r="C78" s="36">
        <v>140</v>
      </c>
      <c r="D78" s="36">
        <v>2</v>
      </c>
      <c r="E78" s="36">
        <v>0.152</v>
      </c>
      <c r="F78" s="37">
        <v>1.0400000000000001E-3</v>
      </c>
      <c r="G78" s="36">
        <v>1</v>
      </c>
      <c r="H78" s="36">
        <v>1.35</v>
      </c>
      <c r="I78" s="36">
        <v>1.93</v>
      </c>
      <c r="J78" s="36">
        <v>2.68</v>
      </c>
      <c r="K78" s="36">
        <v>13.3</v>
      </c>
      <c r="L78" s="42">
        <v>1000</v>
      </c>
      <c r="M78" s="43">
        <v>9.9999999999999995E-7</v>
      </c>
      <c r="N78" s="36">
        <f t="shared" si="26"/>
        <v>0.14000000000000001</v>
      </c>
      <c r="O78" s="38">
        <f t="shared" si="27"/>
        <v>1E-3</v>
      </c>
      <c r="P78" s="38">
        <f t="shared" si="28"/>
        <v>1.3500000000000001E-3</v>
      </c>
      <c r="Q78" s="36">
        <f t="shared" si="29"/>
        <v>0.46052631578947373</v>
      </c>
      <c r="R78" s="36">
        <f t="shared" si="30"/>
        <v>1.5507648000000001</v>
      </c>
      <c r="S78" s="38">
        <f t="shared" si="31"/>
        <v>0.13194444444444445</v>
      </c>
      <c r="T78" s="37">
        <f t="shared" si="32"/>
        <v>6.3472346122448974E-3</v>
      </c>
      <c r="U78" s="42">
        <f t="shared" si="33"/>
        <v>60763.888888888898</v>
      </c>
      <c r="V78" s="44">
        <f t="shared" si="34"/>
        <v>1.0445734676151602E-7</v>
      </c>
      <c r="W78" s="44">
        <f t="shared" si="35"/>
        <v>8.3565877409212813E-7</v>
      </c>
      <c r="X78" s="37">
        <f t="shared" si="36"/>
        <v>1.832197520534529E-2</v>
      </c>
      <c r="Y78" s="44">
        <f t="shared" si="37"/>
        <v>21925.187377169048</v>
      </c>
      <c r="Z78" s="37">
        <f t="shared" si="38"/>
        <v>1.4473129404631817E-2</v>
      </c>
      <c r="AA78" s="38">
        <f t="shared" si="39"/>
        <v>0.28952687059536819</v>
      </c>
      <c r="AB78" s="36">
        <f t="shared" si="40"/>
        <v>0.1447634352976841</v>
      </c>
      <c r="AC78" s="37">
        <f t="shared" si="41"/>
        <v>6.9638967444045604E-3</v>
      </c>
      <c r="AD78" s="41">
        <f t="shared" si="42"/>
        <v>1.4769344722810922</v>
      </c>
      <c r="AE78">
        <f t="shared" si="43"/>
        <v>2.7000000000000001E-3</v>
      </c>
      <c r="AF78" s="36">
        <f t="shared" si="44"/>
        <v>11.983228439128004</v>
      </c>
      <c r="AG78" s="36">
        <f>IF(AC78&lt;(1/(Sheet1!BL77^2)),MPM!AF78,Sheet1!BL77)</f>
        <v>14.694983857347349</v>
      </c>
      <c r="AH78" s="38">
        <f>IF(AG78=AF78,AB78,Sheet1!BK77)</f>
        <v>9.6264981315023979E-2</v>
      </c>
      <c r="AI78" t="str">
        <f t="shared" si="45"/>
        <v>ok</v>
      </c>
      <c r="AJ78" s="37">
        <f t="shared" si="46"/>
        <v>4.6308612979288422E-3</v>
      </c>
      <c r="AK78" s="41">
        <f t="shared" si="47"/>
        <v>0.98213384521517189</v>
      </c>
      <c r="AL78" s="42">
        <f t="shared" si="48"/>
        <v>66.498132696319843</v>
      </c>
    </row>
    <row r="79" spans="2:38">
      <c r="B79" s="36">
        <f t="shared" si="25"/>
        <v>74</v>
      </c>
      <c r="C79" s="36">
        <v>100</v>
      </c>
      <c r="D79" s="36">
        <v>2</v>
      </c>
      <c r="E79" s="36">
        <v>0.112</v>
      </c>
      <c r="F79" s="37">
        <v>1.07E-3</v>
      </c>
      <c r="G79" s="36">
        <v>0.97</v>
      </c>
      <c r="H79" s="36">
        <v>1.35</v>
      </c>
      <c r="I79" s="36">
        <v>1.93</v>
      </c>
      <c r="J79" s="36">
        <v>2.68</v>
      </c>
      <c r="K79" s="36">
        <v>10.9</v>
      </c>
      <c r="L79" s="42">
        <v>1000</v>
      </c>
      <c r="M79" s="43">
        <v>9.9999999999999995E-7</v>
      </c>
      <c r="N79" s="36">
        <f t="shared" si="26"/>
        <v>0.1</v>
      </c>
      <c r="O79" s="38">
        <f t="shared" si="27"/>
        <v>9.6999999999999994E-4</v>
      </c>
      <c r="P79" s="38">
        <f t="shared" si="28"/>
        <v>1.3500000000000001E-3</v>
      </c>
      <c r="Q79" s="36">
        <f t="shared" si="29"/>
        <v>0.44642857142857145</v>
      </c>
      <c r="R79" s="36">
        <f t="shared" si="30"/>
        <v>1.1756304</v>
      </c>
      <c r="S79" s="38">
        <f t="shared" si="31"/>
        <v>0.10071942446043165</v>
      </c>
      <c r="T79" s="37">
        <f t="shared" si="32"/>
        <v>5.3047150135251799E-3</v>
      </c>
      <c r="U79" s="42">
        <f t="shared" si="33"/>
        <v>44964.028776978426</v>
      </c>
      <c r="V79" s="44">
        <f t="shared" si="34"/>
        <v>1.1797686190079998E-7</v>
      </c>
      <c r="W79" s="44">
        <f t="shared" si="35"/>
        <v>9.438148952063998E-7</v>
      </c>
      <c r="X79" s="37">
        <f t="shared" si="36"/>
        <v>1.8773440087150615E-2</v>
      </c>
      <c r="Y79" s="44">
        <f t="shared" si="37"/>
        <v>19891.019078529283</v>
      </c>
      <c r="Z79" s="37">
        <f t="shared" si="38"/>
        <v>9.9805177328428519E-3</v>
      </c>
      <c r="AA79" s="38">
        <f t="shared" si="39"/>
        <v>0.21401948226715714</v>
      </c>
      <c r="AB79" s="36">
        <f t="shared" si="40"/>
        <v>0.10700974113357857</v>
      </c>
      <c r="AC79" s="37">
        <f t="shared" si="41"/>
        <v>5.6360149338198912E-3</v>
      </c>
      <c r="AD79" s="41">
        <f t="shared" si="42"/>
        <v>1.1232491497568342</v>
      </c>
      <c r="AE79">
        <f t="shared" si="43"/>
        <v>2.7000000000000001E-3</v>
      </c>
      <c r="AF79" s="36">
        <f t="shared" si="44"/>
        <v>13.320297738661473</v>
      </c>
      <c r="AG79" s="36">
        <f>IF(AC79&lt;(1/(Sheet1!BL78^2)),MPM!AF79,Sheet1!BL78)</f>
        <v>14.529467268493786</v>
      </c>
      <c r="AH79" s="38">
        <f>IF(AG79=AF79,AB79,Sheet1!BK78)</f>
        <v>8.9939774932332461E-2</v>
      </c>
      <c r="AI79" t="str">
        <f t="shared" si="45"/>
        <v>ok</v>
      </c>
      <c r="AJ79" s="37">
        <f t="shared" si="46"/>
        <v>4.7369698240516556E-3</v>
      </c>
      <c r="AK79" s="41">
        <f t="shared" si="47"/>
        <v>0.94407083546947856</v>
      </c>
      <c r="AL79" s="42">
        <f t="shared" si="48"/>
        <v>84.048212782876803</v>
      </c>
    </row>
    <row r="80" spans="2:38">
      <c r="B80" s="36">
        <f t="shared" si="25"/>
        <v>75</v>
      </c>
      <c r="C80" s="36">
        <v>150</v>
      </c>
      <c r="D80" s="36">
        <v>2</v>
      </c>
      <c r="E80" s="36">
        <v>0.11</v>
      </c>
      <c r="F80" s="37">
        <v>2.3999999999999998E-3</v>
      </c>
      <c r="G80" s="36">
        <v>1.7</v>
      </c>
      <c r="H80" s="36">
        <v>4</v>
      </c>
      <c r="I80" s="36">
        <v>5.71</v>
      </c>
      <c r="J80" s="36">
        <v>2.68</v>
      </c>
      <c r="K80" s="36">
        <v>87.1</v>
      </c>
      <c r="L80" s="42">
        <v>1000</v>
      </c>
      <c r="M80" s="43">
        <v>9.9999999999999995E-7</v>
      </c>
      <c r="N80" s="36">
        <f t="shared" si="26"/>
        <v>0.15</v>
      </c>
      <c r="O80" s="38">
        <f t="shared" si="27"/>
        <v>1.6999999999999999E-3</v>
      </c>
      <c r="P80" s="38">
        <f t="shared" si="28"/>
        <v>4.0000000000000001E-3</v>
      </c>
      <c r="Q80" s="36">
        <f t="shared" si="29"/>
        <v>0.68181818181818177</v>
      </c>
      <c r="R80" s="36">
        <f t="shared" si="30"/>
        <v>2.5898399999999997</v>
      </c>
      <c r="S80" s="38">
        <f t="shared" si="31"/>
        <v>9.9099099099099086E-2</v>
      </c>
      <c r="T80" s="37">
        <f t="shared" si="32"/>
        <v>5.0189491891891895E-3</v>
      </c>
      <c r="U80" s="42">
        <f t="shared" si="33"/>
        <v>67567.567567567559</v>
      </c>
      <c r="V80" s="44">
        <f t="shared" si="34"/>
        <v>7.4280448000000011E-8</v>
      </c>
      <c r="W80" s="44">
        <f t="shared" si="35"/>
        <v>5.9424358400000009E-7</v>
      </c>
      <c r="X80" s="37">
        <f t="shared" si="36"/>
        <v>1.711431006124715E-2</v>
      </c>
      <c r="Y80" s="44">
        <f t="shared" si="37"/>
        <v>28800.159601297684</v>
      </c>
      <c r="Z80" s="37">
        <f t="shared" si="38"/>
        <v>9.2928514980187196E-3</v>
      </c>
      <c r="AA80" s="38">
        <f t="shared" si="39"/>
        <v>0.21070714850198127</v>
      </c>
      <c r="AB80" s="36">
        <f t="shared" si="40"/>
        <v>0.10535357425099064</v>
      </c>
      <c r="AC80" s="37">
        <f t="shared" si="41"/>
        <v>5.3357118366578523E-3</v>
      </c>
      <c r="AD80" s="41">
        <f t="shared" si="42"/>
        <v>2.4804445521653236</v>
      </c>
      <c r="AE80">
        <f t="shared" si="43"/>
        <v>8.0000000000000002E-3</v>
      </c>
      <c r="AF80" s="36">
        <f t="shared" si="44"/>
        <v>13.690011614951308</v>
      </c>
      <c r="AG80" s="36">
        <f>IF(AC80&lt;(1/(Sheet1!BL79^2)),MPM!AF80,Sheet1!BL79)</f>
        <v>13.690011614951308</v>
      </c>
      <c r="AH80" s="38">
        <f>IF(AG80=AF80,AB80,Sheet1!BK79)</f>
        <v>0.10535357425099064</v>
      </c>
      <c r="AI80" t="str">
        <f t="shared" si="45"/>
        <v>ok</v>
      </c>
      <c r="AJ80" s="37">
        <f t="shared" si="46"/>
        <v>5.3357118366578532E-3</v>
      </c>
      <c r="AK80" s="41">
        <f t="shared" si="47"/>
        <v>2.480444552165324</v>
      </c>
      <c r="AL80" s="42">
        <f t="shared" si="48"/>
        <v>100.00000000000003</v>
      </c>
    </row>
    <row r="81" spans="2:38">
      <c r="B81" s="36">
        <f t="shared" si="25"/>
        <v>76</v>
      </c>
      <c r="C81" s="36">
        <v>100</v>
      </c>
      <c r="D81" s="36">
        <v>2</v>
      </c>
      <c r="E81" s="36">
        <v>7.8E-2</v>
      </c>
      <c r="F81" s="37">
        <v>2.5000000000000001E-3</v>
      </c>
      <c r="G81" s="36">
        <v>1.59</v>
      </c>
      <c r="H81" s="36">
        <v>4</v>
      </c>
      <c r="I81" s="36">
        <v>5.71</v>
      </c>
      <c r="J81" s="36">
        <v>2.68</v>
      </c>
      <c r="K81" s="36">
        <v>24.6</v>
      </c>
      <c r="L81" s="42">
        <v>1000</v>
      </c>
      <c r="M81" s="43">
        <v>9.9999999999999995E-7</v>
      </c>
      <c r="N81" s="36">
        <f t="shared" si="26"/>
        <v>0.1</v>
      </c>
      <c r="O81" s="38">
        <f t="shared" si="27"/>
        <v>1.5900000000000001E-3</v>
      </c>
      <c r="P81" s="38">
        <f t="shared" si="28"/>
        <v>4.0000000000000001E-3</v>
      </c>
      <c r="Q81" s="36">
        <f t="shared" si="29"/>
        <v>0.64102564102564108</v>
      </c>
      <c r="R81" s="36">
        <f t="shared" si="30"/>
        <v>1.9129499999999999</v>
      </c>
      <c r="S81" s="38">
        <f t="shared" si="31"/>
        <v>7.2356215213358069E-2</v>
      </c>
      <c r="T81" s="37">
        <f t="shared" si="32"/>
        <v>4.3185112430426708E-3</v>
      </c>
      <c r="U81" s="42">
        <f t="shared" si="33"/>
        <v>46382.189239332103</v>
      </c>
      <c r="V81" s="44">
        <f t="shared" si="34"/>
        <v>9.3107102399999968E-8</v>
      </c>
      <c r="W81" s="44">
        <f t="shared" si="35"/>
        <v>7.4485681919999974E-7</v>
      </c>
      <c r="X81" s="37">
        <f t="shared" si="36"/>
        <v>1.7905277459682699E-2</v>
      </c>
      <c r="Y81" s="44">
        <f t="shared" si="37"/>
        <v>24038.549420697451</v>
      </c>
      <c r="Z81" s="37">
        <f t="shared" si="38"/>
        <v>5.8500213870209313E-3</v>
      </c>
      <c r="AA81" s="38">
        <f t="shared" si="39"/>
        <v>0.15014997861297907</v>
      </c>
      <c r="AB81" s="36">
        <f t="shared" si="40"/>
        <v>7.5074989306489537E-2</v>
      </c>
      <c r="AC81" s="37">
        <f t="shared" si="41"/>
        <v>4.4807786647680934E-3</v>
      </c>
      <c r="AD81" s="41">
        <f t="shared" si="42"/>
        <v>1.8412141127416559</v>
      </c>
      <c r="AE81">
        <f t="shared" si="43"/>
        <v>8.0000000000000002E-3</v>
      </c>
      <c r="AF81" s="36">
        <f t="shared" si="44"/>
        <v>14.939059400853091</v>
      </c>
      <c r="AG81" s="36">
        <f>IF(AC81&lt;(1/(Sheet1!BL80^2)),MPM!AF81,Sheet1!BL80)</f>
        <v>14.939059400853091</v>
      </c>
      <c r="AH81" s="38">
        <f>IF(AG81=AF81,AB81,Sheet1!BK80)</f>
        <v>7.5074989306489537E-2</v>
      </c>
      <c r="AI81" t="str">
        <f t="shared" si="45"/>
        <v>ok</v>
      </c>
      <c r="AJ81" s="37">
        <f t="shared" si="46"/>
        <v>4.4807786647680925E-3</v>
      </c>
      <c r="AK81" s="41">
        <f t="shared" si="47"/>
        <v>1.8412141127416555</v>
      </c>
      <c r="AL81" s="42">
        <f t="shared" si="48"/>
        <v>99.999999999999986</v>
      </c>
    </row>
    <row r="82" spans="2:38">
      <c r="B82" s="36">
        <f t="shared" si="25"/>
        <v>77</v>
      </c>
      <c r="C82" s="36">
        <v>100</v>
      </c>
      <c r="D82" s="36">
        <v>2</v>
      </c>
      <c r="E82" s="36">
        <v>7.9000000000000001E-2</v>
      </c>
      <c r="F82" s="37">
        <v>2.5499999999999997E-3</v>
      </c>
      <c r="G82" s="36">
        <v>1.63</v>
      </c>
      <c r="H82" s="36">
        <v>4</v>
      </c>
      <c r="I82" s="36">
        <v>5.71</v>
      </c>
      <c r="J82" s="36">
        <v>2.68</v>
      </c>
      <c r="K82" s="36">
        <v>28.3</v>
      </c>
      <c r="L82" s="42">
        <v>1000</v>
      </c>
      <c r="M82" s="43">
        <v>9.9999999999999995E-7</v>
      </c>
      <c r="N82" s="36">
        <f t="shared" si="26"/>
        <v>0.1</v>
      </c>
      <c r="O82" s="38">
        <f t="shared" si="27"/>
        <v>1.6299999999999999E-3</v>
      </c>
      <c r="P82" s="38">
        <f t="shared" si="28"/>
        <v>4.0000000000000001E-3</v>
      </c>
      <c r="Q82" s="36">
        <f t="shared" si="29"/>
        <v>0.63291139240506333</v>
      </c>
      <c r="R82" s="36">
        <f t="shared" si="30"/>
        <v>1.9762244999999998</v>
      </c>
      <c r="S82" s="38">
        <f t="shared" si="31"/>
        <v>7.3215940685820213E-2</v>
      </c>
      <c r="T82" s="37">
        <f t="shared" si="32"/>
        <v>4.5722398904541241E-3</v>
      </c>
      <c r="U82" s="42">
        <f t="shared" si="33"/>
        <v>46339.202965709002</v>
      </c>
      <c r="V82" s="44">
        <f t="shared" si="34"/>
        <v>9.8668936835999974E-8</v>
      </c>
      <c r="W82" s="44">
        <f t="shared" si="35"/>
        <v>7.8935149468799979E-7</v>
      </c>
      <c r="X82" s="37">
        <f t="shared" si="36"/>
        <v>1.811425940367788E-2</v>
      </c>
      <c r="Y82" s="44">
        <f t="shared" si="37"/>
        <v>22948.280361257501</v>
      </c>
      <c r="Z82" s="37">
        <f t="shared" si="38"/>
        <v>5.7288087093843214E-3</v>
      </c>
      <c r="AA82" s="38">
        <f t="shared" si="39"/>
        <v>0.15227119129061567</v>
      </c>
      <c r="AB82" s="36">
        <f t="shared" si="40"/>
        <v>7.6135595645307835E-2</v>
      </c>
      <c r="AC82" s="37">
        <f t="shared" si="41"/>
        <v>4.754568530188681E-3</v>
      </c>
      <c r="AD82" s="41">
        <f t="shared" si="42"/>
        <v>1.9045699928651987</v>
      </c>
      <c r="AE82">
        <f t="shared" si="43"/>
        <v>8.0000000000000002E-3</v>
      </c>
      <c r="AF82" s="36">
        <f t="shared" si="44"/>
        <v>14.502552431124272</v>
      </c>
      <c r="AG82" s="36">
        <f>IF(AC82&lt;(1/(Sheet1!BL81^2)),MPM!AF82,Sheet1!BL81)</f>
        <v>14.502552431124272</v>
      </c>
      <c r="AH82" s="38">
        <f>IF(AG82=AF82,AB82,Sheet1!BK81)</f>
        <v>7.6135595645307835E-2</v>
      </c>
      <c r="AI82" t="str">
        <f t="shared" si="45"/>
        <v>ok</v>
      </c>
      <c r="AJ82" s="37">
        <f t="shared" si="46"/>
        <v>4.754568530188681E-3</v>
      </c>
      <c r="AK82" s="41">
        <f t="shared" si="47"/>
        <v>1.9045699928651987</v>
      </c>
      <c r="AL82" s="42">
        <f t="shared" si="48"/>
        <v>100</v>
      </c>
    </row>
    <row r="83" spans="2:38">
      <c r="B83" s="36">
        <f t="shared" si="25"/>
        <v>78</v>
      </c>
      <c r="C83" s="36">
        <v>70</v>
      </c>
      <c r="D83" s="36">
        <v>2</v>
      </c>
      <c r="E83" s="36">
        <v>5.6000000000000001E-2</v>
      </c>
      <c r="F83" s="37">
        <v>2.5899999999999999E-3</v>
      </c>
      <c r="G83" s="36">
        <v>1.68</v>
      </c>
      <c r="H83" s="36">
        <v>4</v>
      </c>
      <c r="I83" s="36">
        <v>5.71</v>
      </c>
      <c r="J83" s="36">
        <v>2.68</v>
      </c>
      <c r="K83" s="36">
        <v>9</v>
      </c>
      <c r="L83" s="42">
        <v>1000</v>
      </c>
      <c r="M83" s="43">
        <v>9.9999999999999995E-7</v>
      </c>
      <c r="N83" s="36">
        <f t="shared" si="26"/>
        <v>7.0000000000000007E-2</v>
      </c>
      <c r="O83" s="38">
        <f t="shared" si="27"/>
        <v>1.6799999999999999E-3</v>
      </c>
      <c r="P83" s="38">
        <f t="shared" si="28"/>
        <v>4.0000000000000001E-3</v>
      </c>
      <c r="Q83" s="36">
        <f t="shared" si="29"/>
        <v>0.625</v>
      </c>
      <c r="R83" s="36">
        <f t="shared" si="30"/>
        <v>1.4228424</v>
      </c>
      <c r="S83" s="38">
        <f t="shared" si="31"/>
        <v>5.3030303030303032E-2</v>
      </c>
      <c r="T83" s="37">
        <f t="shared" si="32"/>
        <v>3.4493149090909091E-3</v>
      </c>
      <c r="U83" s="42">
        <f t="shared" si="33"/>
        <v>33143.939393939392</v>
      </c>
      <c r="V83" s="44">
        <f t="shared" si="34"/>
        <v>1.0407075840000001E-7</v>
      </c>
      <c r="W83" s="44">
        <f t="shared" si="35"/>
        <v>8.3256606720000007E-7</v>
      </c>
      <c r="X83" s="37">
        <f t="shared" si="36"/>
        <v>1.8308393448811223E-2</v>
      </c>
      <c r="Y83" s="44">
        <f t="shared" si="37"/>
        <v>21990.319051056351</v>
      </c>
      <c r="Z83" s="37">
        <f t="shared" si="38"/>
        <v>3.940665173949298E-3</v>
      </c>
      <c r="AA83" s="38">
        <f t="shared" si="39"/>
        <v>0.10805933482605071</v>
      </c>
      <c r="AB83" s="36">
        <f t="shared" si="40"/>
        <v>5.4029667413025353E-2</v>
      </c>
      <c r="AC83" s="37">
        <f t="shared" si="41"/>
        <v>3.5143177898583214E-3</v>
      </c>
      <c r="AD83" s="41">
        <f t="shared" si="42"/>
        <v>1.372780386663407</v>
      </c>
      <c r="AE83">
        <f t="shared" si="43"/>
        <v>8.0000000000000002E-3</v>
      </c>
      <c r="AF83" s="36">
        <f t="shared" si="44"/>
        <v>16.868617263508021</v>
      </c>
      <c r="AG83" s="36">
        <f>IF(AC83&lt;(1/(Sheet1!BL82^2)),MPM!AF83,Sheet1!BL82)</f>
        <v>16.868617263508021</v>
      </c>
      <c r="AH83" s="38">
        <f>IF(AG83=AF83,AB83,Sheet1!BK82)</f>
        <v>5.4029667413025353E-2</v>
      </c>
      <c r="AI83" t="str">
        <f t="shared" si="45"/>
        <v>ok</v>
      </c>
      <c r="AJ83" s="37">
        <f t="shared" si="46"/>
        <v>3.5143177898583219E-3</v>
      </c>
      <c r="AK83" s="41">
        <f t="shared" si="47"/>
        <v>1.372780386663407</v>
      </c>
      <c r="AL83" s="42">
        <f t="shared" si="48"/>
        <v>100.00000000000001</v>
      </c>
    </row>
    <row r="84" spans="2:38">
      <c r="B84" s="36">
        <f t="shared" si="25"/>
        <v>79</v>
      </c>
      <c r="C84" s="36">
        <v>120</v>
      </c>
      <c r="D84" s="36">
        <v>2</v>
      </c>
      <c r="E84" s="36">
        <v>9.5000000000000001E-2</v>
      </c>
      <c r="F84" s="37">
        <v>2.4399999999999999E-3</v>
      </c>
      <c r="G84" s="36">
        <v>1.64</v>
      </c>
      <c r="H84" s="36">
        <v>4</v>
      </c>
      <c r="I84" s="36">
        <v>5.71</v>
      </c>
      <c r="J84" s="36">
        <v>2.68</v>
      </c>
      <c r="K84" s="36">
        <v>47.4</v>
      </c>
      <c r="L84" s="42">
        <v>1000</v>
      </c>
      <c r="M84" s="43">
        <v>9.9999999999999995E-7</v>
      </c>
      <c r="N84" s="36">
        <f t="shared" si="26"/>
        <v>0.12</v>
      </c>
      <c r="O84" s="38">
        <f t="shared" si="27"/>
        <v>1.64E-3</v>
      </c>
      <c r="P84" s="38">
        <f t="shared" si="28"/>
        <v>4.0000000000000001E-3</v>
      </c>
      <c r="Q84" s="36">
        <f t="shared" si="29"/>
        <v>0.63157894736842102</v>
      </c>
      <c r="R84" s="36">
        <f t="shared" si="30"/>
        <v>2.2739579999999999</v>
      </c>
      <c r="S84" s="38">
        <f t="shared" si="31"/>
        <v>8.6757990867579918E-2</v>
      </c>
      <c r="T84" s="37">
        <f t="shared" si="32"/>
        <v>5.2061062785388138E-3</v>
      </c>
      <c r="U84" s="42">
        <f t="shared" si="33"/>
        <v>54794.520547945212</v>
      </c>
      <c r="V84" s="44">
        <f t="shared" si="34"/>
        <v>9.5011439583333334E-8</v>
      </c>
      <c r="W84" s="44">
        <f t="shared" si="35"/>
        <v>7.6009151666666667E-7</v>
      </c>
      <c r="X84" s="37">
        <f t="shared" si="36"/>
        <v>1.7977929485889919E-2</v>
      </c>
      <c r="Y84" s="44">
        <f t="shared" si="37"/>
        <v>23652.322242367594</v>
      </c>
      <c r="Z84" s="37">
        <f t="shared" si="38"/>
        <v>7.1154069412455844E-3</v>
      </c>
      <c r="AA84" s="38">
        <f t="shared" si="39"/>
        <v>0.18288459305875443</v>
      </c>
      <c r="AB84" s="36">
        <f t="shared" si="40"/>
        <v>9.1442296529377215E-2</v>
      </c>
      <c r="AC84" s="37">
        <f t="shared" si="41"/>
        <v>5.4871984623550574E-3</v>
      </c>
      <c r="AD84" s="41">
        <f t="shared" si="42"/>
        <v>2.1887993866457847</v>
      </c>
      <c r="AE84">
        <f t="shared" si="43"/>
        <v>8.0000000000000002E-3</v>
      </c>
      <c r="AF84" s="36">
        <f t="shared" si="44"/>
        <v>13.499717050487439</v>
      </c>
      <c r="AG84" s="36">
        <f>IF(AC84&lt;(1/(Sheet1!BL83^2)),MPM!AF84,Sheet1!BL83)</f>
        <v>13.499717050487439</v>
      </c>
      <c r="AH84" s="38">
        <f>IF(AG84=AF84,AB84,Sheet1!BK83)</f>
        <v>9.1442296529377215E-2</v>
      </c>
      <c r="AI84" t="str">
        <f t="shared" si="45"/>
        <v>ok</v>
      </c>
      <c r="AJ84" s="37">
        <f t="shared" si="46"/>
        <v>5.4871984623550583E-3</v>
      </c>
      <c r="AK84" s="41">
        <f t="shared" si="47"/>
        <v>2.1887993866457851</v>
      </c>
      <c r="AL84" s="42">
        <f t="shared" si="48"/>
        <v>100.00000000000001</v>
      </c>
    </row>
    <row r="85" spans="2:38">
      <c r="B85" s="36">
        <f t="shared" si="25"/>
        <v>80</v>
      </c>
      <c r="C85" s="36">
        <v>225</v>
      </c>
      <c r="D85" s="36">
        <v>2</v>
      </c>
      <c r="E85" s="36">
        <v>0.15</v>
      </c>
      <c r="F85" s="37">
        <v>2.4199999999999998E-3</v>
      </c>
      <c r="G85" s="36">
        <v>1.89</v>
      </c>
      <c r="H85" s="36">
        <v>4</v>
      </c>
      <c r="I85" s="36">
        <v>5.71</v>
      </c>
      <c r="J85" s="36">
        <v>2.68</v>
      </c>
      <c r="K85" s="36">
        <v>156.4</v>
      </c>
      <c r="L85" s="42">
        <v>1000</v>
      </c>
      <c r="M85" s="43">
        <v>9.9999999999999995E-7</v>
      </c>
      <c r="N85" s="36">
        <f t="shared" si="26"/>
        <v>0.22500000000000001</v>
      </c>
      <c r="O85" s="38">
        <f t="shared" si="27"/>
        <v>1.89E-3</v>
      </c>
      <c r="P85" s="38">
        <f t="shared" si="28"/>
        <v>4.0000000000000001E-3</v>
      </c>
      <c r="Q85" s="36">
        <f t="shared" si="29"/>
        <v>0.75</v>
      </c>
      <c r="R85" s="36">
        <f t="shared" si="30"/>
        <v>3.5610299999999997</v>
      </c>
      <c r="S85" s="38">
        <f t="shared" si="31"/>
        <v>0.13043478260869565</v>
      </c>
      <c r="T85" s="37">
        <f t="shared" si="32"/>
        <v>5.5049739130434783E-3</v>
      </c>
      <c r="U85" s="42">
        <f t="shared" si="33"/>
        <v>97826.086956521729</v>
      </c>
      <c r="V85" s="44">
        <f t="shared" si="34"/>
        <v>5.6273066666666676E-8</v>
      </c>
      <c r="W85" s="44">
        <f t="shared" si="35"/>
        <v>4.5018453333333341E-7</v>
      </c>
      <c r="X85" s="37">
        <f t="shared" si="36"/>
        <v>1.6189916528238306E-2</v>
      </c>
      <c r="Y85" s="44">
        <f t="shared" si="37"/>
        <v>35962.844854669158</v>
      </c>
      <c r="Z85" s="37">
        <f t="shared" si="38"/>
        <v>1.4385137941867661E-2</v>
      </c>
      <c r="AA85" s="38">
        <f t="shared" si="39"/>
        <v>0.2856148620581323</v>
      </c>
      <c r="AB85" s="36">
        <f t="shared" si="40"/>
        <v>0.14280743102906615</v>
      </c>
      <c r="AC85" s="37">
        <f t="shared" si="41"/>
        <v>6.0271590650955312E-3</v>
      </c>
      <c r="AD85" s="41">
        <f t="shared" si="42"/>
        <v>3.3902769741162362</v>
      </c>
      <c r="AE85">
        <f t="shared" si="43"/>
        <v>8.0000000000000002E-3</v>
      </c>
      <c r="AF85" s="36">
        <f t="shared" si="44"/>
        <v>12.880824806174047</v>
      </c>
      <c r="AG85" s="36">
        <f>IF(AC85&lt;(1/(Sheet1!BL84^2)),MPM!AF85,Sheet1!BL84)</f>
        <v>13.04089160091452</v>
      </c>
      <c r="AH85" s="38">
        <f>IF(AG85=AF85,AB85,Sheet1!BK84)</f>
        <v>0.13932324576160762</v>
      </c>
      <c r="AI85" t="str">
        <f t="shared" si="45"/>
        <v>ok</v>
      </c>
      <c r="AJ85" s="37">
        <f t="shared" si="46"/>
        <v>5.8801097226639605E-3</v>
      </c>
      <c r="AK85" s="41">
        <f t="shared" si="47"/>
        <v>3.3075617189984778</v>
      </c>
      <c r="AL85" s="42">
        <f t="shared" si="48"/>
        <v>97.560221310846728</v>
      </c>
    </row>
    <row r="86" spans="2:38">
      <c r="B86" s="36">
        <f t="shared" si="25"/>
        <v>81</v>
      </c>
      <c r="C86" s="36">
        <v>180</v>
      </c>
      <c r="D86" s="36">
        <v>2</v>
      </c>
      <c r="E86" s="36">
        <v>0.123</v>
      </c>
      <c r="F86" s="37">
        <v>2.65E-3</v>
      </c>
      <c r="G86" s="36">
        <v>1.86</v>
      </c>
      <c r="H86" s="36">
        <v>4</v>
      </c>
      <c r="I86" s="36">
        <v>5.71</v>
      </c>
      <c r="J86" s="36">
        <v>2.68</v>
      </c>
      <c r="K86" s="36">
        <v>133.5</v>
      </c>
      <c r="L86" s="42">
        <v>1000</v>
      </c>
      <c r="M86" s="43">
        <v>9.9999999999999995E-7</v>
      </c>
      <c r="N86" s="36">
        <f t="shared" si="26"/>
        <v>0.18</v>
      </c>
      <c r="O86" s="38">
        <f t="shared" si="27"/>
        <v>1.8600000000000001E-3</v>
      </c>
      <c r="P86" s="38">
        <f t="shared" si="28"/>
        <v>4.0000000000000001E-3</v>
      </c>
      <c r="Q86" s="36">
        <f t="shared" si="29"/>
        <v>0.73170731707317072</v>
      </c>
      <c r="R86" s="36">
        <f t="shared" si="30"/>
        <v>3.1975694999999997</v>
      </c>
      <c r="S86" s="38">
        <f t="shared" si="31"/>
        <v>0.10952804986642921</v>
      </c>
      <c r="T86" s="37">
        <f t="shared" si="32"/>
        <v>5.3182094879786279E-3</v>
      </c>
      <c r="U86" s="42">
        <f t="shared" si="33"/>
        <v>80142.475512021381</v>
      </c>
      <c r="V86" s="44">
        <f t="shared" si="34"/>
        <v>6.6359436166666648E-8</v>
      </c>
      <c r="W86" s="44">
        <f t="shared" si="35"/>
        <v>5.3087548933333319E-7</v>
      </c>
      <c r="X86" s="37">
        <f t="shared" si="36"/>
        <v>1.6732661694345813E-2</v>
      </c>
      <c r="Y86" s="44">
        <f t="shared" si="37"/>
        <v>31518.994624066145</v>
      </c>
      <c r="Z86" s="37">
        <f t="shared" si="38"/>
        <v>1.0596685992611038E-2</v>
      </c>
      <c r="AA86" s="38">
        <f t="shared" si="39"/>
        <v>0.23540331400738895</v>
      </c>
      <c r="AB86" s="36">
        <f t="shared" si="40"/>
        <v>0.11770165700369448</v>
      </c>
      <c r="AC86" s="37">
        <f t="shared" si="41"/>
        <v>5.7150845814494325E-3</v>
      </c>
      <c r="AD86" s="41">
        <f t="shared" si="42"/>
        <v>3.0598311262965434</v>
      </c>
      <c r="AE86">
        <f t="shared" si="43"/>
        <v>8.0000000000000002E-3</v>
      </c>
      <c r="AF86" s="36">
        <f t="shared" si="44"/>
        <v>13.227831950585321</v>
      </c>
      <c r="AG86" s="36">
        <f>IF(AC86&lt;(1/(Sheet1!BL85^2)),MPM!AF86,Sheet1!BL85)</f>
        <v>13.227831950585321</v>
      </c>
      <c r="AH86" s="38">
        <f>IF(AG86=AF86,AB86,Sheet1!BK85)</f>
        <v>0.11770165700369448</v>
      </c>
      <c r="AI86" t="str">
        <f t="shared" si="45"/>
        <v>ok</v>
      </c>
      <c r="AJ86" s="37">
        <f t="shared" si="46"/>
        <v>5.7150845814494325E-3</v>
      </c>
      <c r="AK86" s="41">
        <f t="shared" si="47"/>
        <v>3.0598311262965434</v>
      </c>
      <c r="AL86" s="42">
        <f t="shared" si="48"/>
        <v>100</v>
      </c>
    </row>
    <row r="87" spans="2:38">
      <c r="B87" s="36">
        <f t="shared" si="25"/>
        <v>82</v>
      </c>
      <c r="C87" s="36">
        <v>330</v>
      </c>
      <c r="D87" s="36">
        <v>2</v>
      </c>
      <c r="E87" s="36">
        <v>0.187</v>
      </c>
      <c r="F87" s="37">
        <v>2.9399999999999999E-3</v>
      </c>
      <c r="G87" s="36">
        <v>1.97</v>
      </c>
      <c r="H87" s="36">
        <v>4</v>
      </c>
      <c r="I87" s="36">
        <v>5.71</v>
      </c>
      <c r="J87" s="36">
        <v>2.68</v>
      </c>
      <c r="K87" s="36">
        <v>29.4</v>
      </c>
      <c r="L87" s="42">
        <v>1000</v>
      </c>
      <c r="M87" s="43">
        <v>9.9999999999999995E-7</v>
      </c>
      <c r="N87" s="36">
        <f t="shared" si="26"/>
        <v>0.33</v>
      </c>
      <c r="O87" s="38">
        <f t="shared" si="27"/>
        <v>1.97E-3</v>
      </c>
      <c r="P87" s="38">
        <f t="shared" si="28"/>
        <v>4.0000000000000001E-3</v>
      </c>
      <c r="Q87" s="36">
        <f t="shared" si="29"/>
        <v>0.88235294117647067</v>
      </c>
      <c r="R87" s="36">
        <f t="shared" si="30"/>
        <v>5.3933418</v>
      </c>
      <c r="S87" s="38">
        <f t="shared" si="31"/>
        <v>0.15754001684919966</v>
      </c>
      <c r="T87" s="37">
        <f t="shared" si="32"/>
        <v>5.8360976512215655E-3</v>
      </c>
      <c r="U87" s="42">
        <f t="shared" si="33"/>
        <v>139005.89721988208</v>
      </c>
      <c r="V87" s="44">
        <f t="shared" si="34"/>
        <v>4.1984532799999979E-8</v>
      </c>
      <c r="W87" s="44">
        <f t="shared" si="35"/>
        <v>3.3587626239999983E-7</v>
      </c>
      <c r="X87" s="37">
        <f t="shared" si="36"/>
        <v>1.5268710399473659E-2</v>
      </c>
      <c r="Y87" s="44">
        <f t="shared" si="37"/>
        <v>45459.331631152709</v>
      </c>
      <c r="Z87" s="37">
        <f t="shared" si="38"/>
        <v>1.9268695367391259E-2</v>
      </c>
      <c r="AA87" s="38">
        <f t="shared" si="39"/>
        <v>0.35473130463260871</v>
      </c>
      <c r="AB87" s="36">
        <f t="shared" si="40"/>
        <v>0.17736565231630436</v>
      </c>
      <c r="AC87" s="37">
        <f t="shared" si="41"/>
        <v>6.5705418064123016E-3</v>
      </c>
      <c r="AD87" s="41">
        <f t="shared" si="42"/>
        <v>5.1154737247154607</v>
      </c>
      <c r="AE87">
        <f t="shared" si="43"/>
        <v>8.0000000000000002E-3</v>
      </c>
      <c r="AF87" s="36">
        <f t="shared" si="44"/>
        <v>12.336711496322573</v>
      </c>
      <c r="AG87" s="36">
        <f>IF(AC87&lt;(1/(Sheet1!BL86^2)),MPM!AF87,Sheet1!BL86)</f>
        <v>13.255193073149497</v>
      </c>
      <c r="AH87" s="38">
        <f>IF(AG87=AF87,AB87,Sheet1!BK86)</f>
        <v>0.15363714267780948</v>
      </c>
      <c r="AI87" t="str">
        <f t="shared" si="45"/>
        <v>ok</v>
      </c>
      <c r="AJ87" s="37">
        <f t="shared" si="46"/>
        <v>5.6915149903239842E-3</v>
      </c>
      <c r="AK87" s="41">
        <f t="shared" si="47"/>
        <v>4.4311102865844179</v>
      </c>
      <c r="AL87" s="42">
        <f t="shared" si="48"/>
        <v>86.62169967124386</v>
      </c>
    </row>
    <row r="88" spans="2:38">
      <c r="B88" s="36">
        <f t="shared" si="25"/>
        <v>83</v>
      </c>
      <c r="C88" s="36">
        <v>330</v>
      </c>
      <c r="D88" s="36">
        <v>2</v>
      </c>
      <c r="E88" s="36">
        <v>0.20399999999999999</v>
      </c>
      <c r="F88" s="37">
        <v>2.48E-3</v>
      </c>
      <c r="G88" s="36">
        <v>1.99</v>
      </c>
      <c r="H88" s="36">
        <v>4</v>
      </c>
      <c r="I88" s="36">
        <v>5.71</v>
      </c>
      <c r="J88" s="36">
        <v>2.68</v>
      </c>
      <c r="K88" s="36">
        <v>187</v>
      </c>
      <c r="L88" s="42">
        <v>1000</v>
      </c>
      <c r="M88" s="43">
        <v>9.9999999999999995E-7</v>
      </c>
      <c r="N88" s="36">
        <f t="shared" si="26"/>
        <v>0.33</v>
      </c>
      <c r="O88" s="38">
        <f t="shared" si="27"/>
        <v>1.99E-3</v>
      </c>
      <c r="P88" s="38">
        <f t="shared" si="28"/>
        <v>4.0000000000000001E-3</v>
      </c>
      <c r="Q88" s="36">
        <f t="shared" si="29"/>
        <v>0.80882352941176483</v>
      </c>
      <c r="R88" s="36">
        <f t="shared" si="30"/>
        <v>4.9630751999999996</v>
      </c>
      <c r="S88" s="38">
        <f t="shared" si="31"/>
        <v>0.16943521594684385</v>
      </c>
      <c r="T88" s="37">
        <f t="shared" si="32"/>
        <v>6.3011064289283641E-3</v>
      </c>
      <c r="U88" s="42">
        <f t="shared" si="33"/>
        <v>137043.18936877078</v>
      </c>
      <c r="V88" s="44">
        <f t="shared" si="34"/>
        <v>4.597898266927121E-8</v>
      </c>
      <c r="W88" s="44">
        <f t="shared" si="35"/>
        <v>3.6783186135416968E-7</v>
      </c>
      <c r="X88" s="37">
        <f t="shared" si="36"/>
        <v>1.5548781639725458E-2</v>
      </c>
      <c r="Y88" s="44">
        <f t="shared" si="37"/>
        <v>42271.437777257139</v>
      </c>
      <c r="Z88" s="37">
        <f t="shared" si="38"/>
        <v>2.1323250358040398E-2</v>
      </c>
      <c r="AA88" s="38">
        <f t="shared" si="39"/>
        <v>0.38667674964195958</v>
      </c>
      <c r="AB88" s="36">
        <f t="shared" si="40"/>
        <v>0.19333837482097979</v>
      </c>
      <c r="AC88" s="37">
        <f t="shared" si="41"/>
        <v>7.1900382086167508E-3</v>
      </c>
      <c r="AD88" s="41">
        <f t="shared" si="42"/>
        <v>4.7036906533446539</v>
      </c>
      <c r="AE88">
        <f t="shared" si="43"/>
        <v>8.0000000000000002E-3</v>
      </c>
      <c r="AF88" s="36">
        <f t="shared" si="44"/>
        <v>11.79327432555635</v>
      </c>
      <c r="AG88" s="36">
        <f>IF(AC88&lt;(1/(Sheet1!BL87^2)),MPM!AF88,Sheet1!BL87)</f>
        <v>13.248779554562367</v>
      </c>
      <c r="AH88" s="38">
        <f>IF(AG88=AF88,AB88,Sheet1!BK87)</f>
        <v>0.15319165831931836</v>
      </c>
      <c r="AI88" t="str">
        <f t="shared" si="45"/>
        <v>ok</v>
      </c>
      <c r="AJ88" s="37">
        <f t="shared" si="46"/>
        <v>5.6970266636362822E-3</v>
      </c>
      <c r="AK88" s="41">
        <f t="shared" si="47"/>
        <v>3.7269692165873178</v>
      </c>
      <c r="AL88" s="42">
        <f t="shared" si="48"/>
        <v>79.234998456736975</v>
      </c>
    </row>
    <row r="89" spans="2:38">
      <c r="B89" s="36">
        <f t="shared" si="25"/>
        <v>84</v>
      </c>
      <c r="C89" s="36">
        <v>330</v>
      </c>
      <c r="D89" s="36">
        <v>2</v>
      </c>
      <c r="E89" s="36">
        <v>0.20300000000000001</v>
      </c>
      <c r="F89" s="37">
        <v>2.4100000000000002E-3</v>
      </c>
      <c r="G89" s="36">
        <v>1.97</v>
      </c>
      <c r="H89" s="36">
        <v>4</v>
      </c>
      <c r="I89" s="36">
        <v>5.71</v>
      </c>
      <c r="J89" s="36">
        <v>2.68</v>
      </c>
      <c r="K89" s="36">
        <v>211.2</v>
      </c>
      <c r="L89" s="42">
        <v>1000</v>
      </c>
      <c r="M89" s="43">
        <v>9.9999999999999995E-7</v>
      </c>
      <c r="N89" s="36">
        <f t="shared" si="26"/>
        <v>0.33</v>
      </c>
      <c r="O89" s="38">
        <f t="shared" si="27"/>
        <v>1.97E-3</v>
      </c>
      <c r="P89" s="38">
        <f t="shared" si="28"/>
        <v>4.0000000000000001E-3</v>
      </c>
      <c r="Q89" s="36">
        <f t="shared" si="29"/>
        <v>0.81280788177339902</v>
      </c>
      <c r="R89" s="36">
        <f t="shared" si="30"/>
        <v>4.7993463000000007</v>
      </c>
      <c r="S89" s="38">
        <f t="shared" si="31"/>
        <v>0.16874480465502908</v>
      </c>
      <c r="T89" s="37">
        <f t="shared" si="32"/>
        <v>6.0386609746432814E-3</v>
      </c>
      <c r="U89" s="42">
        <f t="shared" si="33"/>
        <v>137157.10723192021</v>
      </c>
      <c r="V89" s="44">
        <f t="shared" si="34"/>
        <v>4.4027328196944649E-8</v>
      </c>
      <c r="W89" s="44">
        <f t="shared" si="35"/>
        <v>3.522186255755572E-7</v>
      </c>
      <c r="X89" s="37">
        <f t="shared" si="36"/>
        <v>1.5414482860984824E-2</v>
      </c>
      <c r="Y89" s="44">
        <f t="shared" si="37"/>
        <v>43763.962896045487</v>
      </c>
      <c r="Z89" s="37">
        <f t="shared" si="38"/>
        <v>2.1860232084644101E-2</v>
      </c>
      <c r="AA89" s="38">
        <f t="shared" si="39"/>
        <v>0.38413976791535592</v>
      </c>
      <c r="AB89" s="36">
        <f t="shared" si="40"/>
        <v>0.19206988395767796</v>
      </c>
      <c r="AC89" s="37">
        <f t="shared" si="41"/>
        <v>6.8733666498983778E-3</v>
      </c>
      <c r="AD89" s="41">
        <f t="shared" si="42"/>
        <v>4.5409354035158183</v>
      </c>
      <c r="AE89">
        <f t="shared" si="43"/>
        <v>8.0000000000000002E-3</v>
      </c>
      <c r="AF89" s="36">
        <f t="shared" si="44"/>
        <v>12.061886688865956</v>
      </c>
      <c r="AG89" s="36">
        <f>IF(AC89&lt;(1/(Sheet1!BL88^2)),MPM!AF89,Sheet1!BL88)</f>
        <v>13.312626148700902</v>
      </c>
      <c r="AH89" s="38">
        <f>IF(AG89=AF89,AB89,Sheet1!BK88)</f>
        <v>0.1576748005981348</v>
      </c>
      <c r="AI89" t="str">
        <f t="shared" si="45"/>
        <v>ok</v>
      </c>
      <c r="AJ89" s="37">
        <f t="shared" si="46"/>
        <v>5.6425124727915348E-3</v>
      </c>
      <c r="AK89" s="41">
        <f t="shared" si="47"/>
        <v>3.7277634029398805</v>
      </c>
      <c r="AL89" s="42">
        <f t="shared" si="48"/>
        <v>82.092412062361873</v>
      </c>
    </row>
    <row r="90" spans="2:38">
      <c r="B90" s="36">
        <f t="shared" si="25"/>
        <v>85</v>
      </c>
      <c r="C90" s="36">
        <v>330</v>
      </c>
      <c r="D90" s="36">
        <v>2</v>
      </c>
      <c r="E90" s="36">
        <v>0.20699999999999999</v>
      </c>
      <c r="F90" s="37">
        <v>2.3900000000000002E-3</v>
      </c>
      <c r="G90" s="36">
        <v>1.98</v>
      </c>
      <c r="H90" s="36">
        <v>4</v>
      </c>
      <c r="I90" s="36">
        <v>5.71</v>
      </c>
      <c r="J90" s="36">
        <v>2.68</v>
      </c>
      <c r="K90" s="36">
        <v>206.7</v>
      </c>
      <c r="L90" s="42">
        <v>1000</v>
      </c>
      <c r="M90" s="43">
        <v>9.9999999999999995E-7</v>
      </c>
      <c r="N90" s="36">
        <f t="shared" si="26"/>
        <v>0.33</v>
      </c>
      <c r="O90" s="38">
        <f t="shared" si="27"/>
        <v>1.98E-3</v>
      </c>
      <c r="P90" s="38">
        <f t="shared" si="28"/>
        <v>4.0000000000000001E-3</v>
      </c>
      <c r="Q90" s="36">
        <f t="shared" si="29"/>
        <v>0.79710144927536242</v>
      </c>
      <c r="R90" s="36">
        <f t="shared" si="30"/>
        <v>4.8533013</v>
      </c>
      <c r="S90" s="38">
        <f t="shared" si="31"/>
        <v>0.17149958574979285</v>
      </c>
      <c r="T90" s="37">
        <f t="shared" si="32"/>
        <v>6.3285291691852607E-3</v>
      </c>
      <c r="U90" s="42">
        <f t="shared" si="33"/>
        <v>136702.56835128416</v>
      </c>
      <c r="V90" s="44">
        <f t="shared" si="34"/>
        <v>4.6294149740646121E-8</v>
      </c>
      <c r="W90" s="44">
        <f t="shared" si="35"/>
        <v>3.7035319792516896E-7</v>
      </c>
      <c r="X90" s="37">
        <f t="shared" si="36"/>
        <v>1.5570039538082588E-2</v>
      </c>
      <c r="Y90" s="44">
        <f t="shared" si="37"/>
        <v>42041.056011695524</v>
      </c>
      <c r="Z90" s="37">
        <f t="shared" si="38"/>
        <v>2.1835360109638078E-2</v>
      </c>
      <c r="AA90" s="38">
        <f t="shared" si="39"/>
        <v>0.39216463989036188</v>
      </c>
      <c r="AB90" s="36">
        <f t="shared" si="40"/>
        <v>0.19608231994518094</v>
      </c>
      <c r="AC90" s="37">
        <f t="shared" si="41"/>
        <v>7.2356599341587228E-3</v>
      </c>
      <c r="AD90" s="41">
        <f t="shared" si="42"/>
        <v>4.5973264652027179</v>
      </c>
      <c r="AE90">
        <f t="shared" si="43"/>
        <v>8.0000000000000002E-3</v>
      </c>
      <c r="AF90" s="36">
        <f t="shared" si="44"/>
        <v>11.756036513164233</v>
      </c>
      <c r="AG90" s="36">
        <f>IF(AC90&lt;(1/(Sheet1!BL89^2)),MPM!AF90,Sheet1!BL89)</f>
        <v>13.261649696560804</v>
      </c>
      <c r="AH90" s="38">
        <f>IF(AG90=AF90,AB90,Sheet1!BK89)</f>
        <v>0.15408671105543062</v>
      </c>
      <c r="AI90" t="str">
        <f t="shared" si="45"/>
        <v>ok</v>
      </c>
      <c r="AJ90" s="37">
        <f t="shared" si="46"/>
        <v>5.6859743488296898E-3</v>
      </c>
      <c r="AK90" s="41">
        <f t="shared" si="47"/>
        <v>3.6127016184015575</v>
      </c>
      <c r="AL90" s="42">
        <f t="shared" si="48"/>
        <v>78.582664201600409</v>
      </c>
    </row>
    <row r="91" spans="2:38">
      <c r="B91" s="36">
        <f t="shared" si="25"/>
        <v>86</v>
      </c>
      <c r="C91" s="36">
        <v>330</v>
      </c>
      <c r="D91" s="36">
        <v>2</v>
      </c>
      <c r="E91" s="36">
        <v>0.19800000000000001</v>
      </c>
      <c r="F91" s="37">
        <v>2.7499999999999998E-3</v>
      </c>
      <c r="G91" s="36">
        <v>2.04</v>
      </c>
      <c r="H91" s="36">
        <v>4</v>
      </c>
      <c r="I91" s="36">
        <v>5.71</v>
      </c>
      <c r="J91" s="36">
        <v>2.68</v>
      </c>
      <c r="K91" s="36">
        <v>255.9</v>
      </c>
      <c r="L91" s="42">
        <v>1000</v>
      </c>
      <c r="M91" s="43">
        <v>9.9999999999999995E-7</v>
      </c>
      <c r="N91" s="36">
        <f t="shared" si="26"/>
        <v>0.33</v>
      </c>
      <c r="O91" s="38">
        <f t="shared" si="27"/>
        <v>2.0400000000000001E-3</v>
      </c>
      <c r="P91" s="38">
        <f t="shared" si="28"/>
        <v>4.0000000000000001E-3</v>
      </c>
      <c r="Q91" s="36">
        <f t="shared" si="29"/>
        <v>0.83333333333333337</v>
      </c>
      <c r="R91" s="36">
        <f t="shared" si="30"/>
        <v>5.341545</v>
      </c>
      <c r="S91" s="38">
        <f t="shared" si="31"/>
        <v>0.1652754590984975</v>
      </c>
      <c r="T91" s="37">
        <f t="shared" si="32"/>
        <v>6.4205549248747907E-3</v>
      </c>
      <c r="U91" s="42">
        <f t="shared" si="33"/>
        <v>137729.54924874794</v>
      </c>
      <c r="V91" s="44">
        <f t="shared" si="34"/>
        <v>4.6617119999999985E-8</v>
      </c>
      <c r="W91" s="44">
        <f t="shared" si="35"/>
        <v>3.7293695999999988E-7</v>
      </c>
      <c r="X91" s="37">
        <f t="shared" si="36"/>
        <v>1.5591703982731122E-2</v>
      </c>
      <c r="Y91" s="44">
        <f t="shared" si="37"/>
        <v>41807.880835225151</v>
      </c>
      <c r="Z91" s="37">
        <f t="shared" si="38"/>
        <v>1.9867104972898991E-2</v>
      </c>
      <c r="AA91" s="38">
        <f t="shared" si="39"/>
        <v>0.37613289502710101</v>
      </c>
      <c r="AB91" s="36">
        <f t="shared" si="40"/>
        <v>0.18806644751355051</v>
      </c>
      <c r="AC91" s="37">
        <f t="shared" si="41"/>
        <v>7.3059301264274037E-3</v>
      </c>
      <c r="AD91" s="41">
        <f t="shared" si="42"/>
        <v>5.0735625877968085</v>
      </c>
      <c r="AE91">
        <f t="shared" si="43"/>
        <v>8.0000000000000002E-3</v>
      </c>
      <c r="AF91" s="36">
        <f t="shared" si="44"/>
        <v>11.699363718119317</v>
      </c>
      <c r="AG91" s="36">
        <f>IF(AC91&lt;(1/(Sheet1!BL90^2)),MPM!AF91,Sheet1!BL90)</f>
        <v>13.17671011429011</v>
      </c>
      <c r="AH91" s="38">
        <f>IF(AG91=AF91,AB91,Sheet1!BK90)</f>
        <v>0.14825925841756102</v>
      </c>
      <c r="AI91" t="str">
        <f t="shared" si="45"/>
        <v>ok</v>
      </c>
      <c r="AJ91" s="37">
        <f t="shared" si="46"/>
        <v>5.7595163667782346E-3</v>
      </c>
      <c r="AK91" s="41">
        <f t="shared" si="47"/>
        <v>3.999664143595997</v>
      </c>
      <c r="AL91" s="42">
        <f t="shared" si="48"/>
        <v>78.833444436384667</v>
      </c>
    </row>
    <row r="92" spans="2:38">
      <c r="B92" s="36">
        <f t="shared" si="25"/>
        <v>87</v>
      </c>
      <c r="C92" s="36">
        <v>330</v>
      </c>
      <c r="D92" s="36">
        <v>2</v>
      </c>
      <c r="E92" s="36">
        <v>0.19800000000000001</v>
      </c>
      <c r="F92" s="37">
        <v>2.6099999999999999E-3</v>
      </c>
      <c r="G92" s="36">
        <v>2.06</v>
      </c>
      <c r="H92" s="36">
        <v>4</v>
      </c>
      <c r="I92" s="36">
        <v>5.71</v>
      </c>
      <c r="J92" s="36">
        <v>2.68</v>
      </c>
      <c r="K92" s="36">
        <v>235.5</v>
      </c>
      <c r="L92" s="42">
        <v>1000</v>
      </c>
      <c r="M92" s="43">
        <v>9.9999999999999995E-7</v>
      </c>
      <c r="N92" s="36">
        <f t="shared" si="26"/>
        <v>0.33</v>
      </c>
      <c r="O92" s="38">
        <f t="shared" si="27"/>
        <v>2.0600000000000002E-3</v>
      </c>
      <c r="P92" s="38">
        <f t="shared" si="28"/>
        <v>4.0000000000000001E-3</v>
      </c>
      <c r="Q92" s="36">
        <f t="shared" si="29"/>
        <v>0.83333333333333337</v>
      </c>
      <c r="R92" s="36">
        <f t="shared" si="30"/>
        <v>5.0696117999999997</v>
      </c>
      <c r="S92" s="38">
        <f t="shared" si="31"/>
        <v>0.1652754590984975</v>
      </c>
      <c r="T92" s="37">
        <f t="shared" si="32"/>
        <v>6.0936903105175281E-3</v>
      </c>
      <c r="U92" s="42">
        <f t="shared" si="33"/>
        <v>137729.54924874794</v>
      </c>
      <c r="V92" s="44">
        <f t="shared" si="34"/>
        <v>4.4243884799999985E-8</v>
      </c>
      <c r="W92" s="44">
        <f t="shared" si="35"/>
        <v>3.5395107839999988E-7</v>
      </c>
      <c r="X92" s="37">
        <f t="shared" si="36"/>
        <v>1.5429616914567216E-2</v>
      </c>
      <c r="Y92" s="44">
        <f t="shared" si="37"/>
        <v>43592.512796726718</v>
      </c>
      <c r="Z92" s="37">
        <f t="shared" si="38"/>
        <v>2.0715162081004535E-2</v>
      </c>
      <c r="AA92" s="38">
        <f t="shared" si="39"/>
        <v>0.37528483791899547</v>
      </c>
      <c r="AB92" s="36">
        <f t="shared" si="40"/>
        <v>0.18764241895949774</v>
      </c>
      <c r="AC92" s="37">
        <f t="shared" si="41"/>
        <v>6.9183579733644593E-3</v>
      </c>
      <c r="AD92" s="41">
        <f t="shared" si="42"/>
        <v>4.8044152592808755</v>
      </c>
      <c r="AE92">
        <f t="shared" si="43"/>
        <v>8.0000000000000002E-3</v>
      </c>
      <c r="AF92" s="36">
        <f t="shared" si="44"/>
        <v>12.022602409631812</v>
      </c>
      <c r="AG92" s="36">
        <f>IF(AC92&lt;(1/(Sheet1!BL91^2)),MPM!AF92,Sheet1!BL91)</f>
        <v>13.263053300510464</v>
      </c>
      <c r="AH92" s="38">
        <f>IF(AG92=AF92,AB92,Sheet1!BK91)</f>
        <v>0.15418458754396883</v>
      </c>
      <c r="AI92" t="str">
        <f t="shared" si="45"/>
        <v>ok</v>
      </c>
      <c r="AJ92" s="37">
        <f t="shared" si="46"/>
        <v>5.6847709405988128E-3</v>
      </c>
      <c r="AK92" s="41">
        <f t="shared" si="47"/>
        <v>3.9477575976380646</v>
      </c>
      <c r="AL92" s="42">
        <f t="shared" si="48"/>
        <v>82.169366813412466</v>
      </c>
    </row>
    <row r="93" spans="2:38">
      <c r="B93" s="36">
        <f t="shared" si="25"/>
        <v>88</v>
      </c>
      <c r="C93" s="36">
        <v>260</v>
      </c>
      <c r="D93" s="36">
        <v>2</v>
      </c>
      <c r="E93" s="36">
        <v>0.16600000000000001</v>
      </c>
      <c r="F93" s="37">
        <v>2.4500000000000004E-3</v>
      </c>
      <c r="G93" s="36">
        <v>1.98</v>
      </c>
      <c r="H93" s="36">
        <v>4</v>
      </c>
      <c r="I93" s="36">
        <v>5.71</v>
      </c>
      <c r="J93" s="36">
        <v>2.68</v>
      </c>
      <c r="K93" s="36">
        <v>190.2</v>
      </c>
      <c r="L93" s="42">
        <v>1000</v>
      </c>
      <c r="M93" s="43">
        <v>9.9999999999999995E-7</v>
      </c>
      <c r="N93" s="36">
        <f t="shared" si="26"/>
        <v>0.26</v>
      </c>
      <c r="O93" s="38">
        <f t="shared" si="27"/>
        <v>1.98E-3</v>
      </c>
      <c r="P93" s="38">
        <f t="shared" si="28"/>
        <v>4.0000000000000001E-3</v>
      </c>
      <c r="Q93" s="36">
        <f t="shared" si="29"/>
        <v>0.7831325301204819</v>
      </c>
      <c r="R93" s="36">
        <f t="shared" si="30"/>
        <v>3.9897270000000007</v>
      </c>
      <c r="S93" s="38">
        <f t="shared" si="31"/>
        <v>0.14236706689536879</v>
      </c>
      <c r="T93" s="37">
        <f t="shared" si="32"/>
        <v>5.579227887381126E-3</v>
      </c>
      <c r="U93" s="42">
        <f t="shared" si="33"/>
        <v>111492.28130360207</v>
      </c>
      <c r="V93" s="44">
        <f t="shared" si="34"/>
        <v>5.0041382436049174E-8</v>
      </c>
      <c r="W93" s="44">
        <f t="shared" si="35"/>
        <v>4.0033105948839339E-7</v>
      </c>
      <c r="X93" s="37">
        <f t="shared" si="36"/>
        <v>1.5814313822679699E-2</v>
      </c>
      <c r="Y93" s="44">
        <f t="shared" si="37"/>
        <v>39503.089874889396</v>
      </c>
      <c r="Z93" s="37">
        <f t="shared" si="38"/>
        <v>1.674687914757619E-2</v>
      </c>
      <c r="AA93" s="38">
        <f t="shared" si="39"/>
        <v>0.31525312085242385</v>
      </c>
      <c r="AB93" s="36">
        <f t="shared" si="40"/>
        <v>0.15762656042621193</v>
      </c>
      <c r="AC93" s="37">
        <f t="shared" si="41"/>
        <v>6.1772327048657894E-3</v>
      </c>
      <c r="AD93" s="41">
        <f t="shared" si="42"/>
        <v>3.7884755665637919</v>
      </c>
      <c r="AE93">
        <f t="shared" si="43"/>
        <v>8.0000000000000002E-3</v>
      </c>
      <c r="AF93" s="36">
        <f t="shared" si="44"/>
        <v>12.723395257967253</v>
      </c>
      <c r="AG93" s="36">
        <f>IF(AC93&lt;(1/(Sheet1!BL92^2)),MPM!AF93,Sheet1!BL92)</f>
        <v>13.162304855478872</v>
      </c>
      <c r="AH93" s="38">
        <f>IF(AG93=AF93,AB93,Sheet1!BK92)</f>
        <v>0.14728941797612863</v>
      </c>
      <c r="AI93" t="str">
        <f t="shared" si="45"/>
        <v>ok</v>
      </c>
      <c r="AJ93" s="37">
        <f t="shared" si="46"/>
        <v>5.7721300732505934E-3</v>
      </c>
      <c r="AK93" s="41">
        <f t="shared" si="47"/>
        <v>3.5400275162554449</v>
      </c>
      <c r="AL93" s="42">
        <f t="shared" si="48"/>
        <v>93.442004681220808</v>
      </c>
    </row>
    <row r="94" spans="2:38">
      <c r="B94" s="36">
        <f t="shared" si="25"/>
        <v>89</v>
      </c>
      <c r="C94" s="36">
        <v>260</v>
      </c>
      <c r="D94" s="36">
        <v>2</v>
      </c>
      <c r="E94" s="36">
        <v>0.17</v>
      </c>
      <c r="F94" s="37">
        <v>2.2499999999999998E-3</v>
      </c>
      <c r="G94" s="36">
        <v>1.99</v>
      </c>
      <c r="H94" s="36">
        <v>4</v>
      </c>
      <c r="I94" s="36">
        <v>5.71</v>
      </c>
      <c r="J94" s="36">
        <v>2.68</v>
      </c>
      <c r="K94" s="36">
        <v>142.6</v>
      </c>
      <c r="L94" s="42">
        <v>1000</v>
      </c>
      <c r="M94" s="43">
        <v>9.9999999999999995E-7</v>
      </c>
      <c r="N94" s="36">
        <f t="shared" si="26"/>
        <v>0.26</v>
      </c>
      <c r="O94" s="38">
        <f t="shared" si="27"/>
        <v>1.99E-3</v>
      </c>
      <c r="P94" s="38">
        <f t="shared" si="28"/>
        <v>4.0000000000000001E-3</v>
      </c>
      <c r="Q94" s="36">
        <f t="shared" si="29"/>
        <v>0.76470588235294112</v>
      </c>
      <c r="R94" s="36">
        <f t="shared" si="30"/>
        <v>3.7523249999999999</v>
      </c>
      <c r="S94" s="38">
        <f t="shared" si="31"/>
        <v>0.14529914529914531</v>
      </c>
      <c r="T94" s="37">
        <f t="shared" si="32"/>
        <v>5.4843570778334095E-3</v>
      </c>
      <c r="U94" s="42">
        <f t="shared" si="33"/>
        <v>111111.11111111112</v>
      </c>
      <c r="V94" s="44">
        <f t="shared" si="34"/>
        <v>4.9359213700500678E-8</v>
      </c>
      <c r="W94" s="44">
        <f t="shared" si="35"/>
        <v>3.9487370960400543E-7</v>
      </c>
      <c r="X94" s="37">
        <f t="shared" si="36"/>
        <v>1.5770960337651355E-2</v>
      </c>
      <c r="Y94" s="44">
        <f t="shared" si="37"/>
        <v>39939.251345619035</v>
      </c>
      <c r="Z94" s="37">
        <f t="shared" si="38"/>
        <v>1.7757605598282929E-2</v>
      </c>
      <c r="AA94" s="38">
        <f t="shared" si="39"/>
        <v>0.32224239440171709</v>
      </c>
      <c r="AB94" s="36">
        <f t="shared" si="40"/>
        <v>0.16112119720085855</v>
      </c>
      <c r="AC94" s="37">
        <f t="shared" si="41"/>
        <v>6.0815648738899971E-3</v>
      </c>
      <c r="AD94" s="41">
        <f t="shared" si="42"/>
        <v>3.5563476252159494</v>
      </c>
      <c r="AE94">
        <f t="shared" si="43"/>
        <v>8.0000000000000002E-3</v>
      </c>
      <c r="AF94" s="36">
        <f t="shared" si="44"/>
        <v>12.823079301477877</v>
      </c>
      <c r="AG94" s="36">
        <f>IF(AC94&lt;(1/(Sheet1!BL93^2)),MPM!AF94,Sheet1!BL93)</f>
        <v>13.224208344514215</v>
      </c>
      <c r="AH94" s="38">
        <f>IF(AG94=AF94,AB94,Sheet1!BK93)</f>
        <v>0.15149488532613814</v>
      </c>
      <c r="AI94" t="str">
        <f t="shared" si="45"/>
        <v>ok</v>
      </c>
      <c r="AJ94" s="37">
        <f t="shared" si="46"/>
        <v>5.7182170264237645E-3</v>
      </c>
      <c r="AK94" s="41">
        <f t="shared" si="47"/>
        <v>3.3438708562824089</v>
      </c>
      <c r="AL94" s="42">
        <f t="shared" si="48"/>
        <v>94.025421828085811</v>
      </c>
    </row>
    <row r="95" spans="2:38">
      <c r="B95" s="36">
        <f t="shared" si="25"/>
        <v>90</v>
      </c>
      <c r="C95" s="36">
        <v>150</v>
      </c>
      <c r="D95" s="36">
        <v>2</v>
      </c>
      <c r="E95" s="36">
        <v>0.115</v>
      </c>
      <c r="F95" s="37">
        <v>2.3999999999999998E-3</v>
      </c>
      <c r="G95" s="36">
        <v>1.84</v>
      </c>
      <c r="H95" s="36">
        <v>4</v>
      </c>
      <c r="I95" s="36">
        <v>5.71</v>
      </c>
      <c r="J95" s="36">
        <v>2.68</v>
      </c>
      <c r="K95" s="36">
        <v>57.1</v>
      </c>
      <c r="L95" s="42">
        <v>1000</v>
      </c>
      <c r="M95" s="43">
        <v>9.9999999999999995E-7</v>
      </c>
      <c r="N95" s="36">
        <f t="shared" si="26"/>
        <v>0.15</v>
      </c>
      <c r="O95" s="38">
        <f t="shared" si="27"/>
        <v>1.8400000000000001E-3</v>
      </c>
      <c r="P95" s="38">
        <f t="shared" si="28"/>
        <v>4.0000000000000001E-3</v>
      </c>
      <c r="Q95" s="36">
        <f t="shared" si="29"/>
        <v>0.65217391304347816</v>
      </c>
      <c r="R95" s="36">
        <f t="shared" si="30"/>
        <v>2.70756</v>
      </c>
      <c r="S95" s="38">
        <f t="shared" si="31"/>
        <v>0.1031390134529148</v>
      </c>
      <c r="T95" s="37">
        <f t="shared" si="32"/>
        <v>5.7092147085201824E-3</v>
      </c>
      <c r="U95" s="42">
        <f t="shared" si="33"/>
        <v>67264.573991031386</v>
      </c>
      <c r="V95" s="44">
        <f t="shared" si="34"/>
        <v>8.487699200000005E-8</v>
      </c>
      <c r="W95" s="44">
        <f t="shared" si="35"/>
        <v>6.790159360000004E-7</v>
      </c>
      <c r="X95" s="37">
        <f t="shared" si="36"/>
        <v>1.757690838095587E-2</v>
      </c>
      <c r="Y95" s="44">
        <f t="shared" si="37"/>
        <v>25885.855469754188</v>
      </c>
      <c r="Z95" s="37">
        <f t="shared" si="38"/>
        <v>9.1290783623333115E-3</v>
      </c>
      <c r="AA95" s="38">
        <f t="shared" si="39"/>
        <v>0.2208709216376667</v>
      </c>
      <c r="AB95" s="36">
        <f t="shared" si="40"/>
        <v>0.11043546081883335</v>
      </c>
      <c r="AC95" s="37">
        <f t="shared" si="41"/>
        <v>6.1131063420237627E-3</v>
      </c>
      <c r="AD95" s="41">
        <f t="shared" si="42"/>
        <v>2.6000924895186124</v>
      </c>
      <c r="AE95">
        <f t="shared" si="43"/>
        <v>8.0000000000000002E-3</v>
      </c>
      <c r="AF95" s="36">
        <f t="shared" si="44"/>
        <v>12.789955240579584</v>
      </c>
      <c r="AG95" s="36">
        <f>IF(AC95&lt;(1/(Sheet1!BL94^2)),MPM!AF95,Sheet1!BL94)</f>
        <v>12.789955240579584</v>
      </c>
      <c r="AH95" s="38">
        <f>IF(AG95=AF95,AB95,Sheet1!BK94)</f>
        <v>0.11043546081883335</v>
      </c>
      <c r="AI95" t="str">
        <f t="shared" si="45"/>
        <v>ok</v>
      </c>
      <c r="AJ95" s="37">
        <f t="shared" si="46"/>
        <v>6.1131063420237627E-3</v>
      </c>
      <c r="AK95" s="41">
        <f t="shared" si="47"/>
        <v>2.6000924895186124</v>
      </c>
      <c r="AL95" s="42">
        <f t="shared" si="48"/>
        <v>100</v>
      </c>
    </row>
    <row r="96" spans="2:38">
      <c r="B96" s="36">
        <f t="shared" si="25"/>
        <v>91</v>
      </c>
      <c r="C96" s="36">
        <v>190</v>
      </c>
      <c r="D96" s="36">
        <v>2</v>
      </c>
      <c r="E96" s="36">
        <v>0.13500000000000001</v>
      </c>
      <c r="F96" s="37">
        <v>2.3500000000000001E-3</v>
      </c>
      <c r="G96" s="36">
        <v>2.04</v>
      </c>
      <c r="H96" s="36">
        <v>4</v>
      </c>
      <c r="I96" s="36">
        <v>5.71</v>
      </c>
      <c r="J96" s="36">
        <v>2.68</v>
      </c>
      <c r="K96" s="36">
        <v>90.6</v>
      </c>
      <c r="L96" s="42">
        <v>1000</v>
      </c>
      <c r="M96" s="43">
        <v>9.9999999999999995E-7</v>
      </c>
      <c r="N96" s="36">
        <f t="shared" si="26"/>
        <v>0.19</v>
      </c>
      <c r="O96" s="38">
        <f t="shared" si="27"/>
        <v>2.0400000000000001E-3</v>
      </c>
      <c r="P96" s="38">
        <f t="shared" si="28"/>
        <v>4.0000000000000001E-3</v>
      </c>
      <c r="Q96" s="36">
        <f t="shared" si="29"/>
        <v>0.70370370370370372</v>
      </c>
      <c r="R96" s="36">
        <f t="shared" si="30"/>
        <v>3.1122225000000006</v>
      </c>
      <c r="S96" s="38">
        <f t="shared" si="31"/>
        <v>0.11894273127753305</v>
      </c>
      <c r="T96" s="37">
        <f t="shared" si="32"/>
        <v>5.537262383003649E-3</v>
      </c>
      <c r="U96" s="42">
        <f t="shared" si="33"/>
        <v>83700.440528634383</v>
      </c>
      <c r="V96" s="44">
        <f t="shared" si="34"/>
        <v>6.6155713733780425E-8</v>
      </c>
      <c r="W96" s="44">
        <f t="shared" si="35"/>
        <v>5.292457098702434E-7</v>
      </c>
      <c r="X96" s="37">
        <f t="shared" si="36"/>
        <v>1.6722375252865067E-2</v>
      </c>
      <c r="Y96" s="44">
        <f t="shared" si="37"/>
        <v>31596.619379238684</v>
      </c>
      <c r="Z96" s="37">
        <f t="shared" si="38"/>
        <v>1.2123123961823684E-2</v>
      </c>
      <c r="AA96" s="38">
        <f t="shared" si="39"/>
        <v>0.25787687603817633</v>
      </c>
      <c r="AB96" s="36">
        <f t="shared" si="40"/>
        <v>0.12893843801908816</v>
      </c>
      <c r="AC96" s="37">
        <f t="shared" si="41"/>
        <v>6.0026027223170431E-3</v>
      </c>
      <c r="AD96" s="41">
        <f t="shared" si="42"/>
        <v>2.9724822808730491</v>
      </c>
      <c r="AE96">
        <f t="shared" si="43"/>
        <v>8.0000000000000002E-3</v>
      </c>
      <c r="AF96" s="36">
        <f t="shared" si="44"/>
        <v>12.907145314623058</v>
      </c>
      <c r="AG96" s="36">
        <f>IF(AC96&lt;(1/(Sheet1!BL95^2)),MPM!AF96,Sheet1!BL95)</f>
        <v>12.907145314623058</v>
      </c>
      <c r="AH96" s="38">
        <f>IF(AG96=AF96,AB96,Sheet1!BK95)</f>
        <v>0.12893843801908816</v>
      </c>
      <c r="AI96" t="str">
        <f t="shared" si="45"/>
        <v>ok</v>
      </c>
      <c r="AJ96" s="37">
        <f t="shared" si="46"/>
        <v>6.002602722317044E-3</v>
      </c>
      <c r="AK96" s="41">
        <f t="shared" si="47"/>
        <v>2.9724822808730496</v>
      </c>
      <c r="AL96" s="42">
        <f t="shared" si="48"/>
        <v>100.00000000000001</v>
      </c>
    </row>
    <row r="97" spans="2:38">
      <c r="B97" s="36">
        <f t="shared" si="25"/>
        <v>92</v>
      </c>
      <c r="C97" s="36">
        <v>67.5</v>
      </c>
      <c r="D97" s="36">
        <v>0.42</v>
      </c>
      <c r="E97" s="36">
        <v>0.2</v>
      </c>
      <c r="F97" s="37">
        <v>2.6800000000000001E-3</v>
      </c>
      <c r="G97" s="36">
        <v>3.3</v>
      </c>
      <c r="H97" s="36">
        <v>6.5</v>
      </c>
      <c r="I97" s="36">
        <v>3.82</v>
      </c>
      <c r="J97" s="36">
        <v>2.68</v>
      </c>
      <c r="K97" s="36">
        <v>3.8</v>
      </c>
      <c r="L97" s="42">
        <v>1000</v>
      </c>
      <c r="M97" s="43">
        <v>9.9999999999999995E-7</v>
      </c>
      <c r="N97" s="36">
        <f t="shared" si="26"/>
        <v>6.7500000000000004E-2</v>
      </c>
      <c r="O97" s="38">
        <f t="shared" si="27"/>
        <v>3.3E-3</v>
      </c>
      <c r="P97" s="38">
        <f t="shared" si="28"/>
        <v>6.4999999999999997E-3</v>
      </c>
      <c r="Q97" s="36">
        <f t="shared" si="29"/>
        <v>0.8035714285714286</v>
      </c>
      <c r="R97" s="36">
        <f t="shared" si="30"/>
        <v>5.2581600000000002</v>
      </c>
      <c r="S97" s="38">
        <f t="shared" si="31"/>
        <v>0.1024390243902439</v>
      </c>
      <c r="T97" s="37">
        <f t="shared" si="32"/>
        <v>4.1708086113821131E-3</v>
      </c>
      <c r="U97" s="42">
        <f t="shared" si="33"/>
        <v>82317.073170731717</v>
      </c>
      <c r="V97" s="44">
        <f t="shared" si="34"/>
        <v>5.066760090864196E-8</v>
      </c>
      <c r="W97" s="44">
        <f t="shared" si="35"/>
        <v>4.0534080726913568E-7</v>
      </c>
      <c r="X97" s="37">
        <f t="shared" si="36"/>
        <v>1.585369727836218E-2</v>
      </c>
      <c r="Y97" s="44">
        <f t="shared" si="37"/>
        <v>39112.018809978195</v>
      </c>
      <c r="Z97" s="37">
        <f t="shared" si="38"/>
        <v>1.9469093807633588E-2</v>
      </c>
      <c r="AA97" s="38">
        <f t="shared" si="39"/>
        <v>6.4530906192366413E-2</v>
      </c>
      <c r="AB97" s="36">
        <f t="shared" si="40"/>
        <v>0.15364501474372957</v>
      </c>
      <c r="AC97" s="37">
        <f t="shared" si="41"/>
        <v>6.255662374798153E-3</v>
      </c>
      <c r="AD97" s="41">
        <f t="shared" si="42"/>
        <v>4.0394503536244448</v>
      </c>
      <c r="AE97">
        <f t="shared" si="43"/>
        <v>1.2999999999999999E-2</v>
      </c>
      <c r="AF97" s="36">
        <f t="shared" si="44"/>
        <v>12.643384610706374</v>
      </c>
      <c r="AG97" s="36">
        <f>IF(AC97&lt;(1/(Sheet1!BL96^2)),MPM!AF97,Sheet1!BL96)</f>
        <v>12.643384610706374</v>
      </c>
      <c r="AH97" s="38">
        <f>IF(AG97=AF97,AB97,Sheet1!BK96)</f>
        <v>0.15364501474372957</v>
      </c>
      <c r="AI97" t="str">
        <f t="shared" si="45"/>
        <v>ok</v>
      </c>
      <c r="AJ97" s="37">
        <f t="shared" si="46"/>
        <v>6.2556623747981538E-3</v>
      </c>
      <c r="AK97" s="41">
        <f t="shared" si="47"/>
        <v>4.0394503536244457</v>
      </c>
      <c r="AL97" s="42">
        <f t="shared" si="48"/>
        <v>100.00000000000003</v>
      </c>
    </row>
    <row r="98" spans="2:38">
      <c r="B98" s="36">
        <f t="shared" si="25"/>
        <v>93</v>
      </c>
      <c r="C98" s="36">
        <v>60.7</v>
      </c>
      <c r="D98" s="36">
        <v>0.42</v>
      </c>
      <c r="E98" s="36">
        <v>0.185</v>
      </c>
      <c r="F98" s="37">
        <v>2.7000000000000001E-3</v>
      </c>
      <c r="G98" s="36">
        <v>3.3</v>
      </c>
      <c r="H98" s="36">
        <v>6.5</v>
      </c>
      <c r="I98" s="36">
        <v>3.82</v>
      </c>
      <c r="J98" s="36">
        <v>2.68</v>
      </c>
      <c r="K98" s="36">
        <v>3.1</v>
      </c>
      <c r="L98" s="42">
        <v>1000</v>
      </c>
      <c r="M98" s="43">
        <v>9.9999999999999995E-7</v>
      </c>
      <c r="N98" s="36">
        <f t="shared" si="26"/>
        <v>6.0700000000000004E-2</v>
      </c>
      <c r="O98" s="38">
        <f t="shared" si="27"/>
        <v>3.3E-3</v>
      </c>
      <c r="P98" s="38">
        <f t="shared" si="28"/>
        <v>6.4999999999999997E-3</v>
      </c>
      <c r="Q98" s="36">
        <f t="shared" si="29"/>
        <v>0.78120978120978135</v>
      </c>
      <c r="R98" s="36">
        <f t="shared" si="30"/>
        <v>4.9000950000000003</v>
      </c>
      <c r="S98" s="38">
        <f t="shared" si="31"/>
        <v>9.8354430379746824E-2</v>
      </c>
      <c r="T98" s="37">
        <f t="shared" si="32"/>
        <v>4.2686579359199547E-3</v>
      </c>
      <c r="U98" s="42">
        <f t="shared" si="33"/>
        <v>76835.443037974692</v>
      </c>
      <c r="V98" s="44">
        <f t="shared" si="34"/>
        <v>5.5555844635531528E-8</v>
      </c>
      <c r="W98" s="44">
        <f t="shared" si="35"/>
        <v>4.4444675708425222E-7</v>
      </c>
      <c r="X98" s="37">
        <f t="shared" si="36"/>
        <v>1.6148435155825317E-2</v>
      </c>
      <c r="Y98" s="44">
        <f t="shared" si="37"/>
        <v>36333.790039926229</v>
      </c>
      <c r="Z98" s="37">
        <f t="shared" si="38"/>
        <v>1.7208568860919919E-2</v>
      </c>
      <c r="AA98" s="38">
        <f t="shared" si="39"/>
        <v>6.0491431139080072E-2</v>
      </c>
      <c r="AB98" s="36">
        <f t="shared" si="40"/>
        <v>0.14402721699780971</v>
      </c>
      <c r="AC98" s="37">
        <f t="shared" si="41"/>
        <v>6.250892008142485E-3</v>
      </c>
      <c r="AD98" s="41">
        <f t="shared" si="42"/>
        <v>3.8148488966209864</v>
      </c>
      <c r="AE98">
        <f t="shared" si="43"/>
        <v>1.2999999999999999E-2</v>
      </c>
      <c r="AF98" s="36">
        <f t="shared" si="44"/>
        <v>12.6482080885075</v>
      </c>
      <c r="AG98" s="36">
        <f>IF(AC98&lt;(1/(Sheet1!BL97^2)),MPM!AF98,Sheet1!BL97)</f>
        <v>12.6482080885075</v>
      </c>
      <c r="AH98" s="38">
        <f>IF(AG98=AF98,AB98,Sheet1!BK97)</f>
        <v>0.14402721699780971</v>
      </c>
      <c r="AI98" t="str">
        <f t="shared" si="45"/>
        <v>ok</v>
      </c>
      <c r="AJ98" s="37">
        <f t="shared" si="46"/>
        <v>6.250892008142485E-3</v>
      </c>
      <c r="AK98" s="41">
        <f t="shared" si="47"/>
        <v>3.8148488966209864</v>
      </c>
      <c r="AL98" s="42">
        <f t="shared" si="48"/>
        <v>100</v>
      </c>
    </row>
    <row r="99" spans="2:38">
      <c r="B99" s="36">
        <f t="shared" si="25"/>
        <v>94</v>
      </c>
      <c r="C99" s="36">
        <v>54.1</v>
      </c>
      <c r="D99" s="36">
        <v>0.42</v>
      </c>
      <c r="E99" s="36">
        <v>0.17100000000000001</v>
      </c>
      <c r="F99" s="37">
        <v>2.7499999999999998E-3</v>
      </c>
      <c r="G99" s="36">
        <v>3.3</v>
      </c>
      <c r="H99" s="36">
        <v>6.5</v>
      </c>
      <c r="I99" s="36">
        <v>3.82</v>
      </c>
      <c r="J99" s="36">
        <v>2.68</v>
      </c>
      <c r="K99" s="36">
        <v>2</v>
      </c>
      <c r="L99" s="42">
        <v>1000</v>
      </c>
      <c r="M99" s="43">
        <v>9.9999999999999995E-7</v>
      </c>
      <c r="N99" s="36">
        <f t="shared" si="26"/>
        <v>5.4100000000000002E-2</v>
      </c>
      <c r="O99" s="38">
        <f t="shared" si="27"/>
        <v>3.3E-3</v>
      </c>
      <c r="P99" s="38">
        <f t="shared" si="28"/>
        <v>6.4999999999999997E-3</v>
      </c>
      <c r="Q99" s="36">
        <f t="shared" si="29"/>
        <v>0.75327206906154265</v>
      </c>
      <c r="R99" s="36">
        <f t="shared" si="30"/>
        <v>4.6131525</v>
      </c>
      <c r="S99" s="38">
        <f t="shared" si="31"/>
        <v>9.4251968503937023E-2</v>
      </c>
      <c r="T99" s="37">
        <f t="shared" si="32"/>
        <v>4.4811388614140859E-3</v>
      </c>
      <c r="U99" s="42">
        <f t="shared" si="33"/>
        <v>70997.375328083988</v>
      </c>
      <c r="V99" s="44">
        <f t="shared" si="34"/>
        <v>6.3116965109011712E-8</v>
      </c>
      <c r="W99" s="44">
        <f t="shared" si="35"/>
        <v>5.0493572087209369E-7</v>
      </c>
      <c r="X99" s="37">
        <f t="shared" si="36"/>
        <v>1.6565849620132848E-2</v>
      </c>
      <c r="Y99" s="44">
        <f t="shared" si="37"/>
        <v>32807.838573039233</v>
      </c>
      <c r="Z99" s="37">
        <f t="shared" si="38"/>
        <v>1.4895389398890239E-2</v>
      </c>
      <c r="AA99" s="38">
        <f t="shared" si="39"/>
        <v>5.6924610601109774E-2</v>
      </c>
      <c r="AB99" s="36">
        <f t="shared" si="40"/>
        <v>0.13553478714549946</v>
      </c>
      <c r="AC99" s="37">
        <f t="shared" si="41"/>
        <v>6.4438993836591768E-3</v>
      </c>
      <c r="AD99" s="41">
        <f t="shared" si="42"/>
        <v>3.6563897202177116</v>
      </c>
      <c r="AE99">
        <f t="shared" si="43"/>
        <v>1.2999999999999999E-2</v>
      </c>
      <c r="AF99" s="36">
        <f t="shared" si="44"/>
        <v>12.457348800501336</v>
      </c>
      <c r="AG99" s="36">
        <f>IF(AC99&lt;(1/(Sheet1!BL98^2)),MPM!AF99,Sheet1!BL98)</f>
        <v>12.457348800501336</v>
      </c>
      <c r="AH99" s="38">
        <f>IF(AG99=AF99,AB99,Sheet1!BK98)</f>
        <v>0.13553478714549946</v>
      </c>
      <c r="AI99" t="str">
        <f t="shared" si="45"/>
        <v>ok</v>
      </c>
      <c r="AJ99" s="37">
        <f t="shared" si="46"/>
        <v>6.4438993836591768E-3</v>
      </c>
      <c r="AK99" s="41">
        <f t="shared" si="47"/>
        <v>3.6563897202177116</v>
      </c>
      <c r="AL99" s="42">
        <f t="shared" si="48"/>
        <v>100</v>
      </c>
    </row>
    <row r="100" spans="2:38">
      <c r="B100" s="36">
        <f t="shared" si="25"/>
        <v>95</v>
      </c>
      <c r="C100" s="36">
        <v>43.9</v>
      </c>
      <c r="D100" s="36">
        <v>0.42</v>
      </c>
      <c r="E100" s="36">
        <v>0.14899999999999999</v>
      </c>
      <c r="F100" s="37">
        <v>2.7400000000000002E-3</v>
      </c>
      <c r="G100" s="36">
        <v>3.3</v>
      </c>
      <c r="H100" s="36">
        <v>6.5</v>
      </c>
      <c r="I100" s="36">
        <v>3.82</v>
      </c>
      <c r="J100" s="36">
        <v>2.68</v>
      </c>
      <c r="K100" s="36">
        <v>0.5</v>
      </c>
      <c r="L100" s="42">
        <v>1000</v>
      </c>
      <c r="M100" s="43">
        <v>9.9999999999999995E-7</v>
      </c>
      <c r="N100" s="36">
        <f t="shared" si="26"/>
        <v>4.3900000000000002E-2</v>
      </c>
      <c r="O100" s="38">
        <f t="shared" si="27"/>
        <v>3.3E-3</v>
      </c>
      <c r="P100" s="38">
        <f t="shared" si="28"/>
        <v>6.4999999999999997E-3</v>
      </c>
      <c r="Q100" s="36">
        <f t="shared" si="29"/>
        <v>0.70150207734100356</v>
      </c>
      <c r="R100" s="36">
        <f t="shared" si="30"/>
        <v>4.0050305999999996</v>
      </c>
      <c r="S100" s="38">
        <f t="shared" si="31"/>
        <v>8.7158774373259057E-2</v>
      </c>
      <c r="T100" s="37">
        <f t="shared" si="32"/>
        <v>4.7607213433809668E-3</v>
      </c>
      <c r="U100" s="42">
        <f t="shared" si="33"/>
        <v>61142.061281337061</v>
      </c>
      <c r="V100" s="44">
        <f t="shared" si="34"/>
        <v>7.7863278463497345E-8</v>
      </c>
      <c r="W100" s="44">
        <f t="shared" si="35"/>
        <v>6.2290622770797876E-7</v>
      </c>
      <c r="X100" s="37">
        <f t="shared" si="36"/>
        <v>1.7276311666832325E-2</v>
      </c>
      <c r="Y100" s="44">
        <f t="shared" si="37"/>
        <v>27735.011946182593</v>
      </c>
      <c r="Z100" s="37">
        <f t="shared" si="38"/>
        <v>1.1781908887982865E-2</v>
      </c>
      <c r="AA100" s="38">
        <f t="shared" si="39"/>
        <v>5.0798091112017135E-2</v>
      </c>
      <c r="AB100" s="36">
        <f t="shared" si="40"/>
        <v>0.12094783598099318</v>
      </c>
      <c r="AC100" s="37">
        <f t="shared" si="41"/>
        <v>6.606322178471501E-3</v>
      </c>
      <c r="AD100" s="41">
        <f t="shared" si="42"/>
        <v>3.2510052624675096</v>
      </c>
      <c r="AE100">
        <f t="shared" si="43"/>
        <v>1.2999999999999999E-2</v>
      </c>
      <c r="AF100" s="36">
        <f t="shared" si="44"/>
        <v>12.303257827221929</v>
      </c>
      <c r="AG100" s="36">
        <f>IF(AC100&lt;(1/(Sheet1!BL99^2)),MPM!AF100,Sheet1!BL99)</f>
        <v>12.303257827221929</v>
      </c>
      <c r="AH100" s="38">
        <f>IF(AG100=AF100,AB100,Sheet1!BK99)</f>
        <v>0.12094783598099318</v>
      </c>
      <c r="AI100" t="str">
        <f t="shared" si="45"/>
        <v>ok</v>
      </c>
      <c r="AJ100" s="37">
        <f t="shared" si="46"/>
        <v>6.6063221784715001E-3</v>
      </c>
      <c r="AK100" s="41">
        <f t="shared" si="47"/>
        <v>3.2510052624675092</v>
      </c>
      <c r="AL100" s="42">
        <f t="shared" si="48"/>
        <v>99.999999999999986</v>
      </c>
    </row>
    <row r="101" spans="2:38">
      <c r="B101" s="36">
        <f t="shared" si="25"/>
        <v>96</v>
      </c>
      <c r="C101" s="36">
        <v>35</v>
      </c>
      <c r="D101" s="36">
        <v>0.42</v>
      </c>
      <c r="E101" s="36">
        <v>0.128</v>
      </c>
      <c r="F101" s="37">
        <v>2.7499999999999998E-3</v>
      </c>
      <c r="G101" s="36">
        <v>3.3</v>
      </c>
      <c r="H101" s="36">
        <v>6.5</v>
      </c>
      <c r="I101" s="36">
        <v>3.82</v>
      </c>
      <c r="J101" s="36">
        <v>2.68</v>
      </c>
      <c r="K101" s="36">
        <v>0.1</v>
      </c>
      <c r="L101" s="42">
        <v>1000</v>
      </c>
      <c r="M101" s="43">
        <v>9.9999999999999995E-7</v>
      </c>
      <c r="N101" s="36">
        <f t="shared" si="26"/>
        <v>3.5000000000000003E-2</v>
      </c>
      <c r="O101" s="38">
        <f t="shared" si="27"/>
        <v>3.3E-3</v>
      </c>
      <c r="P101" s="38">
        <f t="shared" si="28"/>
        <v>6.4999999999999997E-3</v>
      </c>
      <c r="Q101" s="36">
        <f t="shared" si="29"/>
        <v>0.65104166666666674</v>
      </c>
      <c r="R101" s="36">
        <f t="shared" si="30"/>
        <v>3.4531200000000002</v>
      </c>
      <c r="S101" s="38">
        <f t="shared" si="31"/>
        <v>7.9526627218934928E-2</v>
      </c>
      <c r="T101" s="37">
        <f t="shared" si="32"/>
        <v>5.0617034400568051E-3</v>
      </c>
      <c r="U101" s="42">
        <f t="shared" si="33"/>
        <v>51775.147928994098</v>
      </c>
      <c r="V101" s="44">
        <f t="shared" si="34"/>
        <v>9.7763186442239978E-8</v>
      </c>
      <c r="W101" s="44">
        <f t="shared" si="35"/>
        <v>7.8210549153791982E-7</v>
      </c>
      <c r="X101" s="37">
        <f t="shared" si="36"/>
        <v>1.8080879950025674E-2</v>
      </c>
      <c r="Y101" s="44">
        <f t="shared" si="37"/>
        <v>23118.211220422094</v>
      </c>
      <c r="Z101" s="37">
        <f t="shared" si="38"/>
        <v>9.0904505432494939E-3</v>
      </c>
      <c r="AA101" s="38">
        <f t="shared" si="39"/>
        <v>4.4669549456750508E-2</v>
      </c>
      <c r="AB101" s="36">
        <f t="shared" si="40"/>
        <v>0.10635607013512026</v>
      </c>
      <c r="AC101" s="37">
        <f t="shared" si="41"/>
        <v>6.7693413501847101E-3</v>
      </c>
      <c r="AD101" s="41">
        <f t="shared" si="42"/>
        <v>2.8692208820702074</v>
      </c>
      <c r="AE101">
        <f t="shared" si="43"/>
        <v>1.2999999999999999E-2</v>
      </c>
      <c r="AF101" s="36">
        <f t="shared" si="44"/>
        <v>12.154211595992276</v>
      </c>
      <c r="AG101" s="36">
        <f>IF(AC101&lt;(1/(Sheet1!BL100^2)),MPM!AF101,Sheet1!BL100)</f>
        <v>12.154211595992276</v>
      </c>
      <c r="AH101" s="38">
        <f>IF(AG101=AF101,AB101,Sheet1!BK100)</f>
        <v>0.10635607013512026</v>
      </c>
      <c r="AI101" t="str">
        <f t="shared" si="45"/>
        <v>ok</v>
      </c>
      <c r="AJ101" s="37">
        <f t="shared" si="46"/>
        <v>6.769341350184711E-3</v>
      </c>
      <c r="AK101" s="41">
        <f t="shared" si="47"/>
        <v>2.8692208820702079</v>
      </c>
      <c r="AL101" s="42">
        <f t="shared" si="48"/>
        <v>100.00000000000003</v>
      </c>
    </row>
    <row r="102" spans="2:38">
      <c r="B102" s="36">
        <f t="shared" si="25"/>
        <v>97</v>
      </c>
      <c r="C102" s="36">
        <v>60.7</v>
      </c>
      <c r="D102" s="36">
        <v>0.42</v>
      </c>
      <c r="E102" s="36">
        <v>0.185</v>
      </c>
      <c r="F102" s="37">
        <v>2.7699999999999999E-3</v>
      </c>
      <c r="G102" s="36">
        <v>3.3</v>
      </c>
      <c r="H102" s="36">
        <v>6.5</v>
      </c>
      <c r="I102" s="36">
        <v>3.82</v>
      </c>
      <c r="J102" s="36">
        <v>2.68</v>
      </c>
      <c r="K102" s="36">
        <v>3.2</v>
      </c>
      <c r="L102" s="42">
        <v>1000</v>
      </c>
      <c r="M102" s="43">
        <v>9.9999999999999995E-7</v>
      </c>
      <c r="N102" s="36">
        <f t="shared" si="26"/>
        <v>6.0700000000000004E-2</v>
      </c>
      <c r="O102" s="38">
        <f t="shared" si="27"/>
        <v>3.3E-3</v>
      </c>
      <c r="P102" s="38">
        <f t="shared" si="28"/>
        <v>6.4999999999999997E-3</v>
      </c>
      <c r="Q102" s="36">
        <f t="shared" si="29"/>
        <v>0.78120978120978135</v>
      </c>
      <c r="R102" s="36">
        <f t="shared" si="30"/>
        <v>5.0271344999999998</v>
      </c>
      <c r="S102" s="38">
        <f t="shared" si="31"/>
        <v>9.8354430379746824E-2</v>
      </c>
      <c r="T102" s="37">
        <f t="shared" si="32"/>
        <v>4.379326845369731E-3</v>
      </c>
      <c r="U102" s="42">
        <f t="shared" si="33"/>
        <v>76835.443037974692</v>
      </c>
      <c r="V102" s="44">
        <f t="shared" si="34"/>
        <v>5.6996181348304565E-8</v>
      </c>
      <c r="W102" s="44">
        <f t="shared" si="35"/>
        <v>4.5596945078643652E-7</v>
      </c>
      <c r="X102" s="37">
        <f t="shared" si="36"/>
        <v>1.6231312711289539E-2</v>
      </c>
      <c r="Y102" s="44">
        <f t="shared" si="37"/>
        <v>35597.368822175406</v>
      </c>
      <c r="Z102" s="37">
        <f t="shared" si="38"/>
        <v>1.6859781816618132E-2</v>
      </c>
      <c r="AA102" s="38">
        <f t="shared" si="39"/>
        <v>6.084021818338186E-2</v>
      </c>
      <c r="AB102" s="36">
        <f t="shared" si="40"/>
        <v>0.14485766234138539</v>
      </c>
      <c r="AC102" s="37">
        <f t="shared" si="41"/>
        <v>6.4499285593927307E-3</v>
      </c>
      <c r="AD102" s="41">
        <f t="shared" si="42"/>
        <v>3.9363186591661044</v>
      </c>
      <c r="AE102">
        <f t="shared" si="43"/>
        <v>1.2999999999999999E-2</v>
      </c>
      <c r="AF102" s="36">
        <f t="shared" si="44"/>
        <v>12.451525084423778</v>
      </c>
      <c r="AG102" s="36">
        <f>IF(AC102&lt;(1/(Sheet1!BL101^2)),MPM!AF102,Sheet1!BL101)</f>
        <v>12.451525084423778</v>
      </c>
      <c r="AH102" s="38">
        <f>IF(AG102=AF102,AB102,Sheet1!BK101)</f>
        <v>0.14485766234138539</v>
      </c>
      <c r="AI102" t="str">
        <f t="shared" si="45"/>
        <v>ok</v>
      </c>
      <c r="AJ102" s="37">
        <f t="shared" si="46"/>
        <v>6.4499285593927307E-3</v>
      </c>
      <c r="AK102" s="41">
        <f t="shared" si="47"/>
        <v>3.9363186591661044</v>
      </c>
      <c r="AL102" s="42">
        <f t="shared" si="48"/>
        <v>100</v>
      </c>
    </row>
    <row r="103" spans="2:38">
      <c r="B103" s="36">
        <f t="shared" si="25"/>
        <v>98</v>
      </c>
      <c r="C103" s="36">
        <v>90.6</v>
      </c>
      <c r="D103" s="36">
        <v>0.42</v>
      </c>
      <c r="E103" s="36">
        <v>0.24299999999999999</v>
      </c>
      <c r="F103" s="37">
        <v>2.7299999999999998E-3</v>
      </c>
      <c r="G103" s="36">
        <v>3.3</v>
      </c>
      <c r="H103" s="36">
        <v>6.5</v>
      </c>
      <c r="I103" s="36">
        <v>3.82</v>
      </c>
      <c r="J103" s="36">
        <v>2.68</v>
      </c>
      <c r="K103" s="36">
        <v>23.5</v>
      </c>
      <c r="L103" s="42">
        <v>1000</v>
      </c>
      <c r="M103" s="43">
        <v>9.9999999999999995E-7</v>
      </c>
      <c r="N103" s="36">
        <f t="shared" si="26"/>
        <v>9.06E-2</v>
      </c>
      <c r="O103" s="38">
        <f t="shared" si="27"/>
        <v>3.3E-3</v>
      </c>
      <c r="P103" s="38">
        <f t="shared" si="28"/>
        <v>6.4999999999999997E-3</v>
      </c>
      <c r="Q103" s="36">
        <f t="shared" si="29"/>
        <v>0.88771310993533215</v>
      </c>
      <c r="R103" s="36">
        <f t="shared" si="30"/>
        <v>6.5078558999999991</v>
      </c>
      <c r="S103" s="38">
        <f t="shared" si="31"/>
        <v>0.11264900662251656</v>
      </c>
      <c r="T103" s="37">
        <f t="shared" si="32"/>
        <v>3.8283686692727049E-3</v>
      </c>
      <c r="U103" s="42">
        <f t="shared" si="33"/>
        <v>100000.00000000001</v>
      </c>
      <c r="V103" s="44">
        <f t="shared" si="34"/>
        <v>3.8283686692727043E-8</v>
      </c>
      <c r="W103" s="44">
        <f t="shared" si="35"/>
        <v>3.0626949354181634E-7</v>
      </c>
      <c r="X103" s="37">
        <f t="shared" si="36"/>
        <v>1.498950335487092E-2</v>
      </c>
      <c r="Y103" s="44">
        <f t="shared" si="37"/>
        <v>48942.201789432664</v>
      </c>
      <c r="Z103" s="37">
        <f t="shared" si="38"/>
        <v>2.6794591409601942E-2</v>
      </c>
      <c r="AA103" s="38">
        <f t="shared" si="39"/>
        <v>7.5265408590398056E-2</v>
      </c>
      <c r="AB103" s="36">
        <f t="shared" si="40"/>
        <v>0.17920335378666205</v>
      </c>
      <c r="AC103" s="37">
        <f t="shared" si="41"/>
        <v>6.0902135370301484E-3</v>
      </c>
      <c r="AD103" s="41">
        <f t="shared" si="42"/>
        <v>4.7992987787667323</v>
      </c>
      <c r="AE103">
        <f t="shared" si="43"/>
        <v>1.2999999999999999E-2</v>
      </c>
      <c r="AF103" s="36">
        <f t="shared" si="44"/>
        <v>12.813971090941504</v>
      </c>
      <c r="AG103" s="36">
        <f>IF(AC103&lt;(1/(Sheet1!BL102^2)),MPM!AF103,Sheet1!BL102)</f>
        <v>12.813971090941504</v>
      </c>
      <c r="AH103" s="38">
        <f>IF(AG103=AF103,AB103,Sheet1!BK102)</f>
        <v>0.17920335378666205</v>
      </c>
      <c r="AI103" t="str">
        <f t="shared" si="45"/>
        <v>ok</v>
      </c>
      <c r="AJ103" s="37">
        <f t="shared" si="46"/>
        <v>6.0902135370301475E-3</v>
      </c>
      <c r="AK103" s="41">
        <f t="shared" si="47"/>
        <v>4.7992987787667314</v>
      </c>
      <c r="AL103" s="42">
        <f t="shared" si="48"/>
        <v>99.999999999999972</v>
      </c>
    </row>
    <row r="104" spans="2:38">
      <c r="B104" s="36">
        <f t="shared" si="25"/>
        <v>99</v>
      </c>
      <c r="C104" s="36">
        <v>60.7</v>
      </c>
      <c r="D104" s="36">
        <v>0.42</v>
      </c>
      <c r="E104" s="36">
        <v>0.185</v>
      </c>
      <c r="F104" s="37">
        <v>2.7499999999999998E-3</v>
      </c>
      <c r="G104" s="36">
        <v>3.3</v>
      </c>
      <c r="H104" s="36">
        <v>6.5</v>
      </c>
      <c r="I104" s="36">
        <v>3.82</v>
      </c>
      <c r="J104" s="36">
        <v>2.68</v>
      </c>
      <c r="K104" s="36">
        <v>5.8</v>
      </c>
      <c r="L104" s="42">
        <v>1000</v>
      </c>
      <c r="M104" s="43">
        <v>9.9999999999999995E-7</v>
      </c>
      <c r="N104" s="36">
        <f t="shared" si="26"/>
        <v>6.0700000000000004E-2</v>
      </c>
      <c r="O104" s="38">
        <f t="shared" si="27"/>
        <v>3.3E-3</v>
      </c>
      <c r="P104" s="38">
        <f t="shared" si="28"/>
        <v>6.4999999999999997E-3</v>
      </c>
      <c r="Q104" s="36">
        <f t="shared" si="29"/>
        <v>0.78120978120978135</v>
      </c>
      <c r="R104" s="36">
        <f t="shared" si="30"/>
        <v>4.9908374999999996</v>
      </c>
      <c r="S104" s="38">
        <f t="shared" si="31"/>
        <v>9.8354430379746824E-2</v>
      </c>
      <c r="T104" s="37">
        <f t="shared" si="32"/>
        <v>4.3477071569555086E-3</v>
      </c>
      <c r="U104" s="42">
        <f t="shared" si="33"/>
        <v>76835.443037974692</v>
      </c>
      <c r="V104" s="44">
        <f t="shared" si="34"/>
        <v>5.6584656573226546E-8</v>
      </c>
      <c r="W104" s="44">
        <f t="shared" si="35"/>
        <v>4.5267725258581237E-7</v>
      </c>
      <c r="X104" s="37">
        <f t="shared" si="36"/>
        <v>1.6207806004777003E-2</v>
      </c>
      <c r="Y104" s="44">
        <f t="shared" si="37"/>
        <v>35804.33059579142</v>
      </c>
      <c r="Z104" s="37">
        <f t="shared" si="38"/>
        <v>1.6957803958787602E-2</v>
      </c>
      <c r="AA104" s="38">
        <f t="shared" si="39"/>
        <v>6.0742196041212393E-2</v>
      </c>
      <c r="AB104" s="36">
        <f t="shared" si="40"/>
        <v>0.14462427628860094</v>
      </c>
      <c r="AC104" s="37">
        <f t="shared" si="41"/>
        <v>6.3930419673188469E-3</v>
      </c>
      <c r="AD104" s="41">
        <f t="shared" si="42"/>
        <v>3.9016014135757313</v>
      </c>
      <c r="AE104">
        <f t="shared" si="43"/>
        <v>1.2999999999999999E-2</v>
      </c>
      <c r="AF104" s="36">
        <f t="shared" si="44"/>
        <v>12.506800499382329</v>
      </c>
      <c r="AG104" s="36">
        <f>IF(AC104&lt;(1/(Sheet1!BL103^2)),MPM!AF104,Sheet1!BL103)</f>
        <v>12.506800499382329</v>
      </c>
      <c r="AH104" s="38">
        <f>IF(AG104=AF104,AB104,Sheet1!BK103)</f>
        <v>0.14462427628860094</v>
      </c>
      <c r="AI104" t="str">
        <f t="shared" si="45"/>
        <v>ok</v>
      </c>
      <c r="AJ104" s="37">
        <f t="shared" si="46"/>
        <v>6.3930419673188478E-3</v>
      </c>
      <c r="AK104" s="41">
        <f t="shared" si="47"/>
        <v>3.9016014135757318</v>
      </c>
      <c r="AL104" s="42">
        <f t="shared" si="48"/>
        <v>100.00000000000001</v>
      </c>
    </row>
    <row r="105" spans="2:38">
      <c r="B105" s="36">
        <f t="shared" si="25"/>
        <v>100</v>
      </c>
      <c r="C105" s="36">
        <v>90.6</v>
      </c>
      <c r="D105" s="36">
        <v>0.42</v>
      </c>
      <c r="E105" s="36">
        <v>0.24199999999999999</v>
      </c>
      <c r="F105" s="37">
        <v>2.7699999999999999E-3</v>
      </c>
      <c r="G105" s="36">
        <v>3.3</v>
      </c>
      <c r="H105" s="36">
        <v>6.5</v>
      </c>
      <c r="I105" s="36">
        <v>3.82</v>
      </c>
      <c r="J105" s="36">
        <v>2.68</v>
      </c>
      <c r="K105" s="36">
        <v>29.1</v>
      </c>
      <c r="L105" s="42">
        <v>1000</v>
      </c>
      <c r="M105" s="43">
        <v>9.9999999999999995E-7</v>
      </c>
      <c r="N105" s="36">
        <f t="shared" si="26"/>
        <v>9.06E-2</v>
      </c>
      <c r="O105" s="38">
        <f t="shared" si="27"/>
        <v>3.3E-3</v>
      </c>
      <c r="P105" s="38">
        <f t="shared" si="28"/>
        <v>6.4999999999999997E-3</v>
      </c>
      <c r="Q105" s="36">
        <f t="shared" si="29"/>
        <v>0.89138134592680052</v>
      </c>
      <c r="R105" s="36">
        <f t="shared" si="30"/>
        <v>6.5760353999999994</v>
      </c>
      <c r="S105" s="38">
        <f t="shared" si="31"/>
        <v>0.11243362831858407</v>
      </c>
      <c r="T105" s="37">
        <f t="shared" si="32"/>
        <v>3.8451910231328381E-3</v>
      </c>
      <c r="U105" s="42">
        <f t="shared" si="33"/>
        <v>100221.23893805311</v>
      </c>
      <c r="V105" s="44">
        <f t="shared" si="34"/>
        <v>3.8367027427285711E-8</v>
      </c>
      <c r="W105" s="44">
        <f t="shared" si="35"/>
        <v>3.0693621941828569E-7</v>
      </c>
      <c r="X105" s="37">
        <f t="shared" si="36"/>
        <v>1.4996023885932994E-2</v>
      </c>
      <c r="Y105" s="44">
        <f t="shared" si="37"/>
        <v>48857.133623245536</v>
      </c>
      <c r="Z105" s="37">
        <f t="shared" si="38"/>
        <v>2.6528323463022856E-2</v>
      </c>
      <c r="AA105" s="38">
        <f t="shared" si="39"/>
        <v>7.5111676536977146E-2</v>
      </c>
      <c r="AB105" s="36">
        <f t="shared" si="40"/>
        <v>0.17883732508804082</v>
      </c>
      <c r="AC105" s="37">
        <f t="shared" si="41"/>
        <v>6.1161743805074748E-3</v>
      </c>
      <c r="AD105" s="41">
        <f t="shared" si="42"/>
        <v>4.8596718207448939</v>
      </c>
      <c r="AE105">
        <f t="shared" si="43"/>
        <v>1.2999999999999999E-2</v>
      </c>
      <c r="AF105" s="36">
        <f t="shared" si="44"/>
        <v>12.786746944457954</v>
      </c>
      <c r="AG105" s="36">
        <f>IF(AC105&lt;(1/(Sheet1!BL104^2)),MPM!AF105,Sheet1!BL104)</f>
        <v>12.786746944457954</v>
      </c>
      <c r="AH105" s="38">
        <f>IF(AG105=AF105,AB105,Sheet1!BK104)</f>
        <v>0.17883732508804082</v>
      </c>
      <c r="AI105" t="str">
        <f t="shared" si="45"/>
        <v>ok</v>
      </c>
      <c r="AJ105" s="37">
        <f t="shared" si="46"/>
        <v>6.1161743805074739E-3</v>
      </c>
      <c r="AK105" s="41">
        <f t="shared" si="47"/>
        <v>4.859671820744893</v>
      </c>
      <c r="AL105" s="42">
        <f t="shared" si="48"/>
        <v>99.999999999999986</v>
      </c>
    </row>
    <row r="106" spans="2:38">
      <c r="B106" s="36">
        <f t="shared" si="25"/>
        <v>101</v>
      </c>
      <c r="C106" s="36">
        <v>85</v>
      </c>
      <c r="D106" s="36">
        <v>0.42</v>
      </c>
      <c r="E106" s="36">
        <v>0.23</v>
      </c>
      <c r="F106" s="37">
        <v>2.82E-3</v>
      </c>
      <c r="G106" s="36">
        <v>3.3</v>
      </c>
      <c r="H106" s="36">
        <v>6.5</v>
      </c>
      <c r="I106" s="36">
        <v>3.82</v>
      </c>
      <c r="J106" s="36">
        <v>2.68</v>
      </c>
      <c r="K106" s="36">
        <v>27.4</v>
      </c>
      <c r="L106" s="42">
        <v>1000</v>
      </c>
      <c r="M106" s="43">
        <v>9.9999999999999995E-7</v>
      </c>
      <c r="N106" s="36">
        <f t="shared" si="26"/>
        <v>8.5000000000000006E-2</v>
      </c>
      <c r="O106" s="38">
        <f t="shared" si="27"/>
        <v>3.3E-3</v>
      </c>
      <c r="P106" s="38">
        <f t="shared" si="28"/>
        <v>6.4999999999999997E-3</v>
      </c>
      <c r="Q106" s="36">
        <f t="shared" si="29"/>
        <v>0.87991718426501042</v>
      </c>
      <c r="R106" s="36">
        <f t="shared" si="30"/>
        <v>6.3627660000000006</v>
      </c>
      <c r="S106" s="38">
        <f t="shared" si="31"/>
        <v>0.10977272727272727</v>
      </c>
      <c r="T106" s="37">
        <f t="shared" si="32"/>
        <v>3.9221931003276499E-3</v>
      </c>
      <c r="U106" s="42">
        <f t="shared" si="33"/>
        <v>96590.909090909103</v>
      </c>
      <c r="V106" s="44">
        <f t="shared" si="34"/>
        <v>4.0606234450450958E-8</v>
      </c>
      <c r="W106" s="44">
        <f t="shared" si="35"/>
        <v>3.2484987560360767E-7</v>
      </c>
      <c r="X106" s="37">
        <f t="shared" si="36"/>
        <v>1.5167116986080122E-2</v>
      </c>
      <c r="Y106" s="44">
        <f t="shared" si="37"/>
        <v>46689.619190704354</v>
      </c>
      <c r="Z106" s="37">
        <f t="shared" si="38"/>
        <v>2.440823433362516E-2</v>
      </c>
      <c r="AA106" s="38">
        <f t="shared" si="39"/>
        <v>7.2191765666374849E-2</v>
      </c>
      <c r="AB106" s="36">
        <f t="shared" si="40"/>
        <v>0.17188515634851156</v>
      </c>
      <c r="AC106" s="37">
        <f t="shared" si="41"/>
        <v>6.1414778609255368E-3</v>
      </c>
      <c r="AD106" s="41">
        <f t="shared" si="42"/>
        <v>4.7550653422564944</v>
      </c>
      <c r="AE106">
        <f t="shared" si="43"/>
        <v>1.2999999999999999E-2</v>
      </c>
      <c r="AF106" s="36">
        <f t="shared" si="44"/>
        <v>12.760378441628905</v>
      </c>
      <c r="AG106" s="36">
        <f>IF(AC106&lt;(1/(Sheet1!BL105^2)),MPM!AF106,Sheet1!BL105)</f>
        <v>12.760378441628905</v>
      </c>
      <c r="AH106" s="38">
        <f>IF(AG106=AF106,AB106,Sheet1!BK105)</f>
        <v>0.17188515634851156</v>
      </c>
      <c r="AI106" t="str">
        <f t="shared" si="45"/>
        <v>ok</v>
      </c>
      <c r="AJ106" s="37">
        <f t="shared" si="46"/>
        <v>6.1414778609255359E-3</v>
      </c>
      <c r="AK106" s="41">
        <f t="shared" si="47"/>
        <v>4.7550653422564944</v>
      </c>
      <c r="AL106" s="42">
        <f t="shared" si="48"/>
        <v>100</v>
      </c>
    </row>
    <row r="107" spans="2:38">
      <c r="B107" s="36">
        <f t="shared" si="25"/>
        <v>102</v>
      </c>
      <c r="C107" s="36">
        <v>74.8</v>
      </c>
      <c r="D107" s="36">
        <v>0.42</v>
      </c>
      <c r="E107" s="36">
        <v>0.21099999999999999</v>
      </c>
      <c r="F107" s="37">
        <v>2.7699999999999999E-3</v>
      </c>
      <c r="G107" s="36">
        <v>3.3</v>
      </c>
      <c r="H107" s="36">
        <v>6.5</v>
      </c>
      <c r="I107" s="36">
        <v>3.82</v>
      </c>
      <c r="J107" s="36">
        <v>2.68</v>
      </c>
      <c r="K107" s="36">
        <v>18.100000000000001</v>
      </c>
      <c r="L107" s="42">
        <v>1000</v>
      </c>
      <c r="M107" s="43">
        <v>9.9999999999999995E-7</v>
      </c>
      <c r="N107" s="36">
        <f t="shared" si="26"/>
        <v>7.4799999999999991E-2</v>
      </c>
      <c r="O107" s="38">
        <f t="shared" si="27"/>
        <v>3.3E-3</v>
      </c>
      <c r="P107" s="38">
        <f t="shared" si="28"/>
        <v>6.4999999999999997E-3</v>
      </c>
      <c r="Q107" s="36">
        <f t="shared" si="29"/>
        <v>0.84405326111487244</v>
      </c>
      <c r="R107" s="36">
        <f t="shared" si="30"/>
        <v>5.7336506999999992</v>
      </c>
      <c r="S107" s="38">
        <f t="shared" si="31"/>
        <v>0.10524940617577197</v>
      </c>
      <c r="T107" s="37">
        <f t="shared" si="32"/>
        <v>4.0144747097122417E-3</v>
      </c>
      <c r="U107" s="42">
        <f t="shared" si="33"/>
        <v>88836.104513064129</v>
      </c>
      <c r="V107" s="44">
        <f t="shared" si="34"/>
        <v>4.5189675208258127E-8</v>
      </c>
      <c r="W107" s="44">
        <f t="shared" si="35"/>
        <v>3.6151740166606501E-7</v>
      </c>
      <c r="X107" s="37">
        <f t="shared" si="36"/>
        <v>1.5495026987443421E-2</v>
      </c>
      <c r="Y107" s="44">
        <f t="shared" si="37"/>
        <v>42861.08197291215</v>
      </c>
      <c r="Z107" s="37">
        <f t="shared" si="38"/>
        <v>2.1429188684939277E-2</v>
      </c>
      <c r="AA107" s="38">
        <f t="shared" si="39"/>
        <v>6.7190811315060717E-2</v>
      </c>
      <c r="AB107" s="36">
        <f t="shared" si="40"/>
        <v>0.15997812217871599</v>
      </c>
      <c r="AC107" s="37">
        <f t="shared" si="41"/>
        <v>6.1019643618811124E-3</v>
      </c>
      <c r="AD107" s="41">
        <f t="shared" si="42"/>
        <v>4.347197498647775</v>
      </c>
      <c r="AE107">
        <f t="shared" si="43"/>
        <v>1.2999999999999999E-2</v>
      </c>
      <c r="AF107" s="36">
        <f t="shared" si="44"/>
        <v>12.801626927406341</v>
      </c>
      <c r="AG107" s="36">
        <f>IF(AC107&lt;(1/(Sheet1!BL106^2)),MPM!AF107,Sheet1!BL106)</f>
        <v>12.801626927406341</v>
      </c>
      <c r="AH107" s="38">
        <f>IF(AG107=AF107,AB107,Sheet1!BK106)</f>
        <v>0.15997812217871599</v>
      </c>
      <c r="AI107" t="str">
        <f t="shared" si="45"/>
        <v>ok</v>
      </c>
      <c r="AJ107" s="37">
        <f t="shared" si="46"/>
        <v>6.1019643618811115E-3</v>
      </c>
      <c r="AK107" s="41">
        <f t="shared" si="47"/>
        <v>4.347197498647775</v>
      </c>
      <c r="AL107" s="42">
        <f t="shared" si="48"/>
        <v>100</v>
      </c>
    </row>
    <row r="108" spans="2:38">
      <c r="B108" s="36">
        <f t="shared" si="25"/>
        <v>103</v>
      </c>
      <c r="C108" s="36">
        <v>67.8</v>
      </c>
      <c r="D108" s="36">
        <v>0.42</v>
      </c>
      <c r="E108" s="36">
        <v>0.19900000000000001</v>
      </c>
      <c r="F108" s="37">
        <v>2.7599999999999999E-3</v>
      </c>
      <c r="G108" s="36">
        <v>3.3</v>
      </c>
      <c r="H108" s="36">
        <v>6.5</v>
      </c>
      <c r="I108" s="36">
        <v>3.82</v>
      </c>
      <c r="J108" s="36">
        <v>2.68</v>
      </c>
      <c r="K108" s="36">
        <v>12.5</v>
      </c>
      <c r="L108" s="42">
        <v>1000</v>
      </c>
      <c r="M108" s="43">
        <v>9.9999999999999995E-7</v>
      </c>
      <c r="N108" s="36">
        <f t="shared" si="26"/>
        <v>6.7799999999999999E-2</v>
      </c>
      <c r="O108" s="38">
        <f t="shared" si="27"/>
        <v>3.3E-3</v>
      </c>
      <c r="P108" s="38">
        <f t="shared" si="28"/>
        <v>6.4999999999999997E-3</v>
      </c>
      <c r="Q108" s="36">
        <f t="shared" si="29"/>
        <v>0.81119885139985637</v>
      </c>
      <c r="R108" s="36">
        <f t="shared" si="30"/>
        <v>5.3880444000000001</v>
      </c>
      <c r="S108" s="38">
        <f t="shared" si="31"/>
        <v>0.1021760391198044</v>
      </c>
      <c r="T108" s="37">
        <f t="shared" si="32"/>
        <v>4.2040947796408599E-3</v>
      </c>
      <c r="U108" s="42">
        <f t="shared" si="33"/>
        <v>82885.08557457212</v>
      </c>
      <c r="V108" s="44">
        <f t="shared" si="34"/>
        <v>5.0721969465283538E-8</v>
      </c>
      <c r="W108" s="44">
        <f t="shared" si="35"/>
        <v>4.0577575572226831E-7</v>
      </c>
      <c r="X108" s="37">
        <f t="shared" si="36"/>
        <v>1.5857098161372728E-2</v>
      </c>
      <c r="Y108" s="44">
        <f t="shared" si="37"/>
        <v>39078.476073928032</v>
      </c>
      <c r="Z108" s="37">
        <f t="shared" si="38"/>
        <v>1.9173145339867907E-2</v>
      </c>
      <c r="AA108" s="38">
        <f t="shared" si="39"/>
        <v>6.4406854660132101E-2</v>
      </c>
      <c r="AB108" s="36">
        <f t="shared" si="40"/>
        <v>0.15334965395269548</v>
      </c>
      <c r="AC108" s="37">
        <f t="shared" si="41"/>
        <v>6.3096640386141201E-3</v>
      </c>
      <c r="AD108" s="41">
        <f t="shared" si="42"/>
        <v>4.1520338905616017</v>
      </c>
      <c r="AE108">
        <f t="shared" si="43"/>
        <v>1.2999999999999999E-2</v>
      </c>
      <c r="AF108" s="36">
        <f t="shared" si="44"/>
        <v>12.589163739705207</v>
      </c>
      <c r="AG108" s="36">
        <f>IF(AC108&lt;(1/(Sheet1!BL107^2)),MPM!AF108,Sheet1!BL107)</f>
        <v>12.589163739705207</v>
      </c>
      <c r="AH108" s="38">
        <f>IF(AG108=AF108,AB108,Sheet1!BK107)</f>
        <v>0.15334965395269548</v>
      </c>
      <c r="AI108" t="str">
        <f t="shared" si="45"/>
        <v>ok</v>
      </c>
      <c r="AJ108" s="37">
        <f t="shared" si="46"/>
        <v>6.3096640386141193E-3</v>
      </c>
      <c r="AK108" s="41">
        <f t="shared" si="47"/>
        <v>4.1520338905616008</v>
      </c>
      <c r="AL108" s="42">
        <f t="shared" si="48"/>
        <v>99.999999999999972</v>
      </c>
    </row>
    <row r="109" spans="2:38">
      <c r="B109" s="36">
        <f t="shared" si="25"/>
        <v>104</v>
      </c>
      <c r="C109" s="36">
        <v>60.7</v>
      </c>
      <c r="D109" s="36">
        <v>0.42</v>
      </c>
      <c r="E109" s="36">
        <v>0.185</v>
      </c>
      <c r="F109" s="37">
        <v>2.7299999999999998E-3</v>
      </c>
      <c r="G109" s="36">
        <v>3.3</v>
      </c>
      <c r="H109" s="36">
        <v>6.5</v>
      </c>
      <c r="I109" s="36">
        <v>3.82</v>
      </c>
      <c r="J109" s="36">
        <v>2.68</v>
      </c>
      <c r="K109" s="36">
        <v>9.1999999999999993</v>
      </c>
      <c r="L109" s="42">
        <v>1000</v>
      </c>
      <c r="M109" s="43">
        <v>9.9999999999999995E-7</v>
      </c>
      <c r="N109" s="36">
        <f t="shared" si="26"/>
        <v>6.0700000000000004E-2</v>
      </c>
      <c r="O109" s="38">
        <f t="shared" si="27"/>
        <v>3.3E-3</v>
      </c>
      <c r="P109" s="38">
        <f t="shared" si="28"/>
        <v>6.4999999999999997E-3</v>
      </c>
      <c r="Q109" s="36">
        <f t="shared" si="29"/>
        <v>0.78120978120978135</v>
      </c>
      <c r="R109" s="36">
        <f t="shared" si="30"/>
        <v>4.9545404999999993</v>
      </c>
      <c r="S109" s="38">
        <f t="shared" si="31"/>
        <v>9.8354430379746824E-2</v>
      </c>
      <c r="T109" s="37">
        <f t="shared" si="32"/>
        <v>4.3160874685412871E-3</v>
      </c>
      <c r="U109" s="42">
        <f t="shared" si="33"/>
        <v>76835.443037974692</v>
      </c>
      <c r="V109" s="44">
        <f t="shared" si="34"/>
        <v>5.617313179814854E-8</v>
      </c>
      <c r="W109" s="44">
        <f t="shared" si="35"/>
        <v>4.4938505438518832E-7</v>
      </c>
      <c r="X109" s="37">
        <f t="shared" si="36"/>
        <v>1.6184162131635899E-2</v>
      </c>
      <c r="Y109" s="44">
        <f t="shared" si="37"/>
        <v>36014.019544503404</v>
      </c>
      <c r="Z109" s="37">
        <f t="shared" si="38"/>
        <v>1.7057117757577071E-2</v>
      </c>
      <c r="AA109" s="38">
        <f t="shared" si="39"/>
        <v>6.0642882242422924E-2</v>
      </c>
      <c r="AB109" s="36">
        <f t="shared" si="40"/>
        <v>0.14438781486291172</v>
      </c>
      <c r="AC109" s="37">
        <f t="shared" si="41"/>
        <v>6.3361704799034697E-3</v>
      </c>
      <c r="AD109" s="41">
        <f t="shared" si="42"/>
        <v>3.8668933861880985</v>
      </c>
      <c r="AE109">
        <f t="shared" si="43"/>
        <v>1.2999999999999999E-2</v>
      </c>
      <c r="AF109" s="36">
        <f t="shared" si="44"/>
        <v>12.562803681021672</v>
      </c>
      <c r="AG109" s="36">
        <f>IF(AC109&lt;(1/(Sheet1!BL108^2)),MPM!AF109,Sheet1!BL108)</f>
        <v>12.562803681021672</v>
      </c>
      <c r="AH109" s="38">
        <f>IF(AG109=AF109,AB109,Sheet1!BK108)</f>
        <v>0.14438781486291172</v>
      </c>
      <c r="AI109" t="str">
        <f t="shared" si="45"/>
        <v>ok</v>
      </c>
      <c r="AJ109" s="37">
        <f t="shared" si="46"/>
        <v>6.3361704799034697E-3</v>
      </c>
      <c r="AK109" s="41">
        <f t="shared" si="47"/>
        <v>3.8668933861880985</v>
      </c>
      <c r="AL109" s="42">
        <f t="shared" si="48"/>
        <v>100</v>
      </c>
    </row>
    <row r="110" spans="2:38">
      <c r="B110" s="36">
        <f t="shared" si="25"/>
        <v>105</v>
      </c>
      <c r="C110" s="36">
        <v>50</v>
      </c>
      <c r="D110" s="36">
        <v>0.42</v>
      </c>
      <c r="E110" s="36">
        <v>0.16300000000000001</v>
      </c>
      <c r="F110" s="37">
        <v>2.7200000000000002E-3</v>
      </c>
      <c r="G110" s="36">
        <v>3.3</v>
      </c>
      <c r="H110" s="36">
        <v>6.5</v>
      </c>
      <c r="I110" s="36">
        <v>3.82</v>
      </c>
      <c r="J110" s="36">
        <v>2.68</v>
      </c>
      <c r="K110" s="36">
        <v>3.7</v>
      </c>
      <c r="L110" s="42">
        <v>1000</v>
      </c>
      <c r="M110" s="43">
        <v>9.9999999999999995E-7</v>
      </c>
      <c r="N110" s="36">
        <f t="shared" si="26"/>
        <v>0.05</v>
      </c>
      <c r="O110" s="38">
        <f t="shared" si="27"/>
        <v>3.3E-3</v>
      </c>
      <c r="P110" s="38">
        <f t="shared" si="28"/>
        <v>6.4999999999999997E-3</v>
      </c>
      <c r="Q110" s="36">
        <f t="shared" si="29"/>
        <v>0.7303534910896875</v>
      </c>
      <c r="R110" s="36">
        <f t="shared" si="30"/>
        <v>4.3493615999999999</v>
      </c>
      <c r="S110" s="38">
        <f t="shared" si="31"/>
        <v>9.1769436997319029E-2</v>
      </c>
      <c r="T110" s="37">
        <f t="shared" si="32"/>
        <v>4.5906032485278471E-3</v>
      </c>
      <c r="U110" s="42">
        <f t="shared" si="33"/>
        <v>67024.12868632708</v>
      </c>
      <c r="V110" s="44">
        <f t="shared" si="34"/>
        <v>6.8491800468035471E-8</v>
      </c>
      <c r="W110" s="44">
        <f t="shared" si="35"/>
        <v>5.4793440374428377E-7</v>
      </c>
      <c r="X110" s="37">
        <f t="shared" si="36"/>
        <v>1.683884151963444E-2</v>
      </c>
      <c r="Y110" s="44">
        <f t="shared" si="37"/>
        <v>30731.491588348923</v>
      </c>
      <c r="Z110" s="37">
        <f t="shared" si="38"/>
        <v>1.3717284000182153E-2</v>
      </c>
      <c r="AA110" s="38">
        <f t="shared" si="39"/>
        <v>5.4742715999817837E-2</v>
      </c>
      <c r="AB110" s="36">
        <f t="shared" si="40"/>
        <v>0.1303397999995663</v>
      </c>
      <c r="AC110" s="37">
        <f t="shared" si="41"/>
        <v>6.5200172178015965E-3</v>
      </c>
      <c r="AD110" s="41">
        <f t="shared" si="42"/>
        <v>3.4778829513484282</v>
      </c>
      <c r="AE110">
        <f t="shared" si="43"/>
        <v>1.2999999999999999E-2</v>
      </c>
      <c r="AF110" s="36">
        <f t="shared" si="44"/>
        <v>12.384418763279632</v>
      </c>
      <c r="AG110" s="36">
        <f>IF(AC110&lt;(1/(Sheet1!BL109^2)),MPM!AF110,Sheet1!BL109)</f>
        <v>12.384418763279632</v>
      </c>
      <c r="AH110" s="38">
        <f>IF(AG110=AF110,AB110,Sheet1!BK109)</f>
        <v>0.1303397999995663</v>
      </c>
      <c r="AI110" t="str">
        <f t="shared" si="45"/>
        <v>ok</v>
      </c>
      <c r="AJ110" s="37">
        <f t="shared" si="46"/>
        <v>6.5200172178015983E-3</v>
      </c>
      <c r="AK110" s="41">
        <f t="shared" si="47"/>
        <v>3.4778829513484291</v>
      </c>
      <c r="AL110" s="42">
        <f t="shared" si="48"/>
        <v>100.00000000000001</v>
      </c>
    </row>
    <row r="111" spans="2:38">
      <c r="B111" s="36">
        <f t="shared" si="25"/>
        <v>106</v>
      </c>
      <c r="C111" s="36">
        <v>40</v>
      </c>
      <c r="D111" s="36">
        <v>0.42</v>
      </c>
      <c r="E111" s="36">
        <v>0.14000000000000001</v>
      </c>
      <c r="F111" s="37">
        <v>2.7400000000000002E-3</v>
      </c>
      <c r="G111" s="36">
        <v>3.3</v>
      </c>
      <c r="H111" s="36">
        <v>6.5</v>
      </c>
      <c r="I111" s="36">
        <v>3.82</v>
      </c>
      <c r="J111" s="36">
        <v>2.68</v>
      </c>
      <c r="K111" s="36">
        <v>1.5</v>
      </c>
      <c r="L111" s="42">
        <v>1000</v>
      </c>
      <c r="M111" s="43">
        <v>9.9999999999999995E-7</v>
      </c>
      <c r="N111" s="36">
        <f t="shared" si="26"/>
        <v>0.04</v>
      </c>
      <c r="O111" s="38">
        <f t="shared" si="27"/>
        <v>3.3E-3</v>
      </c>
      <c r="P111" s="38">
        <f t="shared" si="28"/>
        <v>6.4999999999999997E-3</v>
      </c>
      <c r="Q111" s="36">
        <f t="shared" si="29"/>
        <v>0.68027210884353739</v>
      </c>
      <c r="R111" s="36">
        <f t="shared" si="30"/>
        <v>3.7631160000000006</v>
      </c>
      <c r="S111" s="38">
        <f t="shared" si="31"/>
        <v>8.4000000000000019E-2</v>
      </c>
      <c r="T111" s="37">
        <f t="shared" si="32"/>
        <v>4.8790304186400015E-3</v>
      </c>
      <c r="U111" s="42">
        <f t="shared" si="33"/>
        <v>57142.857142857159</v>
      </c>
      <c r="V111" s="44">
        <f t="shared" si="34"/>
        <v>8.5383032326199999E-8</v>
      </c>
      <c r="W111" s="44">
        <f t="shared" si="35"/>
        <v>6.8306425860959999E-7</v>
      </c>
      <c r="X111" s="37">
        <f t="shared" si="36"/>
        <v>1.7597817434755209E-2</v>
      </c>
      <c r="Y111" s="44">
        <f t="shared" si="37"/>
        <v>25763.048224154125</v>
      </c>
      <c r="Z111" s="37">
        <f t="shared" si="38"/>
        <v>1.0604070649061839E-2</v>
      </c>
      <c r="AA111" s="38">
        <f t="shared" si="39"/>
        <v>4.8195929350938166E-2</v>
      </c>
      <c r="AB111" s="36">
        <f t="shared" si="40"/>
        <v>0.11475221274032897</v>
      </c>
      <c r="AC111" s="37">
        <f t="shared" si="41"/>
        <v>6.6652325781704014E-3</v>
      </c>
      <c r="AD111" s="41">
        <f t="shared" si="42"/>
        <v>3.0844706271323994</v>
      </c>
      <c r="AE111">
        <f t="shared" si="43"/>
        <v>1.2999999999999999E-2</v>
      </c>
      <c r="AF111" s="36">
        <f t="shared" si="44"/>
        <v>12.248766220877821</v>
      </c>
      <c r="AG111" s="36">
        <f>IF(AC111&lt;(1/(Sheet1!BL110^2)),MPM!AF111,Sheet1!BL110)</f>
        <v>12.248766220877821</v>
      </c>
      <c r="AH111" s="38">
        <f>IF(AG111=AF111,AB111,Sheet1!BK110)</f>
        <v>0.11475221274032897</v>
      </c>
      <c r="AI111" t="str">
        <f t="shared" si="45"/>
        <v>ok</v>
      </c>
      <c r="AJ111" s="37">
        <f t="shared" si="46"/>
        <v>6.6652325781704014E-3</v>
      </c>
      <c r="AK111" s="41">
        <f t="shared" si="47"/>
        <v>3.0844706271323994</v>
      </c>
      <c r="AL111" s="42">
        <f t="shared" si="48"/>
        <v>99.999999999999986</v>
      </c>
    </row>
    <row r="112" spans="2:38">
      <c r="B112" s="36">
        <f t="shared" si="25"/>
        <v>107</v>
      </c>
      <c r="C112" s="36">
        <v>60.7</v>
      </c>
      <c r="D112" s="36">
        <v>0.42</v>
      </c>
      <c r="E112" s="36">
        <v>0.184</v>
      </c>
      <c r="F112" s="37">
        <v>2.7100000000000002E-3</v>
      </c>
      <c r="G112" s="36">
        <v>3.3</v>
      </c>
      <c r="H112" s="36">
        <v>6.5</v>
      </c>
      <c r="I112" s="36">
        <v>3.82</v>
      </c>
      <c r="J112" s="36">
        <v>2.68</v>
      </c>
      <c r="K112" s="36">
        <v>8.1999999999999993</v>
      </c>
      <c r="L112" s="42">
        <v>1000</v>
      </c>
      <c r="M112" s="43">
        <v>9.9999999999999995E-7</v>
      </c>
      <c r="N112" s="36">
        <f t="shared" si="26"/>
        <v>6.0700000000000004E-2</v>
      </c>
      <c r="O112" s="38">
        <f t="shared" si="27"/>
        <v>3.3E-3</v>
      </c>
      <c r="P112" s="38">
        <f t="shared" si="28"/>
        <v>6.4999999999999997E-3</v>
      </c>
      <c r="Q112" s="36">
        <f t="shared" si="29"/>
        <v>0.78545548654244313</v>
      </c>
      <c r="R112" s="36">
        <f t="shared" si="30"/>
        <v>4.8916583999999999</v>
      </c>
      <c r="S112" s="38">
        <f t="shared" si="31"/>
        <v>9.8071065989847717E-2</v>
      </c>
      <c r="T112" s="37">
        <f t="shared" si="32"/>
        <v>4.2260636989739234E-3</v>
      </c>
      <c r="U112" s="42">
        <f t="shared" si="33"/>
        <v>77030.456852791889</v>
      </c>
      <c r="V112" s="44">
        <f t="shared" si="34"/>
        <v>5.4862243736267732E-8</v>
      </c>
      <c r="W112" s="44">
        <f t="shared" si="35"/>
        <v>4.3889794989014186E-7</v>
      </c>
      <c r="X112" s="37">
        <f t="shared" si="36"/>
        <v>1.6107910431770033E-2</v>
      </c>
      <c r="Y112" s="44">
        <f t="shared" si="37"/>
        <v>36700.810372438318</v>
      </c>
      <c r="Z112" s="37">
        <f t="shared" si="38"/>
        <v>1.7194988702045933E-2</v>
      </c>
      <c r="AA112" s="38">
        <f t="shared" si="39"/>
        <v>6.0085011297954072E-2</v>
      </c>
      <c r="AB112" s="36">
        <f t="shared" si="40"/>
        <v>0.14305955070941445</v>
      </c>
      <c r="AC112" s="37">
        <f t="shared" si="41"/>
        <v>6.1647007498334058E-3</v>
      </c>
      <c r="AD112" s="41">
        <f t="shared" si="42"/>
        <v>3.8032524615648553</v>
      </c>
      <c r="AE112">
        <f t="shared" si="43"/>
        <v>1.2999999999999999E-2</v>
      </c>
      <c r="AF112" s="36">
        <f t="shared" si="44"/>
        <v>12.736321113714181</v>
      </c>
      <c r="AG112" s="36">
        <f>IF(AC112&lt;(1/(Sheet1!BL111^2)),MPM!AF112,Sheet1!BL111)</f>
        <v>12.736321113714181</v>
      </c>
      <c r="AH112" s="38">
        <f>IF(AG112=AF112,AB112,Sheet1!BK111)</f>
        <v>0.14305955070941445</v>
      </c>
      <c r="AI112" t="str">
        <f t="shared" si="45"/>
        <v>ok</v>
      </c>
      <c r="AJ112" s="37">
        <f t="shared" si="46"/>
        <v>6.1647007498334058E-3</v>
      </c>
      <c r="AK112" s="41">
        <f t="shared" si="47"/>
        <v>3.8032524615648553</v>
      </c>
      <c r="AL112" s="42">
        <f t="shared" si="48"/>
        <v>100</v>
      </c>
    </row>
    <row r="113" spans="2:38">
      <c r="B113" s="36">
        <f t="shared" si="25"/>
        <v>108</v>
      </c>
      <c r="C113" s="36">
        <v>41.1</v>
      </c>
      <c r="D113" s="36">
        <v>0.42</v>
      </c>
      <c r="E113" s="36">
        <v>0.14000000000000001</v>
      </c>
      <c r="F113" s="37">
        <v>2.7299999999999998E-3</v>
      </c>
      <c r="G113" s="36">
        <v>2.7</v>
      </c>
      <c r="H113" s="36">
        <v>6</v>
      </c>
      <c r="I113" s="36">
        <v>3.53</v>
      </c>
      <c r="J113" s="36">
        <v>2.68</v>
      </c>
      <c r="K113" s="36">
        <v>4.9000000000000004</v>
      </c>
      <c r="L113" s="42">
        <v>1000</v>
      </c>
      <c r="M113" s="43">
        <v>9.9999999999999995E-7</v>
      </c>
      <c r="N113" s="36">
        <f t="shared" si="26"/>
        <v>4.1100000000000005E-2</v>
      </c>
      <c r="O113" s="38">
        <f t="shared" si="27"/>
        <v>2.7000000000000001E-3</v>
      </c>
      <c r="P113" s="38">
        <f t="shared" si="28"/>
        <v>6.0000000000000001E-3</v>
      </c>
      <c r="Q113" s="36">
        <f t="shared" si="29"/>
        <v>0.69897959183673475</v>
      </c>
      <c r="R113" s="36">
        <f t="shared" si="30"/>
        <v>3.7493819999999998</v>
      </c>
      <c r="S113" s="38">
        <f t="shared" si="31"/>
        <v>8.4000000000000019E-2</v>
      </c>
      <c r="T113" s="37">
        <f t="shared" si="32"/>
        <v>4.6044943975278385E-3</v>
      </c>
      <c r="U113" s="42">
        <f t="shared" si="33"/>
        <v>58714.285714285732</v>
      </c>
      <c r="V113" s="44">
        <f t="shared" si="34"/>
        <v>7.8422045699987488E-8</v>
      </c>
      <c r="W113" s="44">
        <f t="shared" si="35"/>
        <v>6.2737636559989991E-7</v>
      </c>
      <c r="X113" s="37">
        <f t="shared" si="36"/>
        <v>1.7301036660692416E-2</v>
      </c>
      <c r="Y113" s="44">
        <f t="shared" si="37"/>
        <v>27576.806538048484</v>
      </c>
      <c r="Z113" s="37">
        <f t="shared" si="38"/>
        <v>1.1046825859913146E-2</v>
      </c>
      <c r="AA113" s="38">
        <f t="shared" si="39"/>
        <v>4.7753174140086861E-2</v>
      </c>
      <c r="AB113" s="36">
        <f t="shared" si="40"/>
        <v>0.11369803366687348</v>
      </c>
      <c r="AC113" s="37">
        <f t="shared" si="41"/>
        <v>6.2324042741553638E-3</v>
      </c>
      <c r="AD113" s="41">
        <f t="shared" si="42"/>
        <v>3.0449811490426395</v>
      </c>
      <c r="AE113">
        <f t="shared" si="43"/>
        <v>1.2E-2</v>
      </c>
      <c r="AF113" s="36">
        <f t="shared" si="44"/>
        <v>12.666953948079488</v>
      </c>
      <c r="AG113" s="36">
        <f>IF(AC113&lt;(1/(Sheet1!BL112^2)),MPM!AF113,Sheet1!BL112)</f>
        <v>12.666953948079488</v>
      </c>
      <c r="AH113" s="38">
        <f>IF(AG113=AF113,AB113,Sheet1!BK112)</f>
        <v>0.11369803366687348</v>
      </c>
      <c r="AI113" t="str">
        <f t="shared" si="45"/>
        <v>ok</v>
      </c>
      <c r="AJ113" s="37">
        <f t="shared" si="46"/>
        <v>6.2324042741553655E-3</v>
      </c>
      <c r="AK113" s="41">
        <f t="shared" si="47"/>
        <v>3.0449811490426404</v>
      </c>
      <c r="AL113" s="42">
        <f t="shared" si="48"/>
        <v>100.00000000000001</v>
      </c>
    </row>
    <row r="114" spans="2:38">
      <c r="B114" s="36">
        <f t="shared" si="25"/>
        <v>109</v>
      </c>
      <c r="C114" s="36">
        <v>62.1</v>
      </c>
      <c r="D114" s="36">
        <v>0.42</v>
      </c>
      <c r="E114" s="36">
        <v>0.188</v>
      </c>
      <c r="F114" s="37">
        <v>2.7100000000000002E-3</v>
      </c>
      <c r="G114" s="36">
        <v>4.03</v>
      </c>
      <c r="H114" s="36">
        <v>7.8</v>
      </c>
      <c r="I114" s="36">
        <v>4.59</v>
      </c>
      <c r="J114" s="36">
        <v>2.68</v>
      </c>
      <c r="K114" s="36">
        <v>3</v>
      </c>
      <c r="L114" s="42">
        <v>1000</v>
      </c>
      <c r="M114" s="43">
        <v>9.9999999999999995E-7</v>
      </c>
      <c r="N114" s="36">
        <f t="shared" si="26"/>
        <v>6.2100000000000002E-2</v>
      </c>
      <c r="O114" s="38">
        <f t="shared" si="27"/>
        <v>4.0300000000000006E-3</v>
      </c>
      <c r="P114" s="38">
        <f t="shared" si="28"/>
        <v>7.7999999999999996E-3</v>
      </c>
      <c r="Q114" s="36">
        <f t="shared" si="29"/>
        <v>0.78647416413373861</v>
      </c>
      <c r="R114" s="36">
        <f t="shared" si="30"/>
        <v>4.9979988000000004</v>
      </c>
      <c r="S114" s="38">
        <f t="shared" si="31"/>
        <v>9.919597989949748E-2</v>
      </c>
      <c r="T114" s="37">
        <f t="shared" si="32"/>
        <v>4.2634723339029105E-3</v>
      </c>
      <c r="U114" s="42">
        <f t="shared" si="33"/>
        <v>78015.075376884415</v>
      </c>
      <c r="V114" s="44">
        <f t="shared" si="34"/>
        <v>5.4649339416855348E-8</v>
      </c>
      <c r="W114" s="44">
        <f t="shared" si="35"/>
        <v>4.3719471533484278E-7</v>
      </c>
      <c r="X114" s="37">
        <f t="shared" si="36"/>
        <v>1.6095388962103791E-2</v>
      </c>
      <c r="Y114" s="44">
        <f t="shared" si="37"/>
        <v>36815.149857830518</v>
      </c>
      <c r="Z114" s="37">
        <f t="shared" si="38"/>
        <v>1.7600700668649528E-2</v>
      </c>
      <c r="AA114" s="38">
        <f t="shared" si="39"/>
        <v>6.1359299331350474E-2</v>
      </c>
      <c r="AB114" s="36">
        <f t="shared" si="40"/>
        <v>0.14609356983654875</v>
      </c>
      <c r="AC114" s="37">
        <f t="shared" si="41"/>
        <v>6.2791445156377117E-3</v>
      </c>
      <c r="AD114" s="41">
        <f t="shared" si="42"/>
        <v>3.8839121634616318</v>
      </c>
      <c r="AE114">
        <f t="shared" si="43"/>
        <v>1.5599999999999999E-2</v>
      </c>
      <c r="AF114" s="36">
        <f t="shared" si="44"/>
        <v>12.619721209483638</v>
      </c>
      <c r="AG114" s="36">
        <f>IF(AC114&lt;(1/(Sheet1!BL113^2)),MPM!AF114,Sheet1!BL113)</f>
        <v>12.619721209483638</v>
      </c>
      <c r="AH114" s="38">
        <f>IF(AG114=AF114,AB114,Sheet1!BK113)</f>
        <v>0.14609356983654875</v>
      </c>
      <c r="AI114" t="str">
        <f t="shared" si="45"/>
        <v>ok</v>
      </c>
      <c r="AJ114" s="37">
        <f t="shared" si="46"/>
        <v>6.2791445156377109E-3</v>
      </c>
      <c r="AK114" s="41">
        <f t="shared" si="47"/>
        <v>3.8839121634616314</v>
      </c>
      <c r="AL114" s="42">
        <f t="shared" si="48"/>
        <v>100</v>
      </c>
    </row>
    <row r="115" spans="2:38">
      <c r="B115" s="36">
        <f t="shared" si="25"/>
        <v>110</v>
      </c>
      <c r="C115" s="36">
        <v>43.1</v>
      </c>
      <c r="D115" s="36">
        <v>0.42</v>
      </c>
      <c r="E115" s="36">
        <v>0.14699999999999999</v>
      </c>
      <c r="F115" s="37">
        <v>2.66E-3</v>
      </c>
      <c r="G115" s="36">
        <v>4.03</v>
      </c>
      <c r="H115" s="36">
        <v>7.8</v>
      </c>
      <c r="I115" s="36">
        <v>4.59</v>
      </c>
      <c r="J115" s="36">
        <v>2.68</v>
      </c>
      <c r="K115" s="36">
        <v>0.2</v>
      </c>
      <c r="L115" s="42">
        <v>1000</v>
      </c>
      <c r="M115" s="43">
        <v>9.9999999999999995E-7</v>
      </c>
      <c r="N115" s="36">
        <f t="shared" si="26"/>
        <v>4.3099999999999999E-2</v>
      </c>
      <c r="O115" s="38">
        <f t="shared" si="27"/>
        <v>4.0300000000000006E-3</v>
      </c>
      <c r="P115" s="38">
        <f t="shared" si="28"/>
        <v>7.7999999999999996E-3</v>
      </c>
      <c r="Q115" s="36">
        <f t="shared" si="29"/>
        <v>0.6980887593132491</v>
      </c>
      <c r="R115" s="36">
        <f t="shared" si="30"/>
        <v>3.8359061999999997</v>
      </c>
      <c r="S115" s="38">
        <f t="shared" si="31"/>
        <v>8.6470588235294119E-2</v>
      </c>
      <c r="T115" s="37">
        <f t="shared" si="32"/>
        <v>4.6301788554271731E-3</v>
      </c>
      <c r="U115" s="42">
        <f t="shared" si="33"/>
        <v>60364.145658263311</v>
      </c>
      <c r="V115" s="44">
        <f t="shared" si="34"/>
        <v>7.6704123034222771E-8</v>
      </c>
      <c r="W115" s="44">
        <f t="shared" si="35"/>
        <v>6.1363298427378217E-7</v>
      </c>
      <c r="X115" s="37">
        <f t="shared" si="36"/>
        <v>1.722456389002805E-2</v>
      </c>
      <c r="Y115" s="44">
        <f t="shared" si="37"/>
        <v>28069.814256176025</v>
      </c>
      <c r="Z115" s="37">
        <f t="shared" si="38"/>
        <v>1.182159901762957E-2</v>
      </c>
      <c r="AA115" s="38">
        <f t="shared" si="39"/>
        <v>4.9918400982370423E-2</v>
      </c>
      <c r="AB115" s="36">
        <f t="shared" si="40"/>
        <v>0.11885333567231053</v>
      </c>
      <c r="AC115" s="37">
        <f t="shared" si="41"/>
        <v>6.36415471384874E-3</v>
      </c>
      <c r="AD115" s="41">
        <f t="shared" si="42"/>
        <v>3.1014302530346747</v>
      </c>
      <c r="AE115">
        <f t="shared" si="43"/>
        <v>1.5599999999999999E-2</v>
      </c>
      <c r="AF115" s="36">
        <f t="shared" si="44"/>
        <v>12.535152895307258</v>
      </c>
      <c r="AG115" s="36">
        <f>IF(AC115&lt;(1/(Sheet1!BL114^2)),MPM!AF115,Sheet1!BL114)</f>
        <v>12.535152895307258</v>
      </c>
      <c r="AH115" s="38">
        <f>IF(AG115=AF115,AB115,Sheet1!BK114)</f>
        <v>0.11885333567231053</v>
      </c>
      <c r="AI115" t="str">
        <f t="shared" si="45"/>
        <v>ok</v>
      </c>
      <c r="AJ115" s="37">
        <f t="shared" si="46"/>
        <v>6.3641547138487391E-3</v>
      </c>
      <c r="AK115" s="41">
        <f t="shared" si="47"/>
        <v>3.1014302530346742</v>
      </c>
      <c r="AL115" s="42">
        <f t="shared" si="48"/>
        <v>99.999999999999986</v>
      </c>
    </row>
    <row r="116" spans="2:38">
      <c r="B116" s="36">
        <f t="shared" si="25"/>
        <v>111</v>
      </c>
      <c r="C116" s="36">
        <v>92.6</v>
      </c>
      <c r="D116" s="36">
        <v>0.42</v>
      </c>
      <c r="E116" s="36">
        <v>0.24399999999999999</v>
      </c>
      <c r="F116" s="37">
        <v>2.81E-3</v>
      </c>
      <c r="G116" s="36">
        <v>4.03</v>
      </c>
      <c r="H116" s="36">
        <v>7.8</v>
      </c>
      <c r="I116" s="36">
        <v>4.59</v>
      </c>
      <c r="J116" s="36">
        <v>2.68</v>
      </c>
      <c r="K116" s="36">
        <v>17.3</v>
      </c>
      <c r="L116" s="42">
        <v>1000</v>
      </c>
      <c r="M116" s="43">
        <v>9.9999999999999995E-7</v>
      </c>
      <c r="N116" s="36">
        <f t="shared" si="26"/>
        <v>9.2599999999999988E-2</v>
      </c>
      <c r="O116" s="38">
        <f t="shared" si="27"/>
        <v>4.0300000000000006E-3</v>
      </c>
      <c r="P116" s="38">
        <f t="shared" si="28"/>
        <v>7.7999999999999996E-3</v>
      </c>
      <c r="Q116" s="36">
        <f t="shared" si="29"/>
        <v>0.90359094457455114</v>
      </c>
      <c r="R116" s="36">
        <f t="shared" si="30"/>
        <v>6.7261283999999995</v>
      </c>
      <c r="S116" s="38">
        <f t="shared" si="31"/>
        <v>0.11286343612334801</v>
      </c>
      <c r="T116" s="37">
        <f t="shared" si="32"/>
        <v>3.8105253538510786E-3</v>
      </c>
      <c r="U116" s="42">
        <f t="shared" si="33"/>
        <v>101982.37885462555</v>
      </c>
      <c r="V116" s="44">
        <f t="shared" si="34"/>
        <v>3.7364546666271913E-8</v>
      </c>
      <c r="W116" s="44">
        <f t="shared" si="35"/>
        <v>2.989163733301753E-7</v>
      </c>
      <c r="X116" s="37">
        <f t="shared" si="36"/>
        <v>1.4916826433811141E-2</v>
      </c>
      <c r="Y116" s="44">
        <f t="shared" si="37"/>
        <v>49903.00888380711</v>
      </c>
      <c r="Z116" s="37">
        <f t="shared" si="38"/>
        <v>2.6950987591806971E-2</v>
      </c>
      <c r="AA116" s="38">
        <f t="shared" si="39"/>
        <v>7.5529012408193014E-2</v>
      </c>
      <c r="AB116" s="36">
        <f t="shared" si="40"/>
        <v>0.17983098192426908</v>
      </c>
      <c r="AC116" s="37">
        <f t="shared" si="41"/>
        <v>6.0715014496054752E-3</v>
      </c>
      <c r="AD116" s="41">
        <f t="shared" si="42"/>
        <v>4.957238830822595</v>
      </c>
      <c r="AE116">
        <f t="shared" si="43"/>
        <v>1.5599999999999999E-2</v>
      </c>
      <c r="AF116" s="36">
        <f t="shared" si="44"/>
        <v>12.833701934183752</v>
      </c>
      <c r="AG116" s="36">
        <f>IF(AC116&lt;(1/(Sheet1!BL115^2)),MPM!AF116,Sheet1!BL115)</f>
        <v>12.833701934183752</v>
      </c>
      <c r="AH116" s="38">
        <f>IF(AG116=AF116,AB116,Sheet1!BK115)</f>
        <v>0.17983098192426908</v>
      </c>
      <c r="AI116" t="str">
        <f t="shared" si="45"/>
        <v>ok</v>
      </c>
      <c r="AJ116" s="37">
        <f t="shared" si="46"/>
        <v>6.0715014496054761E-3</v>
      </c>
      <c r="AK116" s="41">
        <f t="shared" si="47"/>
        <v>4.957238830822595</v>
      </c>
      <c r="AL116" s="42">
        <f t="shared" si="48"/>
        <v>100</v>
      </c>
    </row>
    <row r="117" spans="2:38">
      <c r="B117" s="36">
        <f t="shared" si="25"/>
        <v>112</v>
      </c>
      <c r="C117" s="36">
        <v>50</v>
      </c>
      <c r="D117" s="36">
        <v>0.42</v>
      </c>
      <c r="E117" s="36">
        <v>0.16400000000000001</v>
      </c>
      <c r="F117" s="37">
        <v>2.6700000000000001E-3</v>
      </c>
      <c r="G117" s="36">
        <v>4.03</v>
      </c>
      <c r="H117" s="36">
        <v>7.8</v>
      </c>
      <c r="I117" s="36">
        <v>4.59</v>
      </c>
      <c r="J117" s="36">
        <v>2.68</v>
      </c>
      <c r="K117" s="36">
        <v>0.5</v>
      </c>
      <c r="L117" s="42">
        <v>1000</v>
      </c>
      <c r="M117" s="43">
        <v>9.9999999999999995E-7</v>
      </c>
      <c r="N117" s="36">
        <f t="shared" si="26"/>
        <v>0.05</v>
      </c>
      <c r="O117" s="38">
        <f t="shared" si="27"/>
        <v>4.0300000000000006E-3</v>
      </c>
      <c r="P117" s="38">
        <f t="shared" si="28"/>
        <v>7.7999999999999996E-3</v>
      </c>
      <c r="Q117" s="36">
        <f t="shared" si="29"/>
        <v>0.72590011614401861</v>
      </c>
      <c r="R117" s="36">
        <f t="shared" si="30"/>
        <v>4.2956028000000002</v>
      </c>
      <c r="S117" s="38">
        <f t="shared" si="31"/>
        <v>9.2085561497326204E-2</v>
      </c>
      <c r="T117" s="37">
        <f t="shared" si="32"/>
        <v>4.5773916974049056E-3</v>
      </c>
      <c r="U117" s="42">
        <f t="shared" si="33"/>
        <v>66844.919786096259</v>
      </c>
      <c r="V117" s="44">
        <f t="shared" si="34"/>
        <v>6.847777979317738E-8</v>
      </c>
      <c r="W117" s="44">
        <f t="shared" si="35"/>
        <v>5.4782223834541904E-7</v>
      </c>
      <c r="X117" s="37">
        <f t="shared" si="36"/>
        <v>1.683815206117531E-2</v>
      </c>
      <c r="Y117" s="44">
        <f t="shared" si="37"/>
        <v>30736.525249561571</v>
      </c>
      <c r="Z117" s="37">
        <f t="shared" si="38"/>
        <v>1.3888384996285093E-2</v>
      </c>
      <c r="AA117" s="38">
        <f t="shared" si="39"/>
        <v>5.4991615003714904E-2</v>
      </c>
      <c r="AB117" s="36">
        <f t="shared" si="40"/>
        <v>0.13093241667551167</v>
      </c>
      <c r="AC117" s="37">
        <f t="shared" si="41"/>
        <v>6.5083922741682905E-3</v>
      </c>
      <c r="AD117" s="41">
        <f t="shared" si="42"/>
        <v>3.4294735102566754</v>
      </c>
      <c r="AE117">
        <f t="shared" si="43"/>
        <v>1.5599999999999999E-2</v>
      </c>
      <c r="AF117" s="36">
        <f t="shared" si="44"/>
        <v>12.395474023493836</v>
      </c>
      <c r="AG117" s="36">
        <f>IF(AC117&lt;(1/(Sheet1!BL116^2)),MPM!AF117,Sheet1!BL116)</f>
        <v>12.395474023493836</v>
      </c>
      <c r="AH117" s="38">
        <f>IF(AG117=AF117,AB117,Sheet1!BK116)</f>
        <v>0.13093241667551167</v>
      </c>
      <c r="AI117" t="str">
        <f t="shared" si="45"/>
        <v>ok</v>
      </c>
      <c r="AJ117" s="37">
        <f t="shared" si="46"/>
        <v>6.5083922741682914E-3</v>
      </c>
      <c r="AK117" s="41">
        <f t="shared" si="47"/>
        <v>3.4294735102566758</v>
      </c>
      <c r="AL117" s="42">
        <f t="shared" si="48"/>
        <v>100</v>
      </c>
    </row>
    <row r="118" spans="2:38">
      <c r="B118" s="36">
        <f t="shared" si="25"/>
        <v>113</v>
      </c>
      <c r="C118" s="36">
        <v>21.4</v>
      </c>
      <c r="D118" s="36">
        <v>0.35399999999999998</v>
      </c>
      <c r="E118" s="36">
        <v>5.5E-2</v>
      </c>
      <c r="F118" s="37">
        <v>1.84E-2</v>
      </c>
      <c r="G118" s="36">
        <v>5.21</v>
      </c>
      <c r="H118" s="36">
        <v>5.21</v>
      </c>
      <c r="I118" s="36">
        <v>1</v>
      </c>
      <c r="J118" s="36">
        <v>4.22</v>
      </c>
      <c r="K118" s="36">
        <v>7</v>
      </c>
      <c r="L118" s="42">
        <v>1000</v>
      </c>
      <c r="M118" s="43">
        <v>9.9999999999999995E-7</v>
      </c>
      <c r="N118" s="36">
        <f t="shared" si="26"/>
        <v>2.1399999999999999E-2</v>
      </c>
      <c r="O118" s="38">
        <f t="shared" si="27"/>
        <v>5.2100000000000002E-3</v>
      </c>
      <c r="P118" s="38">
        <f t="shared" si="28"/>
        <v>5.2100000000000002E-3</v>
      </c>
      <c r="Q118" s="36">
        <f t="shared" si="29"/>
        <v>1.0991268618387262</v>
      </c>
      <c r="R118" s="36">
        <f t="shared" si="30"/>
        <v>9.927719999999999</v>
      </c>
      <c r="S118" s="38">
        <f t="shared" si="31"/>
        <v>4.1961206896551723E-2</v>
      </c>
      <c r="T118" s="37">
        <f t="shared" si="32"/>
        <v>6.2695902401598471E-3</v>
      </c>
      <c r="U118" s="42">
        <f t="shared" si="33"/>
        <v>46120.689655172413</v>
      </c>
      <c r="V118" s="44">
        <f t="shared" si="34"/>
        <v>1.3593877903897988E-7</v>
      </c>
      <c r="W118" s="44">
        <f t="shared" si="35"/>
        <v>1.087510232311839E-6</v>
      </c>
      <c r="X118" s="37">
        <f t="shared" si="36"/>
        <v>1.9313152331064013E-2</v>
      </c>
      <c r="Y118" s="44">
        <f t="shared" si="37"/>
        <v>17759.053438980467</v>
      </c>
      <c r="Z118" s="37">
        <f t="shared" si="38"/>
        <v>1.7773161098254423E-3</v>
      </c>
      <c r="AA118" s="38">
        <f t="shared" si="39"/>
        <v>1.7692683890174556E-2</v>
      </c>
      <c r="AB118" s="36">
        <f t="shared" si="40"/>
        <v>4.9979333023091967E-2</v>
      </c>
      <c r="AC118" s="37">
        <f t="shared" si="41"/>
        <v>7.4676102454294879E-3</v>
      </c>
      <c r="AD118" s="41">
        <f t="shared" si="42"/>
        <v>9.0214695280001926</v>
      </c>
      <c r="AE118">
        <f t="shared" si="43"/>
        <v>1.042E-2</v>
      </c>
      <c r="AF118" s="36">
        <f t="shared" si="44"/>
        <v>11.572020079694125</v>
      </c>
      <c r="AG118" s="36">
        <f>IF(AC118&lt;(1/(Sheet1!BL117^2)),MPM!AF118,Sheet1!BL117)</f>
        <v>11.572020079694125</v>
      </c>
      <c r="AH118" s="38">
        <f>IF(AG118=AF118,AB118,Sheet1!BK117)</f>
        <v>4.9979333023091967E-2</v>
      </c>
      <c r="AI118" t="str">
        <f t="shared" si="45"/>
        <v>ok</v>
      </c>
      <c r="AJ118" s="37">
        <f t="shared" si="46"/>
        <v>7.4676102454294879E-3</v>
      </c>
      <c r="AK118" s="41">
        <f t="shared" si="47"/>
        <v>9.0214695280001926</v>
      </c>
      <c r="AL118" s="42">
        <f t="shared" si="48"/>
        <v>100</v>
      </c>
    </row>
    <row r="119" spans="2:38">
      <c r="B119" s="36">
        <f t="shared" si="25"/>
        <v>114</v>
      </c>
      <c r="C119" s="36">
        <v>21.4</v>
      </c>
      <c r="D119" s="36">
        <v>0.35399999999999998</v>
      </c>
      <c r="E119" s="36">
        <v>5.8000000000000003E-2</v>
      </c>
      <c r="F119" s="37">
        <v>1.601E-2</v>
      </c>
      <c r="G119" s="36">
        <v>5.21</v>
      </c>
      <c r="H119" s="36">
        <v>5.21</v>
      </c>
      <c r="I119" s="36">
        <v>1</v>
      </c>
      <c r="J119" s="36">
        <v>4.22</v>
      </c>
      <c r="K119" s="36">
        <v>1.8</v>
      </c>
      <c r="L119" s="42">
        <v>1000</v>
      </c>
      <c r="M119" s="43">
        <v>9.9999999999999995E-7</v>
      </c>
      <c r="N119" s="36">
        <f t="shared" si="26"/>
        <v>2.1399999999999999E-2</v>
      </c>
      <c r="O119" s="38">
        <f t="shared" si="27"/>
        <v>5.2100000000000002E-3</v>
      </c>
      <c r="P119" s="38">
        <f t="shared" si="28"/>
        <v>5.2100000000000002E-3</v>
      </c>
      <c r="Q119" s="36">
        <f t="shared" si="29"/>
        <v>1.0422754724332748</v>
      </c>
      <c r="R119" s="36">
        <f t="shared" si="30"/>
        <v>9.1093697999999996</v>
      </c>
      <c r="S119" s="38">
        <f t="shared" si="31"/>
        <v>4.3685106382978726E-2</v>
      </c>
      <c r="T119" s="37">
        <f t="shared" si="32"/>
        <v>6.3158048356275935E-3</v>
      </c>
      <c r="U119" s="42">
        <f t="shared" si="33"/>
        <v>45531.914893617024</v>
      </c>
      <c r="V119" s="44">
        <f t="shared" si="34"/>
        <v>1.3871160153013872E-7</v>
      </c>
      <c r="W119" s="44">
        <f t="shared" si="35"/>
        <v>1.1096928122411097E-6</v>
      </c>
      <c r="X119" s="37">
        <f t="shared" si="36"/>
        <v>1.9391305575760614E-2</v>
      </c>
      <c r="Y119" s="44">
        <f t="shared" si="37"/>
        <v>17474.480650729263</v>
      </c>
      <c r="Z119" s="37">
        <f t="shared" si="38"/>
        <v>1.9448215074583971E-3</v>
      </c>
      <c r="AA119" s="38">
        <f t="shared" si="39"/>
        <v>1.8587178492541604E-2</v>
      </c>
      <c r="AB119" s="36">
        <f t="shared" si="40"/>
        <v>5.2506153933733347E-2</v>
      </c>
      <c r="AC119" s="37">
        <f t="shared" si="41"/>
        <v>7.5911139601594355E-3</v>
      </c>
      <c r="AD119" s="41">
        <f t="shared" si="42"/>
        <v>8.2465167751396855</v>
      </c>
      <c r="AE119">
        <f t="shared" si="43"/>
        <v>1.042E-2</v>
      </c>
      <c r="AF119" s="36">
        <f t="shared" si="44"/>
        <v>11.477498492096991</v>
      </c>
      <c r="AG119" s="36">
        <f>IF(AC119&lt;(1/(Sheet1!BL118^2)),MPM!AF119,Sheet1!BL118)</f>
        <v>11.477498492096991</v>
      </c>
      <c r="AH119" s="38">
        <f>IF(AG119=AF119,AB119,Sheet1!BK118)</f>
        <v>5.2506153933733347E-2</v>
      </c>
      <c r="AI119" t="str">
        <f t="shared" si="45"/>
        <v>ok</v>
      </c>
      <c r="AJ119" s="37">
        <f t="shared" si="46"/>
        <v>7.5911139601594364E-3</v>
      </c>
      <c r="AK119" s="41">
        <f t="shared" si="47"/>
        <v>8.2465167751396873</v>
      </c>
      <c r="AL119" s="42">
        <f t="shared" si="48"/>
        <v>100.00000000000001</v>
      </c>
    </row>
    <row r="120" spans="2:38">
      <c r="B120" s="36">
        <f t="shared" si="25"/>
        <v>115</v>
      </c>
      <c r="C120" s="36">
        <v>21.4</v>
      </c>
      <c r="D120" s="36">
        <v>0.35399999999999998</v>
      </c>
      <c r="E120" s="36">
        <v>5.2999999999999999E-2</v>
      </c>
      <c r="F120" s="37">
        <v>2.2699999999999998E-2</v>
      </c>
      <c r="G120" s="36">
        <v>5.21</v>
      </c>
      <c r="H120" s="36">
        <v>5.21</v>
      </c>
      <c r="I120" s="36">
        <v>1</v>
      </c>
      <c r="J120" s="36">
        <v>4.22</v>
      </c>
      <c r="K120" s="36">
        <v>22.4</v>
      </c>
      <c r="L120" s="42">
        <v>1000</v>
      </c>
      <c r="M120" s="43">
        <v>9.9999999999999995E-7</v>
      </c>
      <c r="N120" s="36">
        <f t="shared" si="26"/>
        <v>2.1399999999999999E-2</v>
      </c>
      <c r="O120" s="38">
        <f t="shared" si="27"/>
        <v>5.2100000000000002E-3</v>
      </c>
      <c r="P120" s="38">
        <f t="shared" si="28"/>
        <v>5.2100000000000002E-3</v>
      </c>
      <c r="Q120" s="36">
        <f t="shared" si="29"/>
        <v>1.1406033471911312</v>
      </c>
      <c r="R120" s="36">
        <f t="shared" si="30"/>
        <v>11.802410999999998</v>
      </c>
      <c r="S120" s="38">
        <f t="shared" si="31"/>
        <v>4.078695652173913E-2</v>
      </c>
      <c r="T120" s="37">
        <f t="shared" si="32"/>
        <v>6.9814700790100217E-3</v>
      </c>
      <c r="U120" s="42">
        <f t="shared" si="33"/>
        <v>46521.739130434791</v>
      </c>
      <c r="V120" s="44">
        <f t="shared" si="34"/>
        <v>1.5006898300675745E-7</v>
      </c>
      <c r="W120" s="44">
        <f t="shared" si="35"/>
        <v>1.2005518640540596E-6</v>
      </c>
      <c r="X120" s="37">
        <f t="shared" si="36"/>
        <v>1.9698931992862555E-2</v>
      </c>
      <c r="Y120" s="44">
        <f t="shared" si="37"/>
        <v>16408.230733441709</v>
      </c>
      <c r="Z120" s="37">
        <f t="shared" si="38"/>
        <v>1.5248705538415106E-3</v>
      </c>
      <c r="AA120" s="38">
        <f t="shared" si="39"/>
        <v>1.7237129446158485E-2</v>
      </c>
      <c r="AB120" s="36">
        <f t="shared" si="40"/>
        <v>4.8692456062594591E-2</v>
      </c>
      <c r="AC120" s="37">
        <f t="shared" si="41"/>
        <v>8.3346479871163302E-3</v>
      </c>
      <c r="AD120" s="41">
        <f t="shared" si="42"/>
        <v>10.843176963211004</v>
      </c>
      <c r="AE120">
        <f t="shared" si="43"/>
        <v>1.042E-2</v>
      </c>
      <c r="AF120" s="36">
        <f t="shared" si="44"/>
        <v>10.953587173687959</v>
      </c>
      <c r="AG120" s="36">
        <f>IF(AC120&lt;(1/(Sheet1!BL119^2)),MPM!AF120,Sheet1!BL119)</f>
        <v>10.953587173687959</v>
      </c>
      <c r="AH120" s="38">
        <f>IF(AG120=AF120,AB120,Sheet1!BK119)</f>
        <v>4.8692456062594591E-2</v>
      </c>
      <c r="AI120" t="str">
        <f t="shared" si="45"/>
        <v>ok</v>
      </c>
      <c r="AJ120" s="37">
        <f t="shared" si="46"/>
        <v>8.3346479871163285E-3</v>
      </c>
      <c r="AK120" s="41">
        <f t="shared" si="47"/>
        <v>10.843176963211</v>
      </c>
      <c r="AL120" s="42">
        <f t="shared" si="48"/>
        <v>99.999999999999972</v>
      </c>
    </row>
    <row r="121" spans="2:38">
      <c r="B121" s="36">
        <f t="shared" si="25"/>
        <v>116</v>
      </c>
      <c r="C121" s="36">
        <v>60.8</v>
      </c>
      <c r="D121" s="36">
        <v>0.35399999999999998</v>
      </c>
      <c r="E121" s="36">
        <v>0.14199999999999999</v>
      </c>
      <c r="F121" s="37">
        <v>8.2300000000000012E-3</v>
      </c>
      <c r="G121" s="36">
        <v>5.21</v>
      </c>
      <c r="H121" s="36">
        <v>5.21</v>
      </c>
      <c r="I121" s="36">
        <v>1</v>
      </c>
      <c r="J121" s="36">
        <v>4.22</v>
      </c>
      <c r="K121" s="36">
        <v>7.5</v>
      </c>
      <c r="L121" s="42">
        <v>1000</v>
      </c>
      <c r="M121" s="43">
        <v>9.9999999999999995E-7</v>
      </c>
      <c r="N121" s="36">
        <f t="shared" si="26"/>
        <v>6.08E-2</v>
      </c>
      <c r="O121" s="38">
        <f t="shared" si="27"/>
        <v>5.2100000000000002E-3</v>
      </c>
      <c r="P121" s="38">
        <f t="shared" si="28"/>
        <v>5.2100000000000002E-3</v>
      </c>
      <c r="Q121" s="36">
        <f t="shared" si="29"/>
        <v>1.2095169889392856</v>
      </c>
      <c r="R121" s="36">
        <f t="shared" si="30"/>
        <v>11.464554600000001</v>
      </c>
      <c r="S121" s="38">
        <f t="shared" si="31"/>
        <v>7.878996865203762E-2</v>
      </c>
      <c r="T121" s="37">
        <f t="shared" si="32"/>
        <v>4.3482632053499955E-3</v>
      </c>
      <c r="U121" s="42">
        <f t="shared" si="33"/>
        <v>95297.805642633262</v>
      </c>
      <c r="V121" s="44">
        <f t="shared" si="34"/>
        <v>4.5628156661402898E-8</v>
      </c>
      <c r="W121" s="44">
        <f t="shared" si="35"/>
        <v>3.6502525329122318E-7</v>
      </c>
      <c r="X121" s="37">
        <f t="shared" si="36"/>
        <v>1.5524981016006431E-2</v>
      </c>
      <c r="Y121" s="44">
        <f t="shared" si="37"/>
        <v>42531.251950451617</v>
      </c>
      <c r="Z121" s="37">
        <f t="shared" si="38"/>
        <v>9.9865282293563409E-3</v>
      </c>
      <c r="AA121" s="38">
        <f t="shared" si="39"/>
        <v>4.0281471770643652E-2</v>
      </c>
      <c r="AB121" s="36">
        <f t="shared" si="40"/>
        <v>0.1137894682786544</v>
      </c>
      <c r="AC121" s="37">
        <f t="shared" si="41"/>
        <v>6.2798166636866331E-3</v>
      </c>
      <c r="AD121" s="41">
        <f t="shared" si="42"/>
        <v>9.1869406477859261</v>
      </c>
      <c r="AE121">
        <f t="shared" si="43"/>
        <v>1.042E-2</v>
      </c>
      <c r="AF121" s="36">
        <f t="shared" si="44"/>
        <v>12.619045827666975</v>
      </c>
      <c r="AG121" s="36">
        <f>IF(AC121&lt;(1/(Sheet1!BL120^2)),MPM!AF121,Sheet1!BL120)</f>
        <v>12.619045827666975</v>
      </c>
      <c r="AH121" s="38">
        <f>IF(AG121=AF121,AB121,Sheet1!BK120)</f>
        <v>0.1137894682786544</v>
      </c>
      <c r="AI121" t="str">
        <f t="shared" si="45"/>
        <v>ok</v>
      </c>
      <c r="AJ121" s="37">
        <f t="shared" si="46"/>
        <v>6.2798166636866331E-3</v>
      </c>
      <c r="AK121" s="41">
        <f t="shared" si="47"/>
        <v>9.1869406477859261</v>
      </c>
      <c r="AL121" s="42">
        <f t="shared" si="48"/>
        <v>100</v>
      </c>
    </row>
    <row r="122" spans="2:38">
      <c r="B122" s="36">
        <f t="shared" si="25"/>
        <v>117</v>
      </c>
      <c r="C122" s="36">
        <v>60.8</v>
      </c>
      <c r="D122" s="36">
        <v>0.35399999999999998</v>
      </c>
      <c r="E122" s="36">
        <v>0.11700000000000001</v>
      </c>
      <c r="F122" s="37">
        <v>1.6539999999999999E-2</v>
      </c>
      <c r="G122" s="36">
        <v>5.21</v>
      </c>
      <c r="H122" s="36">
        <v>5.21</v>
      </c>
      <c r="I122" s="36">
        <v>1</v>
      </c>
      <c r="J122" s="36">
        <v>4.22</v>
      </c>
      <c r="K122" s="36">
        <v>125.3</v>
      </c>
      <c r="L122" s="42">
        <v>1000</v>
      </c>
      <c r="M122" s="43">
        <v>9.9999999999999995E-7</v>
      </c>
      <c r="N122" s="36">
        <f t="shared" si="26"/>
        <v>6.08E-2</v>
      </c>
      <c r="O122" s="38">
        <f t="shared" si="27"/>
        <v>5.2100000000000002E-3</v>
      </c>
      <c r="P122" s="38">
        <f t="shared" si="28"/>
        <v>5.2100000000000002E-3</v>
      </c>
      <c r="Q122" s="36">
        <f t="shared" si="29"/>
        <v>1.4679607899946883</v>
      </c>
      <c r="R122" s="36">
        <f t="shared" si="30"/>
        <v>18.984115799999998</v>
      </c>
      <c r="S122" s="38">
        <f t="shared" si="31"/>
        <v>7.0438775510204096E-2</v>
      </c>
      <c r="T122" s="37">
        <f t="shared" si="32"/>
        <v>5.3038031790782897E-3</v>
      </c>
      <c r="U122" s="42">
        <f t="shared" si="33"/>
        <v>103401.36054421772</v>
      </c>
      <c r="V122" s="44">
        <f t="shared" si="34"/>
        <v>5.1293359692401862E-8</v>
      </c>
      <c r="W122" s="44">
        <f t="shared" si="35"/>
        <v>4.1034687753921489E-7</v>
      </c>
      <c r="X122" s="37">
        <f t="shared" si="36"/>
        <v>1.5892664750265437E-2</v>
      </c>
      <c r="Y122" s="44">
        <f t="shared" si="37"/>
        <v>38729.829858999357</v>
      </c>
      <c r="Z122" s="37">
        <f t="shared" si="38"/>
        <v>6.1737208846284258E-3</v>
      </c>
      <c r="AA122" s="38">
        <f t="shared" si="39"/>
        <v>3.5244279115371577E-2</v>
      </c>
      <c r="AB122" s="36">
        <f t="shared" si="40"/>
        <v>9.9560110495399937E-2</v>
      </c>
      <c r="AC122" s="37">
        <f t="shared" si="41"/>
        <v>7.4965418795275999E-3</v>
      </c>
      <c r="AD122" s="41">
        <f t="shared" si="42"/>
        <v>16.154364672696307</v>
      </c>
      <c r="AE122">
        <f t="shared" si="43"/>
        <v>1.042E-2</v>
      </c>
      <c r="AF122" s="36">
        <f t="shared" si="44"/>
        <v>11.549668367100457</v>
      </c>
      <c r="AG122" s="36">
        <f>IF(AC122&lt;(1/(Sheet1!BL121^2)),MPM!AF122,Sheet1!BL121)</f>
        <v>11.736358014882265</v>
      </c>
      <c r="AH122" s="38">
        <f>IF(AG122=AF122,AB122,Sheet1!BK121)</f>
        <v>9.6417907103497957E-2</v>
      </c>
      <c r="AI122" t="str">
        <f t="shared" si="45"/>
        <v>ok</v>
      </c>
      <c r="AJ122" s="37">
        <f t="shared" si="46"/>
        <v>7.2599445192691528E-3</v>
      </c>
      <c r="AK122" s="41">
        <f t="shared" si="47"/>
        <v>15.644518919863255</v>
      </c>
      <c r="AL122" s="42">
        <f t="shared" si="48"/>
        <v>96.843913312822636</v>
      </c>
    </row>
    <row r="123" spans="2:38">
      <c r="B123" s="36">
        <f t="shared" si="25"/>
        <v>118</v>
      </c>
      <c r="C123" s="36">
        <v>60.8</v>
      </c>
      <c r="D123" s="36">
        <v>0.35399999999999998</v>
      </c>
      <c r="E123" s="36">
        <v>0.124</v>
      </c>
      <c r="F123" s="37">
        <v>1.268E-2</v>
      </c>
      <c r="G123" s="36">
        <v>5.21</v>
      </c>
      <c r="H123" s="36">
        <v>5.21</v>
      </c>
      <c r="I123" s="36">
        <v>1</v>
      </c>
      <c r="J123" s="36">
        <v>4.22</v>
      </c>
      <c r="K123" s="36">
        <v>63.2</v>
      </c>
      <c r="L123" s="42">
        <v>1000</v>
      </c>
      <c r="M123" s="43">
        <v>9.9999999999999995E-7</v>
      </c>
      <c r="N123" s="36">
        <f t="shared" si="26"/>
        <v>6.08E-2</v>
      </c>
      <c r="O123" s="38">
        <f t="shared" si="27"/>
        <v>5.2100000000000002E-3</v>
      </c>
      <c r="P123" s="38">
        <f t="shared" si="28"/>
        <v>5.2100000000000002E-3</v>
      </c>
      <c r="Q123" s="36">
        <f t="shared" si="29"/>
        <v>1.3850920357207948</v>
      </c>
      <c r="R123" s="36">
        <f t="shared" si="30"/>
        <v>15.424459200000001</v>
      </c>
      <c r="S123" s="38">
        <f t="shared" si="31"/>
        <v>7.2916943521594682E-2</v>
      </c>
      <c r="T123" s="37">
        <f t="shared" si="32"/>
        <v>4.7278038795334132E-3</v>
      </c>
      <c r="U123" s="42">
        <f t="shared" si="33"/>
        <v>100996.6777408638</v>
      </c>
      <c r="V123" s="44">
        <f t="shared" si="34"/>
        <v>4.6811479201959116E-8</v>
      </c>
      <c r="W123" s="44">
        <f t="shared" si="35"/>
        <v>3.7449183361567293E-7</v>
      </c>
      <c r="X123" s="37">
        <f t="shared" si="36"/>
        <v>1.5604683548802267E-2</v>
      </c>
      <c r="Y123" s="44">
        <f t="shared" si="37"/>
        <v>41668.955496681869</v>
      </c>
      <c r="Z123" s="37">
        <f t="shared" si="38"/>
        <v>7.4608045506516793E-3</v>
      </c>
      <c r="AA123" s="38">
        <f t="shared" si="39"/>
        <v>3.6435195449348319E-2</v>
      </c>
      <c r="AB123" s="36">
        <f t="shared" si="40"/>
        <v>0.10292428093036249</v>
      </c>
      <c r="AC123" s="37">
        <f t="shared" si="41"/>
        <v>6.673425834650408E-3</v>
      </c>
      <c r="AD123" s="41">
        <f t="shared" si="42"/>
        <v>12.802833644352535</v>
      </c>
      <c r="AE123">
        <f t="shared" si="43"/>
        <v>1.042E-2</v>
      </c>
      <c r="AF123" s="36">
        <f t="shared" si="44"/>
        <v>12.241244738817645</v>
      </c>
      <c r="AG123" s="36">
        <f>IF(AC123&lt;(1/(Sheet1!BL122^2)),MPM!AF123,Sheet1!BL122)</f>
        <v>12.241244738817645</v>
      </c>
      <c r="AH123" s="38">
        <f>IF(AG123=AF123,AB123,Sheet1!BK122)</f>
        <v>0.10292428093036249</v>
      </c>
      <c r="AI123" t="str">
        <f t="shared" si="45"/>
        <v>ok</v>
      </c>
      <c r="AJ123" s="37">
        <f t="shared" si="46"/>
        <v>6.6734258346504097E-3</v>
      </c>
      <c r="AK123" s="41">
        <f t="shared" si="47"/>
        <v>12.802833644352539</v>
      </c>
      <c r="AL123" s="42">
        <f t="shared" si="48"/>
        <v>100.00000000000001</v>
      </c>
    </row>
    <row r="124" spans="2:38">
      <c r="B124" s="36">
        <f t="shared" si="25"/>
        <v>119</v>
      </c>
      <c r="C124" s="36">
        <v>82.1</v>
      </c>
      <c r="D124" s="36">
        <v>0.35399999999999998</v>
      </c>
      <c r="E124" s="36">
        <v>0.19800000000000001</v>
      </c>
      <c r="F124" s="37">
        <v>5.7800000000000004E-3</v>
      </c>
      <c r="G124" s="36">
        <v>5.21</v>
      </c>
      <c r="H124" s="36">
        <v>5.21</v>
      </c>
      <c r="I124" s="36">
        <v>1</v>
      </c>
      <c r="J124" s="36">
        <v>4.22</v>
      </c>
      <c r="K124" s="36">
        <v>2</v>
      </c>
      <c r="L124" s="42">
        <v>1000</v>
      </c>
      <c r="M124" s="43">
        <v>9.9999999999999995E-7</v>
      </c>
      <c r="N124" s="36">
        <f t="shared" si="26"/>
        <v>8.2099999999999992E-2</v>
      </c>
      <c r="O124" s="38">
        <f t="shared" si="27"/>
        <v>5.2100000000000002E-3</v>
      </c>
      <c r="P124" s="38">
        <f t="shared" si="28"/>
        <v>5.2100000000000002E-3</v>
      </c>
      <c r="Q124" s="36">
        <f t="shared" si="29"/>
        <v>1.1713176967414254</v>
      </c>
      <c r="R124" s="36">
        <f t="shared" si="30"/>
        <v>11.226956400000001</v>
      </c>
      <c r="S124" s="38">
        <f t="shared" si="31"/>
        <v>9.3455999999999997E-2</v>
      </c>
      <c r="T124" s="37">
        <f t="shared" si="32"/>
        <v>3.8623766689801584E-3</v>
      </c>
      <c r="U124" s="42">
        <f t="shared" si="33"/>
        <v>109466.66666666664</v>
      </c>
      <c r="V124" s="44">
        <f t="shared" si="34"/>
        <v>3.5283587110050178E-8</v>
      </c>
      <c r="W124" s="44">
        <f t="shared" si="35"/>
        <v>2.8226869688040142E-7</v>
      </c>
      <c r="X124" s="37">
        <f t="shared" si="36"/>
        <v>1.4746842410149091E-2</v>
      </c>
      <c r="Y124" s="44">
        <f t="shared" si="37"/>
        <v>52243.987991333655</v>
      </c>
      <c r="Z124" s="37">
        <f t="shared" si="38"/>
        <v>1.7662688186239579E-2</v>
      </c>
      <c r="AA124" s="38">
        <f t="shared" si="39"/>
        <v>5.2429311813760426E-2</v>
      </c>
      <c r="AB124" s="36">
        <f t="shared" si="40"/>
        <v>0.14810540060384303</v>
      </c>
      <c r="AC124" s="37">
        <f t="shared" si="41"/>
        <v>6.120942944725251E-3</v>
      </c>
      <c r="AD124" s="41">
        <f t="shared" si="42"/>
        <v>8.3978428039589872</v>
      </c>
      <c r="AE124">
        <f t="shared" si="43"/>
        <v>1.042E-2</v>
      </c>
      <c r="AF124" s="36">
        <f t="shared" si="44"/>
        <v>12.781765170835829</v>
      </c>
      <c r="AG124" s="36">
        <f>IF(AC124&lt;(1/(Sheet1!BL123^2)),MPM!AF124,Sheet1!BL123)</f>
        <v>12.781765170835829</v>
      </c>
      <c r="AH124" s="38">
        <f>IF(AG124=AF124,AB124,Sheet1!BK123)</f>
        <v>0.14810540060384303</v>
      </c>
      <c r="AI124" t="str">
        <f t="shared" si="45"/>
        <v>ok</v>
      </c>
      <c r="AJ124" s="37">
        <f t="shared" si="46"/>
        <v>6.1209429447252519E-3</v>
      </c>
      <c r="AK124" s="41">
        <f t="shared" si="47"/>
        <v>8.3978428039589872</v>
      </c>
      <c r="AL124" s="42">
        <f t="shared" si="48"/>
        <v>100</v>
      </c>
    </row>
    <row r="125" spans="2:38">
      <c r="B125" s="36">
        <f t="shared" ref="B125:B142" si="49">+B124+1</f>
        <v>120</v>
      </c>
      <c r="C125" s="36">
        <v>82.1</v>
      </c>
      <c r="D125" s="36">
        <v>0.35399999999999998</v>
      </c>
      <c r="E125" s="36">
        <v>0.16600000000000001</v>
      </c>
      <c r="F125" s="37">
        <v>1.102E-2</v>
      </c>
      <c r="G125" s="36">
        <v>5.21</v>
      </c>
      <c r="H125" s="36">
        <v>5.21</v>
      </c>
      <c r="I125" s="36">
        <v>1</v>
      </c>
      <c r="J125" s="36">
        <v>4.22</v>
      </c>
      <c r="K125" s="36">
        <v>64.2</v>
      </c>
      <c r="L125" s="42">
        <v>1000</v>
      </c>
      <c r="M125" s="43">
        <v>9.9999999999999995E-7</v>
      </c>
      <c r="N125" s="36">
        <f t="shared" si="26"/>
        <v>8.2099999999999992E-2</v>
      </c>
      <c r="O125" s="38">
        <f t="shared" si="27"/>
        <v>5.2100000000000002E-3</v>
      </c>
      <c r="P125" s="38">
        <f t="shared" si="28"/>
        <v>5.2100000000000002E-3</v>
      </c>
      <c r="Q125" s="36">
        <f t="shared" si="29"/>
        <v>1.3971138792457967</v>
      </c>
      <c r="R125" s="36">
        <f t="shared" si="30"/>
        <v>17.945629200000003</v>
      </c>
      <c r="S125" s="38">
        <f t="shared" si="31"/>
        <v>8.5661807580174928E-2</v>
      </c>
      <c r="T125" s="37">
        <f t="shared" si="32"/>
        <v>4.7443227096611133E-3</v>
      </c>
      <c r="U125" s="42">
        <f t="shared" si="33"/>
        <v>119679.30029154518</v>
      </c>
      <c r="V125" s="44">
        <f t="shared" si="34"/>
        <v>3.9641965637363266E-8</v>
      </c>
      <c r="W125" s="44">
        <f t="shared" si="35"/>
        <v>3.1713572509890613E-7</v>
      </c>
      <c r="X125" s="37">
        <f t="shared" si="36"/>
        <v>1.5094388689438874E-2</v>
      </c>
      <c r="Y125" s="44">
        <f t="shared" si="37"/>
        <v>47595.989649956151</v>
      </c>
      <c r="Z125" s="37">
        <f t="shared" si="38"/>
        <v>1.1310365460198389E-2</v>
      </c>
      <c r="AA125" s="38">
        <f t="shared" si="39"/>
        <v>4.7453634539801608E-2</v>
      </c>
      <c r="AB125" s="36">
        <f t="shared" si="40"/>
        <v>0.13404981508418534</v>
      </c>
      <c r="AC125" s="37">
        <f t="shared" si="41"/>
        <v>7.4242605881802547E-3</v>
      </c>
      <c r="AD125" s="41">
        <f t="shared" si="42"/>
        <v>14.491616119453958</v>
      </c>
      <c r="AE125">
        <f t="shared" si="43"/>
        <v>1.042E-2</v>
      </c>
      <c r="AF125" s="36">
        <f t="shared" si="44"/>
        <v>11.605754952335612</v>
      </c>
      <c r="AG125" s="36">
        <f>IF(AC125&lt;(1/(Sheet1!BL124^2)),MPM!AF125,Sheet1!BL124)</f>
        <v>12.195705423412806</v>
      </c>
      <c r="AH125" s="38">
        <f>IF(AG125=AF125,AB125,Sheet1!BK124)</f>
        <v>0.12139454190449313</v>
      </c>
      <c r="AI125" t="str">
        <f t="shared" si="45"/>
        <v>ok</v>
      </c>
      <c r="AJ125" s="37">
        <f t="shared" si="46"/>
        <v>6.7233566303805834E-3</v>
      </c>
      <c r="AK125" s="41">
        <f t="shared" si="47"/>
        <v>13.123502625537871</v>
      </c>
      <c r="AL125" s="42">
        <f t="shared" si="48"/>
        <v>90.559275910714391</v>
      </c>
    </row>
    <row r="126" spans="2:38">
      <c r="B126" s="36">
        <f t="shared" si="49"/>
        <v>121</v>
      </c>
      <c r="C126" s="36">
        <v>20</v>
      </c>
      <c r="D126" s="36">
        <v>0.65</v>
      </c>
      <c r="E126" s="36">
        <v>6.3E-2</v>
      </c>
      <c r="F126" s="37">
        <v>2.8300000000000001E-3</v>
      </c>
      <c r="G126" s="36">
        <v>1.34</v>
      </c>
      <c r="H126" s="36">
        <v>2.8</v>
      </c>
      <c r="I126" s="36">
        <v>4</v>
      </c>
      <c r="J126" s="36">
        <v>2.68</v>
      </c>
      <c r="K126" s="36">
        <v>5.9</v>
      </c>
      <c r="L126" s="42">
        <v>1000</v>
      </c>
      <c r="M126" s="43">
        <v>9.9999999999999995E-7</v>
      </c>
      <c r="N126" s="36">
        <f t="shared" si="26"/>
        <v>0.02</v>
      </c>
      <c r="O126" s="38">
        <f t="shared" si="27"/>
        <v>1.34E-3</v>
      </c>
      <c r="P126" s="38">
        <f t="shared" si="28"/>
        <v>2.8E-3</v>
      </c>
      <c r="Q126" s="36">
        <f t="shared" si="29"/>
        <v>0.48840048840048839</v>
      </c>
      <c r="R126" s="36">
        <f t="shared" si="30"/>
        <v>1.7490249</v>
      </c>
      <c r="S126" s="38">
        <f t="shared" si="31"/>
        <v>5.2770618556701031E-2</v>
      </c>
      <c r="T126" s="37">
        <f t="shared" si="32"/>
        <v>6.1417968678864777E-3</v>
      </c>
      <c r="U126" s="42">
        <f t="shared" si="33"/>
        <v>25773.195876288661</v>
      </c>
      <c r="V126" s="44">
        <f t="shared" si="34"/>
        <v>2.3830171847399532E-7</v>
      </c>
      <c r="W126" s="44">
        <f t="shared" si="35"/>
        <v>1.9064137477919625E-6</v>
      </c>
      <c r="X126" s="37">
        <f t="shared" si="36"/>
        <v>2.1607768974955106E-2</v>
      </c>
      <c r="Y126" s="44">
        <f t="shared" si="37"/>
        <v>11334.249451348929</v>
      </c>
      <c r="Z126" s="37">
        <f t="shared" si="38"/>
        <v>2.924066344706253E-3</v>
      </c>
      <c r="AA126" s="38">
        <f t="shared" si="39"/>
        <v>3.8025933655293748E-2</v>
      </c>
      <c r="AB126" s="36">
        <f t="shared" si="40"/>
        <v>5.8501436392759606E-2</v>
      </c>
      <c r="AC126" s="37">
        <f t="shared" si="41"/>
        <v>6.8087877048067123E-3</v>
      </c>
      <c r="AD126" s="41">
        <f t="shared" si="42"/>
        <v>1.6241344275667098</v>
      </c>
      <c r="AE126">
        <f t="shared" si="43"/>
        <v>5.5999999999999999E-3</v>
      </c>
      <c r="AF126" s="36">
        <f t="shared" si="44"/>
        <v>12.118953060842037</v>
      </c>
      <c r="AG126" s="36">
        <f>IF(AC126&lt;(1/(Sheet1!BL125^2)),MPM!AF126,Sheet1!BL125)</f>
        <v>12.118953060842037</v>
      </c>
      <c r="AH126" s="38">
        <f>IF(AG126=AF126,AB126,Sheet1!BK125)</f>
        <v>5.8501436392759606E-2</v>
      </c>
      <c r="AI126" t="str">
        <f t="shared" si="45"/>
        <v>ok</v>
      </c>
      <c r="AJ126" s="37">
        <f t="shared" si="46"/>
        <v>6.8087877048067132E-3</v>
      </c>
      <c r="AK126" s="41">
        <f t="shared" si="47"/>
        <v>1.62413442756671</v>
      </c>
      <c r="AL126" s="42">
        <f t="shared" si="48"/>
        <v>100.00000000000001</v>
      </c>
    </row>
    <row r="127" spans="2:38">
      <c r="B127" s="36">
        <f t="shared" si="49"/>
        <v>122</v>
      </c>
      <c r="C127" s="36">
        <v>36.700000000000003</v>
      </c>
      <c r="D127" s="36">
        <v>0.65</v>
      </c>
      <c r="E127" s="36">
        <v>9.0999999999999998E-2</v>
      </c>
      <c r="F127" s="37">
        <v>3.2499999999999999E-3</v>
      </c>
      <c r="G127" s="36">
        <v>1.43</v>
      </c>
      <c r="H127" s="36">
        <v>2.8</v>
      </c>
      <c r="I127" s="36">
        <v>4</v>
      </c>
      <c r="J127" s="36">
        <v>2.68</v>
      </c>
      <c r="K127" s="36">
        <v>28.3</v>
      </c>
      <c r="L127" s="42">
        <v>1000</v>
      </c>
      <c r="M127" s="43">
        <v>9.9999999999999995E-7</v>
      </c>
      <c r="N127" s="36">
        <f t="shared" si="26"/>
        <v>3.6700000000000003E-2</v>
      </c>
      <c r="O127" s="38">
        <f t="shared" si="27"/>
        <v>1.4299999999999998E-3</v>
      </c>
      <c r="P127" s="38">
        <f t="shared" si="28"/>
        <v>2.8E-3</v>
      </c>
      <c r="Q127" s="36">
        <f t="shared" si="29"/>
        <v>0.62045646661031284</v>
      </c>
      <c r="R127" s="36">
        <f t="shared" si="30"/>
        <v>2.9013074999999997</v>
      </c>
      <c r="S127" s="38">
        <f t="shared" si="31"/>
        <v>7.1093749999999997E-2</v>
      </c>
      <c r="T127" s="37">
        <f t="shared" si="32"/>
        <v>5.887909966239788E-3</v>
      </c>
      <c r="U127" s="42">
        <f t="shared" si="33"/>
        <v>44110.576923076929</v>
      </c>
      <c r="V127" s="44">
        <f t="shared" si="34"/>
        <v>1.3348068370331072E-7</v>
      </c>
      <c r="W127" s="44">
        <f t="shared" si="35"/>
        <v>1.0678454696264857E-6</v>
      </c>
      <c r="X127" s="37">
        <f t="shared" si="36"/>
        <v>1.9242796076452372E-2</v>
      </c>
      <c r="Y127" s="44">
        <f t="shared" si="37"/>
        <v>18020.206690751966</v>
      </c>
      <c r="Z127" s="37">
        <f t="shared" si="38"/>
        <v>5.2859109288270331E-3</v>
      </c>
      <c r="AA127" s="38">
        <f t="shared" si="39"/>
        <v>5.3864089071172967E-2</v>
      </c>
      <c r="AB127" s="36">
        <f t="shared" si="40"/>
        <v>8.2867829340266097E-2</v>
      </c>
      <c r="AC127" s="37">
        <f t="shared" si="41"/>
        <v>6.8630268941110963E-3</v>
      </c>
      <c r="AD127" s="41">
        <f t="shared" si="42"/>
        <v>2.6420335689410339</v>
      </c>
      <c r="AE127">
        <f t="shared" si="43"/>
        <v>5.5999999999999999E-3</v>
      </c>
      <c r="AF127" s="36">
        <f t="shared" si="44"/>
        <v>12.070969417645422</v>
      </c>
      <c r="AG127" s="36">
        <f>IF(AC127&lt;(1/(Sheet1!BL126^2)),MPM!AF127,Sheet1!BL126)</f>
        <v>12.533548432016577</v>
      </c>
      <c r="AH127" s="38">
        <f>IF(AG127=AF127,AB127,Sheet1!BK126)</f>
        <v>7.6863857299806618E-2</v>
      </c>
      <c r="AI127" t="str">
        <f t="shared" si="45"/>
        <v>ok</v>
      </c>
      <c r="AJ127" s="37">
        <f t="shared" si="46"/>
        <v>6.3657842134667002E-3</v>
      </c>
      <c r="AK127" s="41">
        <f t="shared" si="47"/>
        <v>2.4506119302906035</v>
      </c>
      <c r="AL127" s="42">
        <f t="shared" si="48"/>
        <v>92.754761298239103</v>
      </c>
    </row>
    <row r="128" spans="2:38">
      <c r="B128" s="36">
        <f t="shared" si="49"/>
        <v>123</v>
      </c>
      <c r="C128" s="36">
        <v>14.5</v>
      </c>
      <c r="D128" s="36">
        <v>0.65</v>
      </c>
      <c r="E128" s="36">
        <v>5.1999999999999998E-2</v>
      </c>
      <c r="F128" s="37">
        <v>2.3599999999999997E-3</v>
      </c>
      <c r="G128" s="36">
        <v>1.17</v>
      </c>
      <c r="H128" s="36">
        <v>2.8</v>
      </c>
      <c r="I128" s="36">
        <v>4</v>
      </c>
      <c r="J128" s="36">
        <v>2.68</v>
      </c>
      <c r="K128" s="36">
        <v>1.5</v>
      </c>
      <c r="L128" s="42">
        <v>1000</v>
      </c>
      <c r="M128" s="43">
        <v>9.9999999999999995E-7</v>
      </c>
      <c r="N128" s="36">
        <f t="shared" si="26"/>
        <v>1.4500000000000001E-2</v>
      </c>
      <c r="O128" s="38">
        <f t="shared" si="27"/>
        <v>1.17E-3</v>
      </c>
      <c r="P128" s="38">
        <f t="shared" si="28"/>
        <v>2.8E-3</v>
      </c>
      <c r="Q128" s="36">
        <f t="shared" si="29"/>
        <v>0.42899408284023677</v>
      </c>
      <c r="R128" s="36">
        <f t="shared" si="30"/>
        <v>1.2038831999999999</v>
      </c>
      <c r="S128" s="38">
        <f t="shared" si="31"/>
        <v>4.4827586206896544E-2</v>
      </c>
      <c r="T128" s="37">
        <f t="shared" si="32"/>
        <v>5.6392813276805081E-3</v>
      </c>
      <c r="U128" s="42">
        <f t="shared" si="33"/>
        <v>19230.769230769234</v>
      </c>
      <c r="V128" s="44">
        <f t="shared" si="34"/>
        <v>2.9324262903938635E-7</v>
      </c>
      <c r="W128" s="44">
        <f t="shared" si="35"/>
        <v>2.3459410323150908E-6</v>
      </c>
      <c r="X128" s="37">
        <f t="shared" si="36"/>
        <v>2.2523190697118965E-2</v>
      </c>
      <c r="Y128" s="44">
        <f t="shared" si="37"/>
        <v>9600.9193696109087</v>
      </c>
      <c r="Z128" s="37">
        <f t="shared" si="38"/>
        <v>2.3275277081418111E-3</v>
      </c>
      <c r="AA128" s="38">
        <f t="shared" si="39"/>
        <v>3.1472472291858185E-2</v>
      </c>
      <c r="AB128" s="36">
        <f t="shared" si="40"/>
        <v>4.8419188141320284E-2</v>
      </c>
      <c r="AC128" s="37">
        <f t="shared" si="41"/>
        <v>6.0911025261670112E-3</v>
      </c>
      <c r="AD128" s="41">
        <f t="shared" si="42"/>
        <v>1.1209816761725908</v>
      </c>
      <c r="AE128">
        <f t="shared" si="43"/>
        <v>5.5999999999999999E-3</v>
      </c>
      <c r="AF128" s="36">
        <f t="shared" si="44"/>
        <v>12.813035964933972</v>
      </c>
      <c r="AG128" s="36">
        <f>IF(AC128&lt;(1/(Sheet1!BL127^2)),MPM!AF128,Sheet1!BL127)</f>
        <v>12.813035964933972</v>
      </c>
      <c r="AH128" s="38">
        <f>IF(AG128=AF128,AB128,Sheet1!BK127)</f>
        <v>4.8419188141320284E-2</v>
      </c>
      <c r="AI128" t="str">
        <f t="shared" si="45"/>
        <v>ok</v>
      </c>
      <c r="AJ128" s="37">
        <f t="shared" si="46"/>
        <v>6.0911025261670112E-3</v>
      </c>
      <c r="AK128" s="41">
        <f t="shared" si="47"/>
        <v>1.1209816761725908</v>
      </c>
      <c r="AL128" s="42">
        <f t="shared" si="48"/>
        <v>100</v>
      </c>
    </row>
    <row r="129" spans="2:38">
      <c r="B129" s="36">
        <f t="shared" si="49"/>
        <v>124</v>
      </c>
      <c r="C129" s="36">
        <v>26.5</v>
      </c>
      <c r="D129" s="36">
        <v>0.65</v>
      </c>
      <c r="E129" s="36">
        <v>7.4999999999999997E-2</v>
      </c>
      <c r="F129" s="37">
        <v>2.6700000000000001E-3</v>
      </c>
      <c r="G129" s="36">
        <v>1.34</v>
      </c>
      <c r="H129" s="36">
        <v>2.8</v>
      </c>
      <c r="I129" s="36">
        <v>4</v>
      </c>
      <c r="J129" s="36">
        <v>2.68</v>
      </c>
      <c r="K129" s="36">
        <v>13.9</v>
      </c>
      <c r="L129" s="42">
        <v>1000</v>
      </c>
      <c r="M129" s="43">
        <v>9.9999999999999995E-7</v>
      </c>
      <c r="N129" s="36">
        <f t="shared" si="26"/>
        <v>2.6499999999999999E-2</v>
      </c>
      <c r="O129" s="38">
        <f t="shared" si="27"/>
        <v>1.34E-3</v>
      </c>
      <c r="P129" s="38">
        <f t="shared" si="28"/>
        <v>2.8E-3</v>
      </c>
      <c r="Q129" s="36">
        <f t="shared" si="29"/>
        <v>0.54358974358974355</v>
      </c>
      <c r="R129" s="36">
        <f t="shared" si="30"/>
        <v>1.9644525000000002</v>
      </c>
      <c r="S129" s="38">
        <f t="shared" si="31"/>
        <v>6.0937499999999999E-2</v>
      </c>
      <c r="T129" s="37">
        <f t="shared" si="32"/>
        <v>5.4015996688239823E-3</v>
      </c>
      <c r="U129" s="42">
        <f t="shared" si="33"/>
        <v>33124.999999999993</v>
      </c>
      <c r="V129" s="44">
        <f t="shared" si="34"/>
        <v>1.6306715981355422E-7</v>
      </c>
      <c r="W129" s="44">
        <f t="shared" si="35"/>
        <v>1.3045372785084337E-6</v>
      </c>
      <c r="X129" s="37">
        <f t="shared" si="36"/>
        <v>2.0028932106719365E-2</v>
      </c>
      <c r="Y129" s="44">
        <f t="shared" si="37"/>
        <v>15353.284598827107</v>
      </c>
      <c r="Z129" s="37">
        <f t="shared" si="38"/>
        <v>4.2366374954310657E-3</v>
      </c>
      <c r="AA129" s="38">
        <f t="shared" si="39"/>
        <v>4.4513362504568936E-2</v>
      </c>
      <c r="AB129" s="36">
        <f t="shared" si="40"/>
        <v>6.8482096160875278E-2</v>
      </c>
      <c r="AC129" s="37">
        <f t="shared" si="41"/>
        <v>6.0703650123972285E-3</v>
      </c>
      <c r="AD129" s="41">
        <f t="shared" si="42"/>
        <v>1.7937310001129587</v>
      </c>
      <c r="AE129">
        <f t="shared" si="43"/>
        <v>5.5999999999999999E-3</v>
      </c>
      <c r="AF129" s="36">
        <f t="shared" si="44"/>
        <v>12.834903181046906</v>
      </c>
      <c r="AG129" s="36">
        <f>IF(AC129&lt;(1/(Sheet1!BL128^2)),MPM!AF129,Sheet1!BL128)</f>
        <v>12.834903181046906</v>
      </c>
      <c r="AH129" s="38">
        <f>IF(AG129=AF129,AB129,Sheet1!BK128)</f>
        <v>6.8482096160875278E-2</v>
      </c>
      <c r="AI129" t="str">
        <f t="shared" si="45"/>
        <v>ok</v>
      </c>
      <c r="AJ129" s="37">
        <f t="shared" si="46"/>
        <v>6.0703650123972294E-3</v>
      </c>
      <c r="AK129" s="41">
        <f t="shared" si="47"/>
        <v>1.7937310001129589</v>
      </c>
      <c r="AL129" s="42">
        <f t="shared" si="48"/>
        <v>100.00000000000001</v>
      </c>
    </row>
    <row r="130" spans="2:38">
      <c r="B130" s="36">
        <f t="shared" si="49"/>
        <v>125</v>
      </c>
      <c r="C130" s="36">
        <v>28.6</v>
      </c>
      <c r="D130" s="36">
        <v>0.65</v>
      </c>
      <c r="E130" s="36">
        <v>7.6999999999999999E-2</v>
      </c>
      <c r="F130" s="37">
        <v>3.0400000000000002E-3</v>
      </c>
      <c r="G130" s="36">
        <v>1.4</v>
      </c>
      <c r="H130" s="36">
        <v>2.8</v>
      </c>
      <c r="I130" s="36">
        <v>4</v>
      </c>
      <c r="J130" s="36">
        <v>2.68</v>
      </c>
      <c r="K130" s="36">
        <v>21</v>
      </c>
      <c r="L130" s="42">
        <v>1000</v>
      </c>
      <c r="M130" s="43">
        <v>9.9999999999999995E-7</v>
      </c>
      <c r="N130" s="36">
        <f t="shared" si="26"/>
        <v>2.86E-2</v>
      </c>
      <c r="O130" s="38">
        <f t="shared" si="27"/>
        <v>1.4E-3</v>
      </c>
      <c r="P130" s="38">
        <f t="shared" si="28"/>
        <v>2.8E-3</v>
      </c>
      <c r="Q130" s="36">
        <f t="shared" si="29"/>
        <v>0.5714285714285714</v>
      </c>
      <c r="R130" s="36">
        <f t="shared" si="30"/>
        <v>2.2963248000000003</v>
      </c>
      <c r="S130" s="38">
        <f t="shared" si="31"/>
        <v>6.2251243781094527E-2</v>
      </c>
      <c r="T130" s="37">
        <f t="shared" si="32"/>
        <v>5.6854745708955238E-3</v>
      </c>
      <c r="U130" s="42">
        <f t="shared" si="33"/>
        <v>35572.139303482581</v>
      </c>
      <c r="V130" s="44">
        <f t="shared" si="34"/>
        <v>1.5982942500000005E-7</v>
      </c>
      <c r="W130" s="44">
        <f t="shared" si="35"/>
        <v>1.2786354000000004E-6</v>
      </c>
      <c r="X130" s="37">
        <f t="shared" si="36"/>
        <v>1.9948757012478304E-2</v>
      </c>
      <c r="Y130" s="44">
        <f t="shared" si="37"/>
        <v>15601.599183378074</v>
      </c>
      <c r="Z130" s="37">
        <f t="shared" si="38"/>
        <v>4.2046309799203914E-3</v>
      </c>
      <c r="AA130" s="38">
        <f t="shared" si="39"/>
        <v>4.5845369020079615E-2</v>
      </c>
      <c r="AB130" s="36">
        <f t="shared" si="40"/>
        <v>7.053133695396864E-2</v>
      </c>
      <c r="AC130" s="37">
        <f t="shared" si="41"/>
        <v>6.4417045884766072E-3</v>
      </c>
      <c r="AD130" s="41">
        <f t="shared" si="42"/>
        <v>2.1034137431760351</v>
      </c>
      <c r="AE130">
        <f t="shared" si="43"/>
        <v>5.5999999999999999E-3</v>
      </c>
      <c r="AF130" s="36">
        <f t="shared" si="44"/>
        <v>12.459470832041703</v>
      </c>
      <c r="AG130" s="36">
        <f>IF(AC130&lt;(1/(Sheet1!BL129^2)),MPM!AF130,Sheet1!BL129)</f>
        <v>12.459470832041703</v>
      </c>
      <c r="AH130" s="38">
        <f>IF(AG130=AF130,AB130,Sheet1!BK129)</f>
        <v>7.053133695396864E-2</v>
      </c>
      <c r="AI130" t="str">
        <f t="shared" si="45"/>
        <v>ok</v>
      </c>
      <c r="AJ130" s="37">
        <f t="shared" si="46"/>
        <v>6.4417045884766072E-3</v>
      </c>
      <c r="AK130" s="41">
        <f t="shared" si="47"/>
        <v>2.1034137431760351</v>
      </c>
      <c r="AL130" s="42">
        <f t="shared" si="48"/>
        <v>100</v>
      </c>
    </row>
    <row r="131" spans="2:38">
      <c r="B131" s="36">
        <f t="shared" si="49"/>
        <v>126</v>
      </c>
      <c r="C131" s="36">
        <v>58.5</v>
      </c>
      <c r="D131" s="36">
        <v>0.65</v>
      </c>
      <c r="E131" s="36">
        <v>0.13200000000000001</v>
      </c>
      <c r="F131" s="37">
        <v>4.0700000000000007E-3</v>
      </c>
      <c r="G131" s="36">
        <v>1.38</v>
      </c>
      <c r="H131" s="36">
        <v>2.8</v>
      </c>
      <c r="I131" s="36">
        <v>4</v>
      </c>
      <c r="J131" s="36">
        <v>2.68</v>
      </c>
      <c r="K131" s="36">
        <v>63.8</v>
      </c>
      <c r="L131" s="42">
        <v>1000</v>
      </c>
      <c r="M131" s="43">
        <v>9.9999999999999995E-7</v>
      </c>
      <c r="N131" s="36">
        <f t="shared" si="26"/>
        <v>5.8500000000000003E-2</v>
      </c>
      <c r="O131" s="38">
        <f t="shared" si="27"/>
        <v>1.3799999999999999E-3</v>
      </c>
      <c r="P131" s="38">
        <f t="shared" si="28"/>
        <v>2.8E-3</v>
      </c>
      <c r="Q131" s="36">
        <f t="shared" si="29"/>
        <v>0.68181818181818188</v>
      </c>
      <c r="R131" s="36">
        <f t="shared" si="30"/>
        <v>5.2703244000000016</v>
      </c>
      <c r="S131" s="38">
        <f t="shared" si="31"/>
        <v>9.3873085339168494E-2</v>
      </c>
      <c r="T131" s="37">
        <f t="shared" si="32"/>
        <v>8.0624559019693669E-3</v>
      </c>
      <c r="U131" s="42">
        <f t="shared" si="33"/>
        <v>64004.376367614888</v>
      </c>
      <c r="V131" s="44">
        <f t="shared" si="34"/>
        <v>1.2596725973333335E-7</v>
      </c>
      <c r="W131" s="44">
        <f t="shared" si="35"/>
        <v>1.0077380778666668E-6</v>
      </c>
      <c r="X131" s="37">
        <f t="shared" si="36"/>
        <v>1.9021117544149195E-2</v>
      </c>
      <c r="Y131" s="44">
        <f t="shared" si="37"/>
        <v>18875.060853526531</v>
      </c>
      <c r="Z131" s="37">
        <f t="shared" si="38"/>
        <v>7.3084235624854711E-3</v>
      </c>
      <c r="AA131" s="38">
        <f t="shared" si="39"/>
        <v>7.8491576437514532E-2</v>
      </c>
      <c r="AB131" s="36">
        <f t="shared" si="40"/>
        <v>0.12075627144233005</v>
      </c>
      <c r="AC131" s="37">
        <f t="shared" si="41"/>
        <v>1.0371365869912427E-2</v>
      </c>
      <c r="AD131" s="41">
        <f t="shared" si="42"/>
        <v>4.8213994229964801</v>
      </c>
      <c r="AE131">
        <f t="shared" si="43"/>
        <v>5.5999999999999999E-3</v>
      </c>
      <c r="AF131" s="36">
        <f t="shared" si="44"/>
        <v>9.8193337704273258</v>
      </c>
      <c r="AG131" s="36">
        <f>IF(AC131&lt;(1/(Sheet1!BL130^2)),MPM!AF131,Sheet1!BL130)</f>
        <v>12.476692691378068</v>
      </c>
      <c r="AH131" s="38">
        <f>IF(AG131=AF131,AB131,Sheet1!BK130)</f>
        <v>7.479538179533235E-2</v>
      </c>
      <c r="AI131" t="str">
        <f t="shared" si="45"/>
        <v>ok</v>
      </c>
      <c r="AJ131" s="37">
        <f t="shared" si="46"/>
        <v>6.4239336025504303E-3</v>
      </c>
      <c r="AK131" s="41">
        <f t="shared" si="47"/>
        <v>2.9863327697806756</v>
      </c>
      <c r="AL131" s="42">
        <f t="shared" si="48"/>
        <v>61.939128202837878</v>
      </c>
    </row>
    <row r="132" spans="2:38">
      <c r="B132" s="36">
        <f t="shared" si="49"/>
        <v>127</v>
      </c>
      <c r="C132" s="36">
        <v>2.6</v>
      </c>
      <c r="D132" s="36">
        <v>0.65</v>
      </c>
      <c r="E132" s="36">
        <v>8.9999999999999993E-3</v>
      </c>
      <c r="F132" s="37">
        <v>1.6E-2</v>
      </c>
      <c r="G132" s="36">
        <v>1.53</v>
      </c>
      <c r="H132" s="36">
        <v>2.8</v>
      </c>
      <c r="I132" s="36">
        <v>4</v>
      </c>
      <c r="J132" s="36">
        <v>2.68</v>
      </c>
      <c r="K132" s="36">
        <v>12.8</v>
      </c>
      <c r="L132" s="42">
        <v>1000</v>
      </c>
      <c r="M132" s="43">
        <v>9.9999999999999995E-7</v>
      </c>
      <c r="N132" s="36">
        <f t="shared" si="26"/>
        <v>2.5999999999999999E-3</v>
      </c>
      <c r="O132" s="38">
        <f t="shared" si="27"/>
        <v>1.5300000000000001E-3</v>
      </c>
      <c r="P132" s="38">
        <f t="shared" si="28"/>
        <v>2.8E-3</v>
      </c>
      <c r="Q132" s="36">
        <f t="shared" si="29"/>
        <v>0.44444444444444442</v>
      </c>
      <c r="R132" s="36">
        <f t="shared" si="30"/>
        <v>1.4126399999999999</v>
      </c>
      <c r="S132" s="38">
        <f t="shared" si="31"/>
        <v>8.7574850299401187E-3</v>
      </c>
      <c r="T132" s="37">
        <f t="shared" si="32"/>
        <v>6.9587851796407184E-3</v>
      </c>
      <c r="U132" s="42">
        <f t="shared" si="33"/>
        <v>3892.2155688622747</v>
      </c>
      <c r="V132" s="44">
        <f t="shared" si="34"/>
        <v>1.7878725000000003E-6</v>
      </c>
      <c r="W132" s="44">
        <f t="shared" si="35"/>
        <v>1.4302980000000002E-5</v>
      </c>
      <c r="X132" s="37">
        <f t="shared" si="36"/>
        <v>3.2333431780512893E-2</v>
      </c>
      <c r="Y132" s="44">
        <f t="shared" si="37"/>
        <v>2260.6080537421494</v>
      </c>
      <c r="Z132" s="37">
        <f t="shared" si="38"/>
        <v>9.1554626176557056E-5</v>
      </c>
      <c r="AA132" s="38">
        <f t="shared" si="39"/>
        <v>5.7584453738234427E-3</v>
      </c>
      <c r="AB132" s="36">
        <f t="shared" si="40"/>
        <v>8.8591467289591431E-3</v>
      </c>
      <c r="AC132" s="37">
        <f t="shared" si="41"/>
        <v>7.039566582298225E-3</v>
      </c>
      <c r="AD132" s="41">
        <f t="shared" si="42"/>
        <v>1.3905316705774271</v>
      </c>
      <c r="AE132">
        <f t="shared" si="43"/>
        <v>5.5999999999999999E-3</v>
      </c>
      <c r="AF132" s="36">
        <f t="shared" si="44"/>
        <v>11.918649257123823</v>
      </c>
      <c r="AG132" s="36">
        <f>IF(AC132&lt;(1/(Sheet1!BL131^2)),MPM!AF132,Sheet1!BL131)</f>
        <v>11.918649257123823</v>
      </c>
      <c r="AH132" s="38">
        <f>IF(AG132=AF132,AB132,Sheet1!BK131)</f>
        <v>8.8591467289591431E-3</v>
      </c>
      <c r="AI132" t="str">
        <f t="shared" si="45"/>
        <v>ok</v>
      </c>
      <c r="AJ132" s="37">
        <f t="shared" si="46"/>
        <v>7.0395665822982232E-3</v>
      </c>
      <c r="AK132" s="41">
        <f t="shared" si="47"/>
        <v>1.3905316705774269</v>
      </c>
      <c r="AL132" s="42">
        <f t="shared" si="48"/>
        <v>99.999999999999986</v>
      </c>
    </row>
    <row r="133" spans="2:38">
      <c r="B133" s="36">
        <f t="shared" si="49"/>
        <v>128</v>
      </c>
      <c r="C133" s="36">
        <v>1.2</v>
      </c>
      <c r="D133" s="36">
        <v>0.3</v>
      </c>
      <c r="E133" s="36">
        <v>0.01</v>
      </c>
      <c r="F133" s="37">
        <v>1.6500000000000001E-2</v>
      </c>
      <c r="G133" s="36">
        <v>1.4</v>
      </c>
      <c r="H133" s="36">
        <v>2.8</v>
      </c>
      <c r="I133" s="36">
        <v>4</v>
      </c>
      <c r="J133" s="36">
        <v>2.68</v>
      </c>
      <c r="K133" s="36">
        <v>7.2</v>
      </c>
      <c r="L133" s="42">
        <v>1000</v>
      </c>
      <c r="M133" s="43">
        <v>9.9999999999999995E-7</v>
      </c>
      <c r="N133" s="36">
        <f t="shared" si="26"/>
        <v>1.1999999999999999E-3</v>
      </c>
      <c r="O133" s="38">
        <f t="shared" si="27"/>
        <v>1.4E-3</v>
      </c>
      <c r="P133" s="38">
        <f t="shared" si="28"/>
        <v>2.8E-3</v>
      </c>
      <c r="Q133" s="36">
        <f t="shared" si="29"/>
        <v>0.39999999999999997</v>
      </c>
      <c r="R133" s="36">
        <f t="shared" si="30"/>
        <v>1.6186500000000001</v>
      </c>
      <c r="S133" s="38">
        <f t="shared" si="31"/>
        <v>9.3749999999999997E-3</v>
      </c>
      <c r="T133" s="37">
        <f t="shared" si="32"/>
        <v>9.4842773437500017E-3</v>
      </c>
      <c r="U133" s="42">
        <f t="shared" si="33"/>
        <v>3749.9999999999995</v>
      </c>
      <c r="V133" s="44">
        <f t="shared" si="34"/>
        <v>2.5291406250000008E-6</v>
      </c>
      <c r="W133" s="44">
        <f t="shared" si="35"/>
        <v>2.0233125000000006E-5</v>
      </c>
      <c r="X133" s="37">
        <f t="shared" si="36"/>
        <v>3.4656052153792472E-2</v>
      </c>
      <c r="Y133" s="44">
        <f t="shared" si="37"/>
        <v>1712.8373473594643</v>
      </c>
      <c r="Z133" s="37">
        <f t="shared" si="38"/>
        <v>8.5641867367973224E-5</v>
      </c>
      <c r="AA133" s="38">
        <f t="shared" si="39"/>
        <v>2.914358132632027E-3</v>
      </c>
      <c r="AB133" s="36">
        <f t="shared" si="40"/>
        <v>9.7145271087734231E-3</v>
      </c>
      <c r="AC133" s="37">
        <f t="shared" si="41"/>
        <v>9.8277620653850657E-3</v>
      </c>
      <c r="AD133" s="41">
        <f t="shared" si="42"/>
        <v>1.5724419304616104</v>
      </c>
      <c r="AE133">
        <f t="shared" si="43"/>
        <v>5.5999999999999999E-3</v>
      </c>
      <c r="AF133" s="36">
        <f t="shared" si="44"/>
        <v>10.087247650702682</v>
      </c>
      <c r="AG133" s="36">
        <f>IF(AC133&lt;(1/(Sheet1!BL132^2)),MPM!AF133,Sheet1!BL132)</f>
        <v>10.087247650702682</v>
      </c>
      <c r="AH133" s="38">
        <f>IF(AG133=AF133,AB133,Sheet1!BK132)</f>
        <v>9.7145271087734231E-3</v>
      </c>
      <c r="AI133" t="str">
        <f t="shared" si="45"/>
        <v>ok</v>
      </c>
      <c r="AJ133" s="37">
        <f t="shared" si="46"/>
        <v>9.8277620653850657E-3</v>
      </c>
      <c r="AK133" s="41">
        <f t="shared" si="47"/>
        <v>1.5724419304616104</v>
      </c>
      <c r="AL133" s="42">
        <f t="shared" si="48"/>
        <v>100</v>
      </c>
    </row>
    <row r="134" spans="2:38">
      <c r="B134" s="36">
        <f t="shared" si="49"/>
        <v>129</v>
      </c>
      <c r="C134" s="36">
        <v>0.6</v>
      </c>
      <c r="D134" s="36">
        <v>0.15</v>
      </c>
      <c r="E134" s="36">
        <v>0.01</v>
      </c>
      <c r="F134" s="37">
        <v>1.992E-2</v>
      </c>
      <c r="G134" s="36">
        <v>1.45</v>
      </c>
      <c r="H134" s="36">
        <v>2.8</v>
      </c>
      <c r="I134" s="36">
        <v>4</v>
      </c>
      <c r="J134" s="36">
        <v>2.68</v>
      </c>
      <c r="K134" s="36">
        <v>3.8</v>
      </c>
      <c r="L134" s="42">
        <v>1000</v>
      </c>
      <c r="M134" s="43">
        <v>9.9999999999999995E-7</v>
      </c>
      <c r="N134" s="36">
        <f t="shared" si="26"/>
        <v>5.9999999999999995E-4</v>
      </c>
      <c r="O134" s="38">
        <f t="shared" si="27"/>
        <v>1.4499999999999999E-3</v>
      </c>
      <c r="P134" s="38">
        <f t="shared" si="28"/>
        <v>2.8E-3</v>
      </c>
      <c r="Q134" s="36">
        <f t="shared" si="29"/>
        <v>0.39999999999999997</v>
      </c>
      <c r="R134" s="36">
        <f t="shared" si="30"/>
        <v>1.9541520000000001</v>
      </c>
      <c r="S134" s="38">
        <f t="shared" si="31"/>
        <v>8.8235294117647075E-3</v>
      </c>
      <c r="T134" s="37">
        <f t="shared" si="32"/>
        <v>1.0776573529411769E-2</v>
      </c>
      <c r="U134" s="42">
        <f t="shared" si="33"/>
        <v>3529.4117647058829</v>
      </c>
      <c r="V134" s="44">
        <f t="shared" si="34"/>
        <v>3.0533625000000006E-6</v>
      </c>
      <c r="W134" s="44">
        <f t="shared" si="35"/>
        <v>2.4426900000000005E-5</v>
      </c>
      <c r="X134" s="37">
        <f t="shared" si="36"/>
        <v>3.5986546128992485E-2</v>
      </c>
      <c r="Y134" s="44">
        <f t="shared" si="37"/>
        <v>1473.2342675080538</v>
      </c>
      <c r="Z134" s="37">
        <f t="shared" si="38"/>
        <v>7.3661713375402694E-5</v>
      </c>
      <c r="AA134" s="38">
        <f t="shared" si="39"/>
        <v>1.4263382866245974E-3</v>
      </c>
      <c r="AB134" s="36">
        <f t="shared" si="40"/>
        <v>9.5089219108306505E-3</v>
      </c>
      <c r="AC134" s="37">
        <f t="shared" si="41"/>
        <v>1.1613674231183464E-2</v>
      </c>
      <c r="AD134" s="41">
        <f t="shared" si="42"/>
        <v>1.8581878769893538</v>
      </c>
      <c r="AE134">
        <f t="shared" si="43"/>
        <v>5.5999999999999999E-3</v>
      </c>
      <c r="AF134" s="36">
        <f t="shared" si="44"/>
        <v>9.2792992402767123</v>
      </c>
      <c r="AG134" s="36">
        <f>IF(AC134&lt;(1/(Sheet1!BL133^2)),MPM!AF134,Sheet1!BL133)</f>
        <v>9.2792992402767123</v>
      </c>
      <c r="AH134" s="38">
        <f>IF(AG134=AF134,AB134,Sheet1!BK133)</f>
        <v>9.5089219108306505E-3</v>
      </c>
      <c r="AI134" t="str">
        <f t="shared" si="45"/>
        <v>ok</v>
      </c>
      <c r="AJ134" s="37">
        <f t="shared" si="46"/>
        <v>1.1613674231183464E-2</v>
      </c>
      <c r="AK134" s="41">
        <f t="shared" si="47"/>
        <v>1.8581878769893538</v>
      </c>
      <c r="AL134" s="42">
        <f t="shared" si="48"/>
        <v>100</v>
      </c>
    </row>
    <row r="135" spans="2:38">
      <c r="B135" s="36">
        <f t="shared" si="49"/>
        <v>130</v>
      </c>
      <c r="C135" s="36">
        <v>1</v>
      </c>
      <c r="D135" s="36">
        <v>0.15</v>
      </c>
      <c r="E135" s="36">
        <v>1.4E-2</v>
      </c>
      <c r="F135" s="37">
        <v>2.07E-2</v>
      </c>
      <c r="G135" s="36">
        <v>1.6</v>
      </c>
      <c r="H135" s="36">
        <v>2.8</v>
      </c>
      <c r="I135" s="36">
        <v>4</v>
      </c>
      <c r="J135" s="36">
        <v>2.68</v>
      </c>
      <c r="K135" s="36">
        <v>0.6</v>
      </c>
      <c r="L135" s="42">
        <v>1000</v>
      </c>
      <c r="M135" s="43">
        <v>9.9999999999999995E-7</v>
      </c>
      <c r="N135" s="36">
        <f t="shared" ref="N135:N142" si="50">C135/1000</f>
        <v>1E-3</v>
      </c>
      <c r="O135" s="38">
        <f t="shared" ref="O135:O142" si="51">G135/1000</f>
        <v>1.6000000000000001E-3</v>
      </c>
      <c r="P135" s="38">
        <f t="shared" ref="P135:P142" si="52">H135/1000</f>
        <v>2.8E-3</v>
      </c>
      <c r="Q135" s="36">
        <f t="shared" ref="Q135:Q142" si="53">N135/(E135*D135)</f>
        <v>0.47619047619047622</v>
      </c>
      <c r="R135" s="36">
        <f t="shared" ref="R135:R142" si="54">L135*9.81*E135*F135</f>
        <v>2.8429380000000002</v>
      </c>
      <c r="S135" s="38">
        <f t="shared" ref="S135:S142" si="55">D135*E135/(D135+2*E135)</f>
        <v>1.1797752808988763E-2</v>
      </c>
      <c r="T135" s="37">
        <f t="shared" ref="T135:T142" si="56">9.81*S135*F135/(Q135^2)</f>
        <v>1.0565188129213482E-2</v>
      </c>
      <c r="U135" s="42">
        <f t="shared" ref="U135:U142" si="57">Q135*S135/M135</f>
        <v>5617.9775280898875</v>
      </c>
      <c r="V135" s="44">
        <f t="shared" ref="V135:V142" si="58">T135/U135</f>
        <v>1.8806034869999997E-6</v>
      </c>
      <c r="W135" s="44">
        <f t="shared" ref="W135:W142" si="59">8*V135</f>
        <v>1.5044827895999997E-5</v>
      </c>
      <c r="X135" s="37">
        <f t="shared" ref="X135:X142" si="60">0.301*(W135^(1/5))</f>
        <v>3.2662087686102251E-2</v>
      </c>
      <c r="Y135" s="44">
        <f t="shared" ref="Y135:Y142" si="61">X135/W135</f>
        <v>2170.9844680101787</v>
      </c>
      <c r="Z135" s="37">
        <f t="shared" ref="Z135:Z142" si="62">2*M135*E135*Y135/Q135</f>
        <v>1.276538867189985E-4</v>
      </c>
      <c r="AA135" s="38">
        <f t="shared" ref="AA135:AA142" si="63">D135*E135-Z135</f>
        <v>1.9723461132810016E-3</v>
      </c>
      <c r="AB135" s="36">
        <f t="shared" ref="AB135:AB142" si="64">AA135/D135</f>
        <v>1.3148974088540011E-2</v>
      </c>
      <c r="AC135" s="37">
        <f t="shared" ref="AC135:AC142" si="65">(T135*(D135+2*E135)-X135*2*E135/8)/D135</f>
        <v>1.1775241200657611E-2</v>
      </c>
      <c r="AD135" s="41">
        <f t="shared" ref="AD135:AD142" si="66">1000*AC135*(Q135^2)</f>
        <v>2.6701227212375538</v>
      </c>
      <c r="AE135">
        <f t="shared" ref="AE135:AE142" si="67">AE$2*P135</f>
        <v>5.5999999999999999E-3</v>
      </c>
      <c r="AF135" s="36">
        <f t="shared" ref="AF135:AF142" si="68">1/(AC135^0.5)</f>
        <v>9.2154191672325485</v>
      </c>
      <c r="AG135" s="36">
        <f>IF(AC135&lt;(1/(Sheet1!BL134^2)),MPM!AF135,Sheet1!BL134)</f>
        <v>9.3074458454878499</v>
      </c>
      <c r="AH135" s="38">
        <f>IF(AG135=AF135,AB135,Sheet1!BK134)</f>
        <v>1.2890240542083008E-2</v>
      </c>
      <c r="AI135" t="str">
        <f t="shared" ref="AI135:AI142" si="69">IF(AH135&gt;AB135,"error","ok")</f>
        <v>ok</v>
      </c>
      <c r="AJ135" s="37">
        <f t="shared" ref="AJ135:AJ142" si="70">1/(AG135^2)</f>
        <v>1.1543538719774208E-2</v>
      </c>
      <c r="AK135" s="41">
        <f t="shared" ref="AK135:AK142" si="71">L135*AJ135*(Q135^2)</f>
        <v>2.6175824761392765</v>
      </c>
      <c r="AL135" s="42">
        <f t="shared" ref="AL135:AL142" si="72">100*AK135/AD135</f>
        <v>98.032290999946042</v>
      </c>
    </row>
    <row r="136" spans="2:38">
      <c r="B136" s="36">
        <f t="shared" si="49"/>
        <v>131</v>
      </c>
      <c r="C136" s="36">
        <v>160</v>
      </c>
      <c r="D136" s="36">
        <v>2</v>
      </c>
      <c r="E136" s="36">
        <v>8.6999999999999994E-2</v>
      </c>
      <c r="F136" s="37">
        <v>8.2699999999999996E-3</v>
      </c>
      <c r="G136" s="36">
        <v>4.46</v>
      </c>
      <c r="H136" s="36">
        <v>9.4</v>
      </c>
      <c r="I136" s="36">
        <v>5.22</v>
      </c>
      <c r="J136" s="36">
        <v>2.68</v>
      </c>
      <c r="K136" s="36">
        <v>360.5</v>
      </c>
      <c r="L136" s="42">
        <v>1000</v>
      </c>
      <c r="M136" s="43">
        <v>9.9999999999999995E-7</v>
      </c>
      <c r="N136" s="36">
        <f t="shared" si="50"/>
        <v>0.16</v>
      </c>
      <c r="O136" s="38">
        <f t="shared" si="51"/>
        <v>4.4599999999999996E-3</v>
      </c>
      <c r="P136" s="38">
        <f t="shared" si="52"/>
        <v>9.4000000000000004E-3</v>
      </c>
      <c r="Q136" s="36">
        <f t="shared" si="53"/>
        <v>0.91954022988505757</v>
      </c>
      <c r="R136" s="36">
        <f t="shared" si="54"/>
        <v>7.0581968999999987</v>
      </c>
      <c r="S136" s="38">
        <f t="shared" si="55"/>
        <v>8.0036798528058881E-2</v>
      </c>
      <c r="T136" s="37">
        <f t="shared" si="56"/>
        <v>7.6793198505203525E-3</v>
      </c>
      <c r="U136" s="42">
        <f t="shared" si="57"/>
        <v>73597.056117755303</v>
      </c>
      <c r="V136" s="44">
        <f t="shared" si="58"/>
        <v>1.0434275846894526E-7</v>
      </c>
      <c r="W136" s="44">
        <f t="shared" si="59"/>
        <v>8.3474206775156212E-7</v>
      </c>
      <c r="X136" s="37">
        <f t="shared" si="60"/>
        <v>1.8317953648663319E-2</v>
      </c>
      <c r="Y136" s="44">
        <f t="shared" si="61"/>
        <v>21944.447699879373</v>
      </c>
      <c r="Z136" s="37">
        <f t="shared" si="62"/>
        <v>4.1524381160096728E-3</v>
      </c>
      <c r="AA136" s="38">
        <f t="shared" si="63"/>
        <v>0.16984756188399031</v>
      </c>
      <c r="AB136" s="36">
        <f t="shared" si="64"/>
        <v>8.4923780941995153E-2</v>
      </c>
      <c r="AC136" s="37">
        <f t="shared" si="65"/>
        <v>8.1482129315864089E-3</v>
      </c>
      <c r="AD136" s="41">
        <f t="shared" si="66"/>
        <v>6.889755946908843</v>
      </c>
      <c r="AE136">
        <f t="shared" si="67"/>
        <v>1.8800000000000001E-2</v>
      </c>
      <c r="AF136" s="36">
        <f t="shared" si="68"/>
        <v>11.078190148573658</v>
      </c>
      <c r="AG136" s="36">
        <f>IF(AC136&lt;(1/(Sheet1!BL135^2)),MPM!AF136,Sheet1!BL135)</f>
        <v>11.078190148573658</v>
      </c>
      <c r="AH136" s="38">
        <f>IF(AG136=AF136,AB136,Sheet1!BK135)</f>
        <v>8.4923780941995153E-2</v>
      </c>
      <c r="AI136" t="str">
        <f t="shared" si="69"/>
        <v>ok</v>
      </c>
      <c r="AJ136" s="37">
        <f t="shared" si="70"/>
        <v>8.1482129315864071E-3</v>
      </c>
      <c r="AK136" s="41">
        <f t="shared" si="71"/>
        <v>6.8897559469088412</v>
      </c>
      <c r="AL136" s="42">
        <f t="shared" si="72"/>
        <v>99.999999999999972</v>
      </c>
    </row>
    <row r="137" spans="2:38">
      <c r="B137" s="36">
        <f t="shared" si="49"/>
        <v>132</v>
      </c>
      <c r="C137" s="36">
        <v>220</v>
      </c>
      <c r="D137" s="36">
        <v>2</v>
      </c>
      <c r="E137" s="36">
        <v>0.108</v>
      </c>
      <c r="F137" s="37">
        <v>8.0099999999999998E-3</v>
      </c>
      <c r="G137" s="36">
        <v>4.43</v>
      </c>
      <c r="H137" s="36">
        <v>9.4</v>
      </c>
      <c r="I137" s="36">
        <v>5.22</v>
      </c>
      <c r="J137" s="36">
        <v>2.68</v>
      </c>
      <c r="K137" s="36">
        <v>663.6</v>
      </c>
      <c r="L137" s="42">
        <v>1000</v>
      </c>
      <c r="M137" s="43">
        <v>9.9999999999999995E-7</v>
      </c>
      <c r="N137" s="36">
        <f t="shared" si="50"/>
        <v>0.22</v>
      </c>
      <c r="O137" s="38">
        <f t="shared" si="51"/>
        <v>4.4299999999999999E-3</v>
      </c>
      <c r="P137" s="38">
        <f t="shared" si="52"/>
        <v>9.4000000000000004E-3</v>
      </c>
      <c r="Q137" s="36">
        <f t="shared" si="53"/>
        <v>1.0185185185185186</v>
      </c>
      <c r="R137" s="36">
        <f t="shared" si="54"/>
        <v>8.4864347999999996</v>
      </c>
      <c r="S137" s="38">
        <f t="shared" si="55"/>
        <v>9.7472924187725629E-2</v>
      </c>
      <c r="T137" s="37">
        <f t="shared" si="56"/>
        <v>7.3832514475639203E-3</v>
      </c>
      <c r="U137" s="42">
        <f t="shared" si="57"/>
        <v>99277.9783393502</v>
      </c>
      <c r="V137" s="44">
        <f t="shared" si="58"/>
        <v>7.4369478217280199E-8</v>
      </c>
      <c r="W137" s="44">
        <f t="shared" si="59"/>
        <v>5.9495582573824159E-7</v>
      </c>
      <c r="X137" s="37">
        <f t="shared" si="60"/>
        <v>1.7118410630939607E-2</v>
      </c>
      <c r="Y137" s="44">
        <f t="shared" si="61"/>
        <v>28772.574181786513</v>
      </c>
      <c r="Z137" s="37">
        <f t="shared" si="62"/>
        <v>6.1018782773883239E-3</v>
      </c>
      <c r="AA137" s="38">
        <f t="shared" si="63"/>
        <v>0.20989812172261169</v>
      </c>
      <c r="AB137" s="36">
        <f t="shared" si="64"/>
        <v>0.10494906086130584</v>
      </c>
      <c r="AC137" s="37">
        <f t="shared" si="65"/>
        <v>7.9495440603831406E-3</v>
      </c>
      <c r="AD137" s="41">
        <f t="shared" si="66"/>
        <v>8.2466977992657782</v>
      </c>
      <c r="AE137">
        <f t="shared" si="67"/>
        <v>1.8800000000000001E-2</v>
      </c>
      <c r="AF137" s="36">
        <f t="shared" si="68"/>
        <v>11.215764703525339</v>
      </c>
      <c r="AG137" s="36">
        <f>IF(AC137&lt;(1/(Sheet1!BL136^2)),MPM!AF137,Sheet1!BL136)</f>
        <v>11.215764703525339</v>
      </c>
      <c r="AH137" s="38">
        <f>IF(AG137=AF137,AB137,Sheet1!BK136)</f>
        <v>0.10494906086130584</v>
      </c>
      <c r="AI137" t="str">
        <f t="shared" si="69"/>
        <v>ok</v>
      </c>
      <c r="AJ137" s="37">
        <f t="shared" si="70"/>
        <v>7.9495440603831388E-3</v>
      </c>
      <c r="AK137" s="41">
        <f t="shared" si="71"/>
        <v>8.2466977992657746</v>
      </c>
      <c r="AL137" s="42">
        <f t="shared" si="72"/>
        <v>99.999999999999957</v>
      </c>
    </row>
    <row r="138" spans="2:38">
      <c r="B138" s="36">
        <f t="shared" si="49"/>
        <v>133</v>
      </c>
      <c r="C138" s="36">
        <v>220</v>
      </c>
      <c r="D138" s="36">
        <v>2</v>
      </c>
      <c r="E138" s="36">
        <v>0.106</v>
      </c>
      <c r="F138" s="37">
        <v>8.1099999999999992E-3</v>
      </c>
      <c r="G138" s="36">
        <v>4.43</v>
      </c>
      <c r="H138" s="36">
        <v>9.4</v>
      </c>
      <c r="I138" s="36">
        <v>5.22</v>
      </c>
      <c r="J138" s="36">
        <v>2.68</v>
      </c>
      <c r="K138" s="36">
        <v>644.5</v>
      </c>
      <c r="L138" s="42">
        <v>1000</v>
      </c>
      <c r="M138" s="43">
        <v>9.9999999999999995E-7</v>
      </c>
      <c r="N138" s="36">
        <f t="shared" si="50"/>
        <v>0.22</v>
      </c>
      <c r="O138" s="38">
        <f t="shared" si="51"/>
        <v>4.4299999999999999E-3</v>
      </c>
      <c r="P138" s="38">
        <f t="shared" si="52"/>
        <v>9.4000000000000004E-3</v>
      </c>
      <c r="Q138" s="36">
        <f t="shared" si="53"/>
        <v>1.0377358490566038</v>
      </c>
      <c r="R138" s="36">
        <f t="shared" si="54"/>
        <v>8.4332645999999976</v>
      </c>
      <c r="S138" s="38">
        <f t="shared" si="55"/>
        <v>9.5840867992766712E-2</v>
      </c>
      <c r="T138" s="37">
        <f t="shared" si="56"/>
        <v>7.0805494482088669E-3</v>
      </c>
      <c r="U138" s="42">
        <f t="shared" si="57"/>
        <v>99457.504520795643</v>
      </c>
      <c r="V138" s="44">
        <f t="shared" si="58"/>
        <v>7.1191706270172804E-8</v>
      </c>
      <c r="W138" s="44">
        <f t="shared" si="59"/>
        <v>5.6953365016138243E-7</v>
      </c>
      <c r="X138" s="37">
        <f t="shared" si="60"/>
        <v>1.6969551858460163E-2</v>
      </c>
      <c r="Y138" s="44">
        <f t="shared" si="61"/>
        <v>29795.521043667377</v>
      </c>
      <c r="Z138" s="37">
        <f t="shared" si="62"/>
        <v>6.0869540808481211E-3</v>
      </c>
      <c r="AA138" s="38">
        <f t="shared" si="63"/>
        <v>0.20591304591915188</v>
      </c>
      <c r="AB138" s="36">
        <f t="shared" si="64"/>
        <v>0.10295652295957594</v>
      </c>
      <c r="AC138" s="37">
        <f t="shared" si="65"/>
        <v>7.6062411275944113E-3</v>
      </c>
      <c r="AD138" s="41">
        <f t="shared" si="66"/>
        <v>8.1911283057931978</v>
      </c>
      <c r="AE138">
        <f t="shared" si="67"/>
        <v>1.8800000000000001E-2</v>
      </c>
      <c r="AF138" s="36">
        <f t="shared" si="68"/>
        <v>11.466079681634392</v>
      </c>
      <c r="AG138" s="36">
        <f>IF(AC138&lt;(1/(Sheet1!BL137^2)),MPM!AF138,Sheet1!BL137)</f>
        <v>11.466079681634392</v>
      </c>
      <c r="AH138" s="38">
        <f>IF(AG138=AF138,AB138,Sheet1!BK137)</f>
        <v>0.10295652295957594</v>
      </c>
      <c r="AI138" t="str">
        <f t="shared" si="69"/>
        <v>ok</v>
      </c>
      <c r="AJ138" s="37">
        <f t="shared" si="70"/>
        <v>7.6062411275944113E-3</v>
      </c>
      <c r="AK138" s="41">
        <f t="shared" si="71"/>
        <v>8.1911283057931978</v>
      </c>
      <c r="AL138" s="42">
        <f t="shared" si="72"/>
        <v>100</v>
      </c>
    </row>
    <row r="139" spans="2:38">
      <c r="B139" s="36">
        <f t="shared" si="49"/>
        <v>134</v>
      </c>
      <c r="C139" s="36">
        <v>250</v>
      </c>
      <c r="D139" s="36">
        <v>2</v>
      </c>
      <c r="E139" s="36">
        <v>0.106</v>
      </c>
      <c r="F139" s="37">
        <v>8.0999999999999996E-3</v>
      </c>
      <c r="G139" s="36">
        <v>4.4400000000000004</v>
      </c>
      <c r="H139" s="36">
        <v>9.4</v>
      </c>
      <c r="I139" s="36">
        <v>5.22</v>
      </c>
      <c r="J139" s="36">
        <v>2.68</v>
      </c>
      <c r="K139" s="36">
        <v>794.4</v>
      </c>
      <c r="L139" s="42">
        <v>1000</v>
      </c>
      <c r="M139" s="43">
        <v>9.9999999999999995E-7</v>
      </c>
      <c r="N139" s="36">
        <f t="shared" si="50"/>
        <v>0.25</v>
      </c>
      <c r="O139" s="38">
        <f t="shared" si="51"/>
        <v>4.4400000000000004E-3</v>
      </c>
      <c r="P139" s="38">
        <f t="shared" si="52"/>
        <v>9.4000000000000004E-3</v>
      </c>
      <c r="Q139" s="36">
        <f t="shared" si="53"/>
        <v>1.179245283018868</v>
      </c>
      <c r="R139" s="36">
        <f t="shared" si="54"/>
        <v>8.4228659999999991</v>
      </c>
      <c r="S139" s="38">
        <f t="shared" si="55"/>
        <v>9.5840867992766712E-2</v>
      </c>
      <c r="T139" s="37">
        <f t="shared" si="56"/>
        <v>5.4764164846871598E-3</v>
      </c>
      <c r="U139" s="42">
        <f t="shared" si="57"/>
        <v>113019.89150090415</v>
      </c>
      <c r="V139" s="44">
        <f t="shared" si="58"/>
        <v>4.845533305651199E-8</v>
      </c>
      <c r="W139" s="44">
        <f t="shared" si="59"/>
        <v>3.8764266445209592E-7</v>
      </c>
      <c r="X139" s="37">
        <f t="shared" si="60"/>
        <v>1.5712772031550411E-2</v>
      </c>
      <c r="Y139" s="44">
        <f t="shared" si="61"/>
        <v>40534.165798698261</v>
      </c>
      <c r="Z139" s="37">
        <f t="shared" si="62"/>
        <v>7.2870701906267779E-3</v>
      </c>
      <c r="AA139" s="38">
        <f t="shared" si="63"/>
        <v>0.20471292980937322</v>
      </c>
      <c r="AB139" s="36">
        <f t="shared" si="64"/>
        <v>0.10235646490468661</v>
      </c>
      <c r="AC139" s="37">
        <f t="shared" si="65"/>
        <v>5.8487224026459563E-3</v>
      </c>
      <c r="AD139" s="41">
        <f t="shared" si="66"/>
        <v>8.133347057791303</v>
      </c>
      <c r="AE139">
        <f t="shared" si="67"/>
        <v>1.8800000000000001E-2</v>
      </c>
      <c r="AF139" s="36">
        <f t="shared" si="68"/>
        <v>13.075836920908849</v>
      </c>
      <c r="AG139" s="36">
        <f>IF(AC139&lt;(1/(Sheet1!BL138^2)),MPM!AF139,Sheet1!BL138)</f>
        <v>13.075836920908849</v>
      </c>
      <c r="AH139" s="38">
        <f>IF(AG139=AF139,AB139,Sheet1!BK138)</f>
        <v>0.10235646490468661</v>
      </c>
      <c r="AI139" t="str">
        <f t="shared" si="69"/>
        <v>ok</v>
      </c>
      <c r="AJ139" s="37">
        <f t="shared" si="70"/>
        <v>5.8487224026459554E-3</v>
      </c>
      <c r="AK139" s="41">
        <f t="shared" si="71"/>
        <v>8.1333470577913012</v>
      </c>
      <c r="AL139" s="42">
        <f t="shared" si="72"/>
        <v>99.999999999999972</v>
      </c>
    </row>
    <row r="140" spans="2:38">
      <c r="B140" s="36">
        <f t="shared" si="49"/>
        <v>135</v>
      </c>
      <c r="C140" s="36">
        <v>195</v>
      </c>
      <c r="D140" s="36">
        <v>2</v>
      </c>
      <c r="E140" s="36">
        <v>9.9000000000000005E-2</v>
      </c>
      <c r="F140" s="37">
        <v>8.1300000000000001E-3</v>
      </c>
      <c r="G140" s="36">
        <v>4.4000000000000004</v>
      </c>
      <c r="H140" s="36">
        <v>9.4</v>
      </c>
      <c r="I140" s="36">
        <v>5.22</v>
      </c>
      <c r="J140" s="36">
        <v>2.68</v>
      </c>
      <c r="K140" s="36">
        <v>516.9</v>
      </c>
      <c r="L140" s="42">
        <v>1000</v>
      </c>
      <c r="M140" s="43">
        <v>9.9999999999999995E-7</v>
      </c>
      <c r="N140" s="36">
        <f t="shared" si="50"/>
        <v>0.19500000000000001</v>
      </c>
      <c r="O140" s="38">
        <f t="shared" si="51"/>
        <v>4.4000000000000003E-3</v>
      </c>
      <c r="P140" s="38">
        <f t="shared" si="52"/>
        <v>9.4000000000000004E-3</v>
      </c>
      <c r="Q140" s="36">
        <f t="shared" si="53"/>
        <v>0.98484848484848486</v>
      </c>
      <c r="R140" s="36">
        <f t="shared" si="54"/>
        <v>7.8957747000000005</v>
      </c>
      <c r="S140" s="38">
        <f t="shared" si="55"/>
        <v>9.0081892629663332E-2</v>
      </c>
      <c r="T140" s="37">
        <f t="shared" si="56"/>
        <v>7.4072706426390857E-3</v>
      </c>
      <c r="U140" s="42">
        <f t="shared" si="57"/>
        <v>88717.015468607831</v>
      </c>
      <c r="V140" s="44">
        <f t="shared" si="58"/>
        <v>8.3493235243695942E-8</v>
      </c>
      <c r="W140" s="44">
        <f t="shared" si="59"/>
        <v>6.6794588194956754E-7</v>
      </c>
      <c r="X140" s="37">
        <f t="shared" si="60"/>
        <v>1.7519219376879908E-2</v>
      </c>
      <c r="Y140" s="44">
        <f t="shared" si="61"/>
        <v>26228.501215915388</v>
      </c>
      <c r="Z140" s="37">
        <f t="shared" si="62"/>
        <v>5.2731392906089584E-3</v>
      </c>
      <c r="AA140" s="38">
        <f t="shared" si="63"/>
        <v>0.19272686070939105</v>
      </c>
      <c r="AB140" s="36">
        <f t="shared" si="64"/>
        <v>9.6363430354695523E-2</v>
      </c>
      <c r="AC140" s="37">
        <f t="shared" si="65"/>
        <v>7.9237900964714662E-3</v>
      </c>
      <c r="AD140" s="41">
        <f t="shared" si="66"/>
        <v>7.685494296967847</v>
      </c>
      <c r="AE140">
        <f t="shared" si="67"/>
        <v>1.8800000000000001E-2</v>
      </c>
      <c r="AF140" s="36">
        <f t="shared" si="68"/>
        <v>11.233976699968958</v>
      </c>
      <c r="AG140" s="36">
        <f>IF(AC140&lt;(1/(Sheet1!BL139^2)),MPM!AF140,Sheet1!BL139)</f>
        <v>11.233976699968958</v>
      </c>
      <c r="AH140" s="38">
        <f>IF(AG140=AF140,AB140,Sheet1!BK139)</f>
        <v>9.6363430354695523E-2</v>
      </c>
      <c r="AI140" t="str">
        <f t="shared" si="69"/>
        <v>ok</v>
      </c>
      <c r="AJ140" s="37">
        <f t="shared" si="70"/>
        <v>7.9237900964714662E-3</v>
      </c>
      <c r="AK140" s="41">
        <f t="shared" si="71"/>
        <v>7.685494296967847</v>
      </c>
      <c r="AL140" s="42">
        <f t="shared" si="72"/>
        <v>100</v>
      </c>
    </row>
    <row r="141" spans="2:38">
      <c r="B141" s="36">
        <f t="shared" si="49"/>
        <v>136</v>
      </c>
      <c r="C141" s="36">
        <v>140</v>
      </c>
      <c r="D141" s="36">
        <v>2</v>
      </c>
      <c r="E141" s="36">
        <v>8.5999999999999993E-2</v>
      </c>
      <c r="F141" s="37">
        <v>8.1899999999999994E-3</v>
      </c>
      <c r="G141" s="36">
        <v>4.51</v>
      </c>
      <c r="H141" s="36">
        <v>9.4</v>
      </c>
      <c r="I141" s="36">
        <v>5.22</v>
      </c>
      <c r="J141" s="36">
        <v>2.68</v>
      </c>
      <c r="K141" s="36">
        <v>271.2</v>
      </c>
      <c r="L141" s="42">
        <v>1000</v>
      </c>
      <c r="M141" s="43">
        <v>9.9999999999999995E-7</v>
      </c>
      <c r="N141" s="36">
        <f t="shared" si="50"/>
        <v>0.14000000000000001</v>
      </c>
      <c r="O141" s="38">
        <f t="shared" si="51"/>
        <v>4.5100000000000001E-3</v>
      </c>
      <c r="P141" s="38">
        <f t="shared" si="52"/>
        <v>9.4000000000000004E-3</v>
      </c>
      <c r="Q141" s="36">
        <f t="shared" si="53"/>
        <v>0.81395348837209314</v>
      </c>
      <c r="R141" s="36">
        <f t="shared" si="54"/>
        <v>6.9095753999999996</v>
      </c>
      <c r="S141" s="38">
        <f t="shared" si="55"/>
        <v>7.9189686924493546E-2</v>
      </c>
      <c r="T141" s="37">
        <f t="shared" si="56"/>
        <v>9.6033411617995213E-3</v>
      </c>
      <c r="U141" s="42">
        <f t="shared" si="57"/>
        <v>64456.72191528546</v>
      </c>
      <c r="V141" s="44">
        <f t="shared" si="58"/>
        <v>1.4898897859591826E-7</v>
      </c>
      <c r="W141" s="44">
        <f t="shared" si="59"/>
        <v>1.1919118287673461E-6</v>
      </c>
      <c r="X141" s="37">
        <f t="shared" si="60"/>
        <v>1.9670496479141382E-2</v>
      </c>
      <c r="Y141" s="44">
        <f t="shared" si="61"/>
        <v>16503.315097966817</v>
      </c>
      <c r="Z141" s="37">
        <f t="shared" si="62"/>
        <v>3.487386241844644E-3</v>
      </c>
      <c r="AA141" s="38">
        <f t="shared" si="63"/>
        <v>0.16851261375815535</v>
      </c>
      <c r="AB141" s="36">
        <f t="shared" si="64"/>
        <v>8.4256306879077675E-2</v>
      </c>
      <c r="AC141" s="37">
        <f t="shared" si="65"/>
        <v>1.0217770664563511E-2</v>
      </c>
      <c r="AD141" s="41">
        <f t="shared" si="66"/>
        <v>6.7694802942619283</v>
      </c>
      <c r="AE141">
        <f t="shared" si="67"/>
        <v>1.8800000000000001E-2</v>
      </c>
      <c r="AF141" s="36">
        <f t="shared" si="68"/>
        <v>9.8928613995563559</v>
      </c>
      <c r="AG141" s="36">
        <f>IF(AC141&lt;(1/(Sheet1!BL140^2)),MPM!AF141,Sheet1!BL140)</f>
        <v>10.271285867615315</v>
      </c>
      <c r="AH141" s="38">
        <f>IF(AG141=AF141,AB141,Sheet1!BK140)</f>
        <v>7.8162174895856723E-2</v>
      </c>
      <c r="AI141" t="str">
        <f t="shared" si="69"/>
        <v>ok</v>
      </c>
      <c r="AJ141" s="37">
        <f t="shared" si="70"/>
        <v>9.4787346762377038E-3</v>
      </c>
      <c r="AK141" s="41">
        <f t="shared" si="71"/>
        <v>6.279853963434932</v>
      </c>
      <c r="AL141" s="42">
        <f t="shared" si="72"/>
        <v>92.767150363935286</v>
      </c>
    </row>
    <row r="142" spans="2:38">
      <c r="B142" s="36">
        <f t="shared" si="49"/>
        <v>137</v>
      </c>
      <c r="C142" s="36">
        <v>100</v>
      </c>
      <c r="D142" s="36">
        <v>2</v>
      </c>
      <c r="E142" s="36">
        <v>6.8000000000000005E-2</v>
      </c>
      <c r="F142" s="37">
        <v>8.1199999999999987E-3</v>
      </c>
      <c r="G142" s="36">
        <v>4.62</v>
      </c>
      <c r="H142" s="36">
        <v>9.4</v>
      </c>
      <c r="I142" s="36">
        <v>5.22</v>
      </c>
      <c r="J142" s="36">
        <v>2.68</v>
      </c>
      <c r="K142" s="36">
        <v>118.7</v>
      </c>
      <c r="L142" s="42">
        <v>1000</v>
      </c>
      <c r="M142" s="43">
        <v>9.9999999999999995E-7</v>
      </c>
      <c r="N142" s="36">
        <f t="shared" si="50"/>
        <v>0.1</v>
      </c>
      <c r="O142" s="38">
        <f t="shared" si="51"/>
        <v>4.62E-3</v>
      </c>
      <c r="P142" s="38">
        <f t="shared" si="52"/>
        <v>9.4000000000000004E-3</v>
      </c>
      <c r="Q142" s="36">
        <f t="shared" si="53"/>
        <v>0.73529411764705876</v>
      </c>
      <c r="R142" s="36">
        <f t="shared" si="54"/>
        <v>5.4166895999999998</v>
      </c>
      <c r="S142" s="38">
        <f t="shared" si="55"/>
        <v>6.3670411985018729E-2</v>
      </c>
      <c r="T142" s="37">
        <f t="shared" si="56"/>
        <v>9.3808137492134829E-3</v>
      </c>
      <c r="U142" s="42">
        <f t="shared" si="57"/>
        <v>46816.479400749064</v>
      </c>
      <c r="V142" s="44">
        <f t="shared" si="58"/>
        <v>2.0037418168320001E-7</v>
      </c>
      <c r="W142" s="44">
        <f t="shared" si="59"/>
        <v>1.6029934534656E-6</v>
      </c>
      <c r="X142" s="37">
        <f t="shared" si="60"/>
        <v>2.0871460742530771E-2</v>
      </c>
      <c r="Y142" s="44">
        <f t="shared" si="61"/>
        <v>13020.30316930341</v>
      </c>
      <c r="Z142" s="37">
        <f t="shared" si="62"/>
        <v>2.4082352741943589E-3</v>
      </c>
      <c r="AA142" s="38">
        <f t="shared" si="63"/>
        <v>0.13359176472580564</v>
      </c>
      <c r="AB142" s="36">
        <f t="shared" si="64"/>
        <v>6.679588236290282E-2</v>
      </c>
      <c r="AC142" s="37">
        <f t="shared" si="65"/>
        <v>9.8413016678484885E-3</v>
      </c>
      <c r="AD142" s="41">
        <f t="shared" si="66"/>
        <v>5.3207729605582221</v>
      </c>
      <c r="AE142">
        <f t="shared" si="67"/>
        <v>1.8800000000000001E-2</v>
      </c>
      <c r="AF142" s="36">
        <f t="shared" si="68"/>
        <v>10.080306275686715</v>
      </c>
      <c r="AG142" s="36">
        <f>IF(AC142&lt;(1/(Sheet1!BL141^2)),MPM!AF142,Sheet1!BL141)</f>
        <v>10.080306275686715</v>
      </c>
      <c r="AH142" s="38">
        <f>IF(AG142=AF142,AB142,Sheet1!BK141)</f>
        <v>6.679588236290282E-2</v>
      </c>
      <c r="AI142" t="str">
        <f t="shared" si="69"/>
        <v>ok</v>
      </c>
      <c r="AJ142" s="37">
        <f t="shared" si="70"/>
        <v>9.8413016678484885E-3</v>
      </c>
      <c r="AK142" s="41">
        <f t="shared" si="71"/>
        <v>5.3207729605582221</v>
      </c>
      <c r="AL142" s="42">
        <f t="shared" si="72"/>
        <v>100</v>
      </c>
    </row>
    <row r="143" spans="2:38"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</row>
    <row r="144" spans="2:38"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</row>
    <row r="145" spans="2:14"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</row>
    <row r="146" spans="2:14"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</row>
    <row r="147" spans="2:14"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</row>
    <row r="148" spans="2:14"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</row>
    <row r="149" spans="2:14"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</row>
    <row r="150" spans="2:14"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</row>
    <row r="151" spans="2:14"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</row>
    <row r="152" spans="2:14"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</row>
    <row r="153" spans="2:14"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</row>
    <row r="154" spans="2:14"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</row>
    <row r="155" spans="2:14"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</row>
    <row r="156" spans="2:14"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</row>
    <row r="157" spans="2:14"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</row>
    <row r="158" spans="2:14"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</row>
    <row r="182" spans="2:11" ht="17.649999999999999">
      <c r="B182" s="1"/>
      <c r="C182" s="2"/>
      <c r="D182" s="3"/>
      <c r="E182" s="4"/>
      <c r="F182" s="4"/>
      <c r="G182" s="7"/>
      <c r="H182" s="7"/>
      <c r="I182" s="7"/>
      <c r="J182" s="1"/>
      <c r="K182" s="22"/>
    </row>
    <row r="183" spans="2:11" ht="17.649999999999999">
      <c r="B183" s="1"/>
      <c r="C183" s="2"/>
      <c r="D183" s="3"/>
      <c r="E183" s="4"/>
      <c r="F183" s="4"/>
      <c r="G183" s="7"/>
      <c r="H183" s="7"/>
      <c r="I183" s="7"/>
      <c r="J183" s="1"/>
      <c r="K183" s="22"/>
    </row>
    <row r="184" spans="2:11" ht="17.649999999999999">
      <c r="B184" s="1"/>
      <c r="C184" s="2"/>
      <c r="D184" s="3"/>
      <c r="E184" s="4"/>
      <c r="F184" s="4"/>
      <c r="G184" s="7"/>
      <c r="H184" s="7"/>
      <c r="I184" s="7"/>
      <c r="J184" s="1"/>
      <c r="K184" s="22"/>
    </row>
    <row r="185" spans="2:11" ht="17.649999999999999">
      <c r="B185" s="1"/>
      <c r="C185" s="2"/>
      <c r="D185" s="3"/>
      <c r="E185" s="4"/>
      <c r="F185" s="4"/>
      <c r="G185" s="7"/>
      <c r="H185" s="7"/>
      <c r="I185" s="7"/>
      <c r="J185" s="1"/>
      <c r="K185" s="22"/>
    </row>
    <row r="186" spans="2:11" ht="17.649999999999999">
      <c r="B186" s="1"/>
      <c r="C186" s="2"/>
      <c r="D186" s="3"/>
      <c r="E186" s="4"/>
      <c r="F186" s="4"/>
      <c r="G186" s="7"/>
      <c r="H186" s="7"/>
      <c r="I186" s="7"/>
      <c r="J186" s="1"/>
      <c r="K186" s="22"/>
    </row>
    <row r="187" spans="2:11" ht="19.899999999999999">
      <c r="B187" s="8"/>
      <c r="C187" s="2"/>
      <c r="D187" s="3"/>
      <c r="E187" s="4"/>
      <c r="F187" s="4"/>
      <c r="G187" s="7"/>
      <c r="H187" s="7"/>
      <c r="I187" s="7"/>
      <c r="J187" s="1"/>
      <c r="K187" s="22"/>
    </row>
    <row r="188" spans="2:11" ht="17.649999999999999">
      <c r="B188" s="1"/>
      <c r="C188" s="2"/>
      <c r="D188" s="3"/>
      <c r="E188" s="4"/>
      <c r="F188" s="4"/>
      <c r="G188" s="7"/>
      <c r="H188" s="7"/>
      <c r="I188" s="7"/>
      <c r="J188" s="1"/>
      <c r="K188" s="22"/>
    </row>
    <row r="189" spans="2:11" ht="19.899999999999999">
      <c r="B189" s="9"/>
      <c r="C189" s="16"/>
      <c r="D189" s="17"/>
      <c r="E189" s="18"/>
      <c r="F189" s="19"/>
      <c r="G189" s="20"/>
      <c r="H189" s="20"/>
      <c r="I189" s="20"/>
      <c r="J189" s="9"/>
      <c r="K189" s="21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6F400-E069-42C9-8DDA-B7FD920D535C}">
  <dimension ref="A3:BN312"/>
  <sheetViews>
    <sheetView topLeftCell="AZ1" workbookViewId="0">
      <selection activeCell="BM3" sqref="BM3"/>
    </sheetView>
  </sheetViews>
  <sheetFormatPr defaultRowHeight="14.25"/>
  <cols>
    <col min="4" max="4" width="9.265625" bestFit="1" customWidth="1"/>
  </cols>
  <sheetData>
    <row r="3" spans="1:66">
      <c r="A3" t="s">
        <v>1</v>
      </c>
      <c r="B3" t="s">
        <v>42</v>
      </c>
      <c r="C3" t="s">
        <v>43</v>
      </c>
      <c r="D3" t="s">
        <v>46</v>
      </c>
      <c r="E3" t="s">
        <v>44</v>
      </c>
      <c r="F3" t="s">
        <v>45</v>
      </c>
      <c r="G3" t="s">
        <v>46</v>
      </c>
      <c r="H3" t="s">
        <v>44</v>
      </c>
      <c r="I3" t="s">
        <v>45</v>
      </c>
      <c r="J3" t="s">
        <v>46</v>
      </c>
      <c r="K3" t="s">
        <v>44</v>
      </c>
      <c r="L3" t="s">
        <v>45</v>
      </c>
      <c r="M3" t="s">
        <v>46</v>
      </c>
      <c r="N3" t="s">
        <v>44</v>
      </c>
      <c r="O3" t="s">
        <v>45</v>
      </c>
      <c r="P3" t="s">
        <v>46</v>
      </c>
      <c r="Q3" t="s">
        <v>44</v>
      </c>
      <c r="R3" t="s">
        <v>45</v>
      </c>
      <c r="S3" t="s">
        <v>46</v>
      </c>
      <c r="T3" t="s">
        <v>44</v>
      </c>
      <c r="U3" t="s">
        <v>45</v>
      </c>
      <c r="V3" t="s">
        <v>46</v>
      </c>
      <c r="W3" t="s">
        <v>44</v>
      </c>
      <c r="X3" t="s">
        <v>45</v>
      </c>
      <c r="Y3" t="s">
        <v>46</v>
      </c>
      <c r="Z3" t="s">
        <v>44</v>
      </c>
      <c r="AA3" t="s">
        <v>45</v>
      </c>
      <c r="AB3" t="s">
        <v>46</v>
      </c>
      <c r="AC3" t="s">
        <v>44</v>
      </c>
      <c r="AD3" t="s">
        <v>45</v>
      </c>
      <c r="AE3" t="s">
        <v>46</v>
      </c>
      <c r="AF3" t="s">
        <v>44</v>
      </c>
      <c r="AG3" t="s">
        <v>45</v>
      </c>
      <c r="AH3" t="s">
        <v>46</v>
      </c>
      <c r="AI3" t="s">
        <v>44</v>
      </c>
      <c r="AJ3" t="s">
        <v>45</v>
      </c>
      <c r="AK3" t="s">
        <v>46</v>
      </c>
      <c r="AL3" t="s">
        <v>44</v>
      </c>
      <c r="AM3" t="s">
        <v>45</v>
      </c>
      <c r="AN3" t="s">
        <v>46</v>
      </c>
      <c r="AO3" t="s">
        <v>44</v>
      </c>
      <c r="AP3" t="s">
        <v>45</v>
      </c>
      <c r="AQ3" t="s">
        <v>46</v>
      </c>
      <c r="AR3" t="s">
        <v>44</v>
      </c>
      <c r="AS3" t="s">
        <v>45</v>
      </c>
      <c r="AT3" t="s">
        <v>46</v>
      </c>
      <c r="AU3" t="s">
        <v>44</v>
      </c>
      <c r="AV3" t="s">
        <v>45</v>
      </c>
      <c r="AW3" t="s">
        <v>46</v>
      </c>
      <c r="AX3" t="s">
        <v>44</v>
      </c>
      <c r="AY3" t="s">
        <v>45</v>
      </c>
      <c r="AZ3" t="s">
        <v>46</v>
      </c>
      <c r="BA3" t="s">
        <v>44</v>
      </c>
      <c r="BB3" t="s">
        <v>45</v>
      </c>
      <c r="BC3" t="s">
        <v>46</v>
      </c>
      <c r="BD3" t="s">
        <v>44</v>
      </c>
      <c r="BE3" t="s">
        <v>45</v>
      </c>
      <c r="BF3" t="s">
        <v>46</v>
      </c>
      <c r="BG3" t="s">
        <v>44</v>
      </c>
      <c r="BH3" t="s">
        <v>45</v>
      </c>
      <c r="BI3" t="s">
        <v>46</v>
      </c>
      <c r="BJ3" t="s">
        <v>44</v>
      </c>
      <c r="BK3" t="s">
        <v>45</v>
      </c>
      <c r="BL3" t="s">
        <v>46</v>
      </c>
      <c r="BM3" t="s">
        <v>44</v>
      </c>
      <c r="BN3" t="s">
        <v>48</v>
      </c>
    </row>
    <row r="4" spans="1:66">
      <c r="B4" t="s">
        <v>29</v>
      </c>
      <c r="C4" t="s">
        <v>12</v>
      </c>
      <c r="D4" t="s">
        <v>29</v>
      </c>
      <c r="F4" t="s">
        <v>12</v>
      </c>
      <c r="G4" t="s">
        <v>29</v>
      </c>
      <c r="I4" t="s">
        <v>12</v>
      </c>
      <c r="J4" t="s">
        <v>29</v>
      </c>
      <c r="L4" t="s">
        <v>12</v>
      </c>
      <c r="M4" t="s">
        <v>29</v>
      </c>
      <c r="O4" t="s">
        <v>12</v>
      </c>
      <c r="P4" t="s">
        <v>29</v>
      </c>
      <c r="R4" t="s">
        <v>12</v>
      </c>
      <c r="S4" t="s">
        <v>29</v>
      </c>
      <c r="U4" t="s">
        <v>12</v>
      </c>
      <c r="V4" t="s">
        <v>29</v>
      </c>
      <c r="X4" t="s">
        <v>12</v>
      </c>
      <c r="Y4" t="s">
        <v>29</v>
      </c>
      <c r="AA4" t="s">
        <v>12</v>
      </c>
      <c r="AB4" t="s">
        <v>29</v>
      </c>
      <c r="AD4" t="s">
        <v>12</v>
      </c>
      <c r="AE4" t="s">
        <v>29</v>
      </c>
      <c r="AG4" t="s">
        <v>12</v>
      </c>
      <c r="AH4" t="s">
        <v>29</v>
      </c>
      <c r="AJ4" t="s">
        <v>12</v>
      </c>
      <c r="AK4" t="s">
        <v>29</v>
      </c>
      <c r="AM4" t="s">
        <v>12</v>
      </c>
      <c r="AN4" t="s">
        <v>29</v>
      </c>
      <c r="AP4" t="s">
        <v>12</v>
      </c>
      <c r="AQ4" t="s">
        <v>29</v>
      </c>
      <c r="AS4" t="s">
        <v>12</v>
      </c>
      <c r="AT4" t="s">
        <v>29</v>
      </c>
      <c r="AV4" t="s">
        <v>12</v>
      </c>
      <c r="AW4" t="s">
        <v>29</v>
      </c>
      <c r="AY4" t="s">
        <v>12</v>
      </c>
      <c r="AZ4" t="s">
        <v>29</v>
      </c>
      <c r="BB4" t="s">
        <v>12</v>
      </c>
      <c r="BC4" t="s">
        <v>29</v>
      </c>
      <c r="BE4" t="s">
        <v>12</v>
      </c>
      <c r="BF4" t="s">
        <v>29</v>
      </c>
      <c r="BH4" t="s">
        <v>12</v>
      </c>
      <c r="BI4" t="s">
        <v>29</v>
      </c>
      <c r="BK4" t="s">
        <v>12</v>
      </c>
      <c r="BL4" t="s">
        <v>29</v>
      </c>
      <c r="BN4" t="s">
        <v>29</v>
      </c>
    </row>
    <row r="5" spans="1:66">
      <c r="A5" s="36">
        <f>MPM!B6</f>
        <v>1</v>
      </c>
      <c r="B5" s="41">
        <f>1/(MPM!AC6^0.5)</f>
        <v>10.864498262531326</v>
      </c>
      <c r="C5" s="38">
        <f>(MPM!$Q6^2)/(9.81*MPM!$F6*(Sheet1!B5^2))</f>
        <v>0.36279651455342138</v>
      </c>
      <c r="D5" s="36">
        <f>8.1*((C5/MPM!$AE6)^(1/6))</f>
        <v>11.017162779806005</v>
      </c>
      <c r="E5" s="41">
        <f>100*ABS(D5-B5)/D5</f>
        <v>1.3856972101248</v>
      </c>
      <c r="F5" s="38">
        <f>(MPM!$Q6^2)/(9.81*MPM!$F6*(D5^2))</f>
        <v>0.35281165481015303</v>
      </c>
      <c r="G5" s="36">
        <f>8.1*((F5/MPM!$AE6)^(1/6))</f>
        <v>10.966037728993065</v>
      </c>
      <c r="H5" s="43">
        <f>100*ABS(G5-D5)/G5</f>
        <v>0.46621261093941946</v>
      </c>
      <c r="I5" s="38">
        <f>(MPM!$Q6^2)/(9.81*MPM!$F6*(G5^2))</f>
        <v>0.3561090281747798</v>
      </c>
      <c r="J5" s="36">
        <f>8.1*((I5/MPM!$AE6)^(1/6))</f>
        <v>10.983052997486316</v>
      </c>
      <c r="K5" s="43">
        <f t="shared" ref="K5" si="0">100*ABS(J5-G5)/J5</f>
        <v>0.15492293897831216</v>
      </c>
      <c r="L5" s="38">
        <f>(MPM!$Q6^2)/(9.81*MPM!$F6*(J5^2))</f>
        <v>0.35500649373139459</v>
      </c>
      <c r="M5" s="36">
        <f>8.1*((L5/MPM!$AE6)^(1/6))</f>
        <v>10.977378309847948</v>
      </c>
      <c r="N5" s="43">
        <f t="shared" ref="N5" si="1">100*ABS(M5-J5)/M5</f>
        <v>5.1694379825441471E-2</v>
      </c>
      <c r="O5" s="38">
        <f>(MPM!$Q6^2)/(9.81*MPM!$F6*(M5^2))</f>
        <v>0.35537362541064504</v>
      </c>
      <c r="P5" s="36">
        <f>8.1*((O5/MPM!$AE6)^(1/6))</f>
        <v>10.979269546543803</v>
      </c>
      <c r="Q5" s="43">
        <f t="shared" ref="Q5" si="2">100*ABS(P5-M5)/P5</f>
        <v>1.7225523864198299E-2</v>
      </c>
      <c r="R5" s="38">
        <f>(MPM!$Q6^2)/(9.81*MPM!$F6*(P5^2))</f>
        <v>0.35525120601793969</v>
      </c>
      <c r="S5" s="36">
        <f>8.1*((R5/MPM!$AE6)^(1/6))</f>
        <v>10.978639098111119</v>
      </c>
      <c r="T5" s="43">
        <f t="shared" ref="T5" si="3">100*ABS(S5-P5)/S5</f>
        <v>5.7425007512313109E-3</v>
      </c>
      <c r="U5" s="38">
        <f>(MPM!$Q6^2)/(9.81*MPM!$F6*(S5^2))</f>
        <v>0.35529200779577597</v>
      </c>
      <c r="V5" s="36">
        <f>8.1*((U5/MPM!$AE6)^(1/6))</f>
        <v>10.978849243566197</v>
      </c>
      <c r="W5" s="43">
        <f t="shared" ref="W5" si="4">100*ABS(V5-S5)/V5</f>
        <v>1.9140936396535074E-3</v>
      </c>
      <c r="X5" s="38">
        <f>(MPM!$Q6^2)/(9.81*MPM!$F6*(V5^2))</f>
        <v>0.35527840668249938</v>
      </c>
      <c r="Y5" s="36">
        <f>8.1*((X5/MPM!$AE6)^(1/6))</f>
        <v>10.978779194634233</v>
      </c>
      <c r="Z5" s="43">
        <f t="shared" ref="Z5" si="5">100*ABS(Y5-V5)/Y5</f>
        <v>6.3803935502792771E-4</v>
      </c>
      <c r="AA5" s="38">
        <f>(MPM!$Q6^2)/(9.81*MPM!$F6*(Y5^2))</f>
        <v>0.35528294032907165</v>
      </c>
      <c r="AB5" s="36">
        <f>8.1*((AA5/MPM!$AE6)^(1/6))</f>
        <v>10.978802544228561</v>
      </c>
      <c r="AC5" s="43">
        <f t="shared" ref="AC5" si="6">100*ABS(AB5-Y5)/AB5</f>
        <v>2.1267888035426567E-4</v>
      </c>
      <c r="AD5" s="38">
        <f>(MPM!$Q6^2)/(9.81*MPM!$F6*(AB5^2))</f>
        <v>0.35528142910711957</v>
      </c>
      <c r="AE5" s="36">
        <f>8.1*((AD5/MPM!$AE6)^(1/6))</f>
        <v>10.978794761024934</v>
      </c>
      <c r="AF5" s="43">
        <f t="shared" ref="AF5" si="7">100*ABS(AE5-AB5)/AE5</f>
        <v>7.0893060631013936E-5</v>
      </c>
      <c r="AG5" s="38">
        <f>(MPM!$Q6^2)/(9.81*MPM!$F6*(AE5^2))</f>
        <v>0.355281932847056</v>
      </c>
      <c r="AH5" s="36">
        <f>8.1*((AG5/MPM!$AE6)^(1/6))</f>
        <v>10.978797355425531</v>
      </c>
      <c r="AI5" s="43">
        <f t="shared" ref="AI5" si="8">100*ABS(AH5-AE5)/AH5</f>
        <v>2.3631009049422261E-5</v>
      </c>
      <c r="AJ5" s="38">
        <f>(MPM!$Q6^2)/(9.81*MPM!$F6*(AH5^2))</f>
        <v>0.35528176493366442</v>
      </c>
      <c r="AK5" s="36">
        <f>8.1*((AJ5/MPM!$AE6)^(1/6))</f>
        <v>10.978796490625262</v>
      </c>
      <c r="AL5" s="43">
        <f t="shared" ref="AL5" si="9">100*ABS(AK5-AH5)/AK5</f>
        <v>7.8770042733548304E-6</v>
      </c>
      <c r="AM5" s="38">
        <f>(MPM!$Q6^2)/(9.81*MPM!$F6*(AK5^2))</f>
        <v>0.35528182090478627</v>
      </c>
      <c r="AN5" s="36">
        <f>8.1*((AM5/MPM!$AE6)^(1/6))</f>
        <v>10.978796778892011</v>
      </c>
      <c r="AO5" s="43">
        <f t="shared" ref="AO5" si="10">100*ABS(AN5-AK5)/AN5</f>
        <v>2.6256679574574057E-6</v>
      </c>
      <c r="AP5" s="38">
        <f>(MPM!$Q6^2)/(9.81*MPM!$F6*(AN5^2))</f>
        <v>0.35528180224774464</v>
      </c>
      <c r="AQ5" s="36">
        <f>8.1*((AP5/MPM!$AE6)^(1/6))</f>
        <v>10.978796682803095</v>
      </c>
      <c r="AR5" s="43">
        <f t="shared" ref="AR5" si="11">100*ABS(AQ5-AN5)/AQ5</f>
        <v>8.752226601459489E-7</v>
      </c>
      <c r="AS5" s="38">
        <f>(MPM!$Q6^2)/(9.81*MPM!$F6*(AQ5^2))</f>
        <v>0.35528180846675833</v>
      </c>
      <c r="AT5" s="36">
        <f>8.1*((AS5/MPM!$AE6)^(1/6))</f>
        <v>10.978796714832733</v>
      </c>
      <c r="AU5" s="43">
        <f t="shared" ref="AU5" si="12">100*ABS(AT5-AQ5)/AT5</f>
        <v>2.9174087507759789E-7</v>
      </c>
      <c r="AV5" s="38">
        <f>(MPM!$Q6^2)/(9.81*MPM!$F6*(AT5^2))</f>
        <v>0.35528180639375384</v>
      </c>
      <c r="AW5" s="36">
        <f>8.1*((AV5/MPM!$AE6)^(1/6))</f>
        <v>10.978796704156187</v>
      </c>
      <c r="AX5" s="43">
        <f t="shared" ref="AX5" si="13">100*ABS(AW5-AT5)/AW5</f>
        <v>9.7246958453769013E-8</v>
      </c>
      <c r="AY5" s="38">
        <f>(MPM!$Q6^2)/(9.81*MPM!$F6*(AW5^2))</f>
        <v>0.35528180708475532</v>
      </c>
      <c r="AZ5" s="36">
        <f>8.1*((AY5/MPM!$AE6)^(1/6))</f>
        <v>10.978796707715036</v>
      </c>
      <c r="BA5" s="43">
        <f t="shared" ref="BA5" si="14">100*ABS(AZ5-AW5)/AZ5</f>
        <v>3.2415658200710738E-8</v>
      </c>
      <c r="BB5" s="38">
        <f>(MPM!$Q6^2)/(9.81*MPM!$F6*(AZ5^2))</f>
        <v>0.35528180685442146</v>
      </c>
      <c r="BC5" s="36">
        <f>8.1*((BB5/MPM!$AE6)^(1/6))</f>
        <v>10.978796706528753</v>
      </c>
      <c r="BD5" s="43">
        <f t="shared" ref="BD5" si="15">100*ABS(BC5-AZ5)/BC5</f>
        <v>1.080521940140444E-8</v>
      </c>
      <c r="BE5" s="38">
        <f>(MPM!$Q6^2)/(9.81*MPM!$F6*(BC5^2))</f>
        <v>0.35528180693119943</v>
      </c>
      <c r="BF5" s="36">
        <f>8.1*((BE5/MPM!$AE6)^(1/6))</f>
        <v>10.978796706924181</v>
      </c>
      <c r="BG5" s="43">
        <f t="shared" ref="BG5" si="16">100*ABS(BF5-BC5)/BF5</f>
        <v>3.6017398003384215E-9</v>
      </c>
      <c r="BH5" s="38">
        <f>(MPM!$Q6^2)/(9.81*MPM!$F6*(BF5^2))</f>
        <v>0.35528180690560673</v>
      </c>
      <c r="BI5" s="36">
        <f>8.1*((BH5/MPM!$AE6)^(1/6))</f>
        <v>10.978796706792371</v>
      </c>
      <c r="BJ5" s="43">
        <f t="shared" ref="BJ5" si="17">100*ABS(BI5-BF5)/BI5</f>
        <v>1.2005799334605545E-9</v>
      </c>
      <c r="BK5" s="38">
        <f>(MPM!$Q6^2)/(9.81*MPM!$F6*(BI5^2))</f>
        <v>0.35528180691413763</v>
      </c>
      <c r="BL5" s="36">
        <f>8.1*((BK5/MPM!$AE6)^(1/6))</f>
        <v>10.978796706836308</v>
      </c>
      <c r="BM5" s="43">
        <f t="shared" ref="BM5" si="18">100*ABS(BL5-BI5)/BL5</f>
        <v>4.0019331115191657E-10</v>
      </c>
      <c r="BN5" s="43">
        <f>100*ABS(BK5-BH5)/BK5</f>
        <v>2.4011638209580957E-9</v>
      </c>
    </row>
    <row r="6" spans="1:66">
      <c r="A6" s="36">
        <f>MPM!B7</f>
        <v>2</v>
      </c>
      <c r="B6" s="41">
        <f>1/(MPM!AC7^0.5)</f>
        <v>11.393645351490765</v>
      </c>
      <c r="C6" s="38">
        <f>(MPM!$Q7^2)/(9.81*MPM!$F7*(Sheet1!B6^2))</f>
        <v>0.410033254836705</v>
      </c>
      <c r="D6" s="36">
        <f>8.1*((C6/MPM!$AE7)^(1/6))</f>
        <v>11.244213813909552</v>
      </c>
      <c r="E6" s="41">
        <f t="shared" ref="E6:E69" si="19">100*ABS(D6-B6)/D6</f>
        <v>1.3289638569159925</v>
      </c>
      <c r="F6" s="38">
        <f>(MPM!$Q7^2)/(9.81*MPM!$F7*(D6^2))</f>
        <v>0.42100406016847586</v>
      </c>
      <c r="G6" s="36">
        <f>8.1*((F6/MPM!$AE7)^(1/6))</f>
        <v>11.293805286694678</v>
      </c>
      <c r="H6" s="43">
        <f t="shared" ref="H6:H69" si="20">100*ABS(G6-D6)/G6</f>
        <v>0.43910330952447191</v>
      </c>
      <c r="I6" s="38">
        <f>(MPM!$Q7^2)/(9.81*MPM!$F7*(G6^2))</f>
        <v>0.41731489209715816</v>
      </c>
      <c r="J6" s="36">
        <f>8.1*((I6/MPM!$AE7)^(1/6))</f>
        <v>11.277250541258486</v>
      </c>
      <c r="K6" s="43">
        <f t="shared" ref="K6:K69" si="21">100*ABS(J6-G6)/J6</f>
        <v>0.14679770903045519</v>
      </c>
      <c r="L6" s="38">
        <f>(MPM!$Q7^2)/(9.81*MPM!$F7*(J6^2))</f>
        <v>0.41854100879477968</v>
      </c>
      <c r="M6" s="36">
        <f>8.1*((L6/MPM!$AE7)^(1/6))</f>
        <v>11.282766091716427</v>
      </c>
      <c r="N6" s="43">
        <f t="shared" ref="N6:N69" si="22">100*ABS(M6-J6)/M6</f>
        <v>4.8884736359028041E-2</v>
      </c>
      <c r="O6" s="38">
        <f>(MPM!$Q7^2)/(9.81*MPM!$F7*(M6^2))</f>
        <v>0.41813190347684742</v>
      </c>
      <c r="P6" s="36">
        <f>8.1*((O6/MPM!$AE7)^(1/6))</f>
        <v>11.280927275231024</v>
      </c>
      <c r="Q6" s="43">
        <f t="shared" ref="Q6:Q69" si="23">100*ABS(P6-M6)/P6</f>
        <v>1.6300224622850558E-2</v>
      </c>
      <c r="R6" s="38">
        <f>(MPM!$Q7^2)/(9.81*MPM!$F7*(P6^2))</f>
        <v>0.41826822746547326</v>
      </c>
      <c r="S6" s="36">
        <f>8.1*((R6/MPM!$AE7)^(1/6))</f>
        <v>11.281540180759039</v>
      </c>
      <c r="T6" s="43">
        <f t="shared" ref="T6:T69" si="24">100*ABS(S6-P6)/S6</f>
        <v>5.4328178439752711E-3</v>
      </c>
      <c r="U6" s="38">
        <f>(MPM!$Q7^2)/(9.81*MPM!$F7*(S6^2))</f>
        <v>0.41822278119821837</v>
      </c>
      <c r="V6" s="36">
        <f>8.1*((U6/MPM!$AE7)^(1/6))</f>
        <v>11.281335875216472</v>
      </c>
      <c r="W6" s="43">
        <f t="shared" ref="W6:W69" si="25">100*ABS(V6-S6)/V6</f>
        <v>1.8110048741317153E-3</v>
      </c>
      <c r="X6" s="38">
        <f>(MPM!$Q7^2)/(9.81*MPM!$F7*(V6^2))</f>
        <v>0.41823792940528898</v>
      </c>
      <c r="Y6" s="36">
        <f>8.1*((X6/MPM!$AE7)^(1/6))</f>
        <v>11.281403976652889</v>
      </c>
      <c r="Z6" s="43">
        <f t="shared" ref="Z6:Z69" si="26">100*ABS(Y6-V6)/Y6</f>
        <v>6.036610031708835E-4</v>
      </c>
      <c r="AA6" s="38">
        <f>(MPM!$Q7^2)/(9.81*MPM!$F7*(Y6^2))</f>
        <v>0.41823287994196928</v>
      </c>
      <c r="AB6" s="36">
        <f>8.1*((AA6/MPM!$AE7)^(1/6))</f>
        <v>11.281381276128407</v>
      </c>
      <c r="AC6" s="43">
        <f t="shared" ref="AC6:AC69" si="27">100*ABS(AB6-Y6)/AB6</f>
        <v>2.0122114417339362E-4</v>
      </c>
      <c r="AD6" s="38">
        <f>(MPM!$Q7^2)/(9.81*MPM!$F7*(AB6^2))</f>
        <v>0.4182345630896353</v>
      </c>
      <c r="AE6" s="36">
        <f>8.1*((AD6/MPM!$AE7)^(1/6))</f>
        <v>11.281388842964825</v>
      </c>
      <c r="AF6" s="43">
        <f t="shared" ref="AF6:AF69" si="28">100*ABS(AE6-AB6)/AE6</f>
        <v>6.7073624739143203E-5</v>
      </c>
      <c r="AG6" s="38">
        <f>(MPM!$Q7^2)/(9.81*MPM!$F7*(AE6^2))</f>
        <v>0.41823400203966077</v>
      </c>
      <c r="AH6" s="36">
        <f>8.1*((AG6/MPM!$AE7)^(1/6))</f>
        <v>11.281386320685456</v>
      </c>
      <c r="AI6" s="43">
        <f t="shared" ref="AI6:AI69" si="29">100*ABS(AH6-AE6)/AH6</f>
        <v>2.2357884898000235E-5</v>
      </c>
      <c r="AJ6" s="38">
        <f>(MPM!$Q7^2)/(9.81*MPM!$F7*(AH6^2))</f>
        <v>0.41823418905623522</v>
      </c>
      <c r="AK6" s="36">
        <f>8.1*((AJ6/MPM!$AE7)^(1/6))</f>
        <v>11.281387161445181</v>
      </c>
      <c r="AL6" s="43">
        <f t="shared" ref="AL6:AL69" si="30">100*ABS(AK6-AH6)/AK6</f>
        <v>7.4526271718154869E-6</v>
      </c>
      <c r="AM6" s="38">
        <f>(MPM!$Q7^2)/(9.81*MPM!$F7*(AK6^2))</f>
        <v>0.41823412671736787</v>
      </c>
      <c r="AN6" s="36">
        <f>8.1*((AM6/MPM!$AE7)^(1/6))</f>
        <v>11.281386881191935</v>
      </c>
      <c r="AO6" s="43">
        <f t="shared" ref="AO6:AO69" si="31">100*ABS(AN6-AK6)/AN6</f>
        <v>2.4842091609738669E-6</v>
      </c>
      <c r="AP6" s="38">
        <f>(MPM!$Q7^2)/(9.81*MPM!$F7*(AN6^2))</f>
        <v>0.41823414749698917</v>
      </c>
      <c r="AQ6" s="36">
        <f>8.1*((AP6/MPM!$AE7)^(1/6))</f>
        <v>11.281386974609681</v>
      </c>
      <c r="AR6" s="43">
        <f t="shared" ref="AR6:AR69" si="32">100*ABS(AQ6-AN6)/AQ6</f>
        <v>8.2806969247308359E-7</v>
      </c>
      <c r="AS6" s="38">
        <f>(MPM!$Q7^2)/(9.81*MPM!$F7*(AQ6^2))</f>
        <v>0.41823414057044878</v>
      </c>
      <c r="AT6" s="36">
        <f>8.1*((AS6/MPM!$AE7)^(1/6))</f>
        <v>11.281386943470434</v>
      </c>
      <c r="AU6" s="43">
        <f t="shared" ref="AU6:AU69" si="33">100*ABS(AT6-AQ6)/AT6</f>
        <v>2.7602322108897725E-7</v>
      </c>
      <c r="AV6" s="38">
        <f>(MPM!$Q7^2)/(9.81*MPM!$F7*(AT6^2))</f>
        <v>0.41823414287929539</v>
      </c>
      <c r="AW6" s="36">
        <f>8.1*((AV6/MPM!$AE7)^(1/6))</f>
        <v>11.281386953850181</v>
      </c>
      <c r="AX6" s="43">
        <f t="shared" ref="AX6:AX69" si="34">100*ABS(AW6-AT6)/AW6</f>
        <v>9.2007719283793861E-8</v>
      </c>
      <c r="AY6" s="38">
        <f>(MPM!$Q7^2)/(9.81*MPM!$F7*(AW6^2))</f>
        <v>0.41823414210967996</v>
      </c>
      <c r="AZ6" s="36">
        <f>8.1*((AY6/MPM!$AE7)^(1/6))</f>
        <v>11.281386950390266</v>
      </c>
      <c r="BA6" s="43">
        <f t="shared" ref="BA6:BA69" si="35">100*ABS(AZ6-AW6)/AZ6</f>
        <v>3.0669234522034555E-8</v>
      </c>
      <c r="BB6" s="38">
        <f>(MPM!$Q7^2)/(9.81*MPM!$F7*(AZ6^2))</f>
        <v>0.41823414236621848</v>
      </c>
      <c r="BC6" s="36">
        <f>8.1*((BB6/MPM!$AE7)^(1/6))</f>
        <v>11.281386951543571</v>
      </c>
      <c r="BD6" s="43">
        <f t="shared" ref="BD6:BD69" si="36">100*ABS(BC6-AZ6)/BC6</f>
        <v>1.0223078172966404E-8</v>
      </c>
      <c r="BE6" s="38">
        <f>(MPM!$Q7^2)/(9.81*MPM!$F7*(BC6^2))</f>
        <v>0.4182341422807056</v>
      </c>
      <c r="BF6" s="36">
        <f>8.1*((BE6/MPM!$AE7)^(1/6))</f>
        <v>11.281386951159137</v>
      </c>
      <c r="BG6" s="43">
        <f t="shared" ref="BG6:BG69" si="37">100*ABS(BF6-BC6)/BF6</f>
        <v>3.4076822271660873E-9</v>
      </c>
      <c r="BH6" s="38">
        <f>(MPM!$Q7^2)/(9.81*MPM!$F7*(BF6^2))</f>
        <v>0.4182341423092098</v>
      </c>
      <c r="BI6" s="36">
        <f>8.1*((BH6/MPM!$AE7)^(1/6))</f>
        <v>11.28138695128728</v>
      </c>
      <c r="BJ6" s="43">
        <f t="shared" ref="BJ6:BJ69" si="38">100*ABS(BI6-BF6)/BI6</f>
        <v>1.1358783298008703E-9</v>
      </c>
      <c r="BK6" s="38">
        <f>(MPM!$Q7^2)/(9.81*MPM!$F7*(BI6^2))</f>
        <v>0.41823414229970857</v>
      </c>
      <c r="BL6" s="36">
        <f>8.1*((BK6/MPM!$AE7)^(1/6))</f>
        <v>11.281386951244565</v>
      </c>
      <c r="BM6" s="43">
        <f t="shared" ref="BM6:BM69" si="39">100*ABS(BL6-BI6)/BL6</f>
        <v>3.7862610993505702E-10</v>
      </c>
      <c r="BN6" s="43">
        <f t="shared" ref="BN6:BN69" si="40">100*ABS(BK6-BH6)/BK6</f>
        <v>2.2717497623095126E-9</v>
      </c>
    </row>
    <row r="7" spans="1:66">
      <c r="A7" s="36">
        <f>MPM!B8</f>
        <v>3</v>
      </c>
      <c r="B7" s="41">
        <f>1/(MPM!AC8^0.5)</f>
        <v>11.310432508959677</v>
      </c>
      <c r="C7" s="38">
        <f>(MPM!$Q8^2)/(9.81*MPM!$F8*(Sheet1!B7^2))</f>
        <v>0.36996521904903029</v>
      </c>
      <c r="D7" s="36">
        <f>8.1*((C7/MPM!$AE8)^(1/6))</f>
        <v>11.053150025277805</v>
      </c>
      <c r="E7" s="41">
        <f t="shared" si="19"/>
        <v>2.327684715157976</v>
      </c>
      <c r="F7" s="38">
        <f>(MPM!$Q8^2)/(9.81*MPM!$F8*(D7^2))</f>
        <v>0.38738891821164478</v>
      </c>
      <c r="G7" s="36">
        <f>8.1*((F7/MPM!$AE8)^(1/6))</f>
        <v>11.138253912841323</v>
      </c>
      <c r="H7" s="43">
        <f t="shared" si="20"/>
        <v>0.76406848173394071</v>
      </c>
      <c r="I7" s="38">
        <f>(MPM!$Q8^2)/(9.81*MPM!$F8*(G7^2))</f>
        <v>0.38149170075009747</v>
      </c>
      <c r="J7" s="36">
        <f>8.1*((I7/MPM!$AE8)^(1/6))</f>
        <v>11.10981339183942</v>
      </c>
      <c r="K7" s="43">
        <f t="shared" si="21"/>
        <v>0.25599458783703238</v>
      </c>
      <c r="L7" s="38">
        <f>(MPM!$Q8^2)/(9.81*MPM!$F8*(J7^2))</f>
        <v>0.38344739700233166</v>
      </c>
      <c r="M7" s="36">
        <f>8.1*((L7/MPM!$AE8)^(1/6))</f>
        <v>11.119285487414889</v>
      </c>
      <c r="N7" s="43">
        <f t="shared" si="22"/>
        <v>8.5186189222220335E-2</v>
      </c>
      <c r="O7" s="38">
        <f>(MPM!$Q8^2)/(9.81*MPM!$F8*(M7^2))</f>
        <v>0.38279438680774325</v>
      </c>
      <c r="P7" s="36">
        <f>8.1*((O7/MPM!$AE8)^(1/6))</f>
        <v>11.116127225252166</v>
      </c>
      <c r="Q7" s="43">
        <f t="shared" si="23"/>
        <v>2.8411533070151523E-2</v>
      </c>
      <c r="R7" s="38">
        <f>(MPM!$Q8^2)/(9.81*MPM!$F8*(P7^2))</f>
        <v>0.38301193321508553</v>
      </c>
      <c r="S7" s="36">
        <f>8.1*((R7/MPM!$AE8)^(1/6))</f>
        <v>11.117179879620952</v>
      </c>
      <c r="T7" s="43">
        <f t="shared" si="24"/>
        <v>9.4687176081045109E-3</v>
      </c>
      <c r="U7" s="38">
        <f>(MPM!$Q8^2)/(9.81*MPM!$F8*(S7^2))</f>
        <v>0.3829394040123178</v>
      </c>
      <c r="V7" s="36">
        <f>8.1*((U7/MPM!$AE8)^(1/6))</f>
        <v>11.11682898375601</v>
      </c>
      <c r="W7" s="43">
        <f t="shared" si="25"/>
        <v>3.156438454302335E-3</v>
      </c>
      <c r="X7" s="38">
        <f>(MPM!$Q8^2)/(9.81*MPM!$F8*(V7^2))</f>
        <v>0.38296357888705418</v>
      </c>
      <c r="Y7" s="36">
        <f>8.1*((X7/MPM!$AE8)^(1/6))</f>
        <v>11.116945947813701</v>
      </c>
      <c r="Z7" s="43">
        <f t="shared" si="26"/>
        <v>1.0521240117551921E-3</v>
      </c>
      <c r="AA7" s="38">
        <f>(MPM!$Q8^2)/(9.81*MPM!$F8*(Y7^2))</f>
        <v>0.38295552042590741</v>
      </c>
      <c r="AB7" s="36">
        <f>8.1*((AA7/MPM!$AE8)^(1/6))</f>
        <v>11.116906959657735</v>
      </c>
      <c r="AC7" s="43">
        <f t="shared" si="27"/>
        <v>3.5071046386741351E-4</v>
      </c>
      <c r="AD7" s="38">
        <f>(MPM!$Q8^2)/(9.81*MPM!$F8*(AB7^2))</f>
        <v>0.38295820656078189</v>
      </c>
      <c r="AE7" s="36">
        <f>8.1*((AD7/MPM!$AE8)^(1/6))</f>
        <v>11.116919955694531</v>
      </c>
      <c r="AF7" s="43">
        <f t="shared" si="28"/>
        <v>1.1690321463002399E-4</v>
      </c>
      <c r="AG7" s="38">
        <f>(MPM!$Q8^2)/(9.81*MPM!$F8*(AE7^2))</f>
        <v>0.38295731118039689</v>
      </c>
      <c r="AH7" s="36">
        <f>8.1*((AG7/MPM!$AE8)^(1/6))</f>
        <v>11.116915623680576</v>
      </c>
      <c r="AI7" s="43">
        <f t="shared" si="29"/>
        <v>3.8967768590765801E-5</v>
      </c>
      <c r="AJ7" s="38">
        <f>(MPM!$Q8^2)/(9.81*MPM!$F8*(AH7^2))</f>
        <v>0.38295760964029268</v>
      </c>
      <c r="AK7" s="36">
        <f>8.1*((AJ7/MPM!$AE8)^(1/6))</f>
        <v>11.116917067685041</v>
      </c>
      <c r="AL7" s="43">
        <f t="shared" si="30"/>
        <v>1.2989252826607808E-5</v>
      </c>
      <c r="AM7" s="38">
        <f>(MPM!$Q8^2)/(9.81*MPM!$F8*(AK7^2))</f>
        <v>0.38295751015363494</v>
      </c>
      <c r="AN7" s="36">
        <f>8.1*((AM7/MPM!$AE8)^(1/6))</f>
        <v>11.116916586350198</v>
      </c>
      <c r="AO7" s="43">
        <f t="shared" si="31"/>
        <v>4.3297513160901154E-6</v>
      </c>
      <c r="AP7" s="38">
        <f>(MPM!$Q8^2)/(9.81*MPM!$F8*(AN7^2))</f>
        <v>0.3829575433158513</v>
      </c>
      <c r="AQ7" s="36">
        <f>8.1*((AP7/MPM!$AE8)^(1/6))</f>
        <v>11.116916746795145</v>
      </c>
      <c r="AR7" s="43">
        <f t="shared" si="32"/>
        <v>1.4432504072144124E-6</v>
      </c>
      <c r="AS7" s="38">
        <f>(MPM!$Q8^2)/(9.81*MPM!$F8*(AQ7^2))</f>
        <v>0.38295753226177875</v>
      </c>
      <c r="AT7" s="36">
        <f>8.1*((AS7/MPM!$AE8)^(1/6))</f>
        <v>11.116916693313495</v>
      </c>
      <c r="AU7" s="43">
        <f t="shared" si="33"/>
        <v>4.8108347671217146E-7</v>
      </c>
      <c r="AV7" s="38">
        <f>(MPM!$Q8^2)/(9.81*MPM!$F8*(AT7^2))</f>
        <v>0.38295753594646958</v>
      </c>
      <c r="AW7" s="36">
        <f>8.1*((AV7/MPM!$AE8)^(1/6))</f>
        <v>11.116916711140711</v>
      </c>
      <c r="AX7" s="43">
        <f t="shared" si="34"/>
        <v>1.6036114799432511E-7</v>
      </c>
      <c r="AY7" s="38">
        <f>(MPM!$Q8^2)/(9.81*MPM!$F8*(AW7^2))</f>
        <v>0.3829575347182394</v>
      </c>
      <c r="AZ7" s="36">
        <f>8.1*((AY7/MPM!$AE8)^(1/6))</f>
        <v>11.116916705198307</v>
      </c>
      <c r="BA7" s="43">
        <f t="shared" si="35"/>
        <v>5.3453705374106334E-8</v>
      </c>
      <c r="BB7" s="38">
        <f>(MPM!$Q8^2)/(9.81*MPM!$F8*(AZ7^2))</f>
        <v>0.38295753512764935</v>
      </c>
      <c r="BC7" s="36">
        <f>8.1*((BB7/MPM!$AE8)^(1/6))</f>
        <v>11.116916707179108</v>
      </c>
      <c r="BD7" s="43">
        <f t="shared" si="36"/>
        <v>1.7817901788194001E-8</v>
      </c>
      <c r="BE7" s="38">
        <f>(MPM!$Q8^2)/(9.81*MPM!$F8*(BC7^2))</f>
        <v>0.3829575349911794</v>
      </c>
      <c r="BF7" s="36">
        <f>8.1*((BE7/MPM!$AE8)^(1/6))</f>
        <v>11.11691670651884</v>
      </c>
      <c r="BG7" s="43">
        <f t="shared" si="37"/>
        <v>5.9393112489924487E-9</v>
      </c>
      <c r="BH7" s="38">
        <f>(MPM!$Q8^2)/(9.81*MPM!$F8*(BF7^2))</f>
        <v>0.38295753503666946</v>
      </c>
      <c r="BI7" s="36">
        <f>8.1*((BH7/MPM!$AE8)^(1/6))</f>
        <v>11.11691670673893</v>
      </c>
      <c r="BJ7" s="43">
        <f t="shared" si="38"/>
        <v>1.9797810688666488E-9</v>
      </c>
      <c r="BK7" s="38">
        <f>(MPM!$Q8^2)/(9.81*MPM!$F8*(BI7^2))</f>
        <v>0.38295753502150603</v>
      </c>
      <c r="BL7" s="36">
        <f>8.1*((BK7/MPM!$AE8)^(1/6))</f>
        <v>11.116916706665567</v>
      </c>
      <c r="BM7" s="43">
        <f t="shared" si="39"/>
        <v>6.599270229599046E-10</v>
      </c>
      <c r="BN7" s="43">
        <f t="shared" si="40"/>
        <v>3.9595580929041768E-9</v>
      </c>
    </row>
    <row r="8" spans="1:66">
      <c r="A8" s="36">
        <f>MPM!B9</f>
        <v>4</v>
      </c>
      <c r="B8" s="41">
        <f>1/(MPM!AC9^0.5)</f>
        <v>11.171350171445797</v>
      </c>
      <c r="C8" s="38">
        <f>(MPM!$Q9^2)/(9.81*MPM!$F9*(Sheet1!B8^2))</f>
        <v>0.37220573919003719</v>
      </c>
      <c r="D8" s="36">
        <f>8.1*((C8/MPM!$AE9)^(1/6))</f>
        <v>11.064278344060652</v>
      </c>
      <c r="E8" s="41">
        <f t="shared" si="19"/>
        <v>0.967725359536181</v>
      </c>
      <c r="F8" s="38">
        <f>(MPM!$Q9^2)/(9.81*MPM!$F9*(D8^2))</f>
        <v>0.37944445462915705</v>
      </c>
      <c r="G8" s="36">
        <f>8.1*((F8/MPM!$AE9)^(1/6))</f>
        <v>11.099854439161405</v>
      </c>
      <c r="H8" s="43">
        <f t="shared" si="20"/>
        <v>0.32050956429876082</v>
      </c>
      <c r="I8" s="38">
        <f>(MPM!$Q9^2)/(9.81*MPM!$F9*(G8^2))</f>
        <v>0.37701604098813568</v>
      </c>
      <c r="J8" s="36">
        <f>8.1*((I8/MPM!$AE9)^(1/6))</f>
        <v>11.087983048766068</v>
      </c>
      <c r="K8" s="43">
        <f t="shared" si="21"/>
        <v>0.10706537287372389</v>
      </c>
      <c r="L8" s="38">
        <f>(MPM!$Q9^2)/(9.81*MPM!$F9*(J8^2))</f>
        <v>0.37782378042155523</v>
      </c>
      <c r="M8" s="36">
        <f>8.1*((L8/MPM!$AE9)^(1/6))</f>
        <v>11.091938767498547</v>
      </c>
      <c r="N8" s="43">
        <f t="shared" si="22"/>
        <v>3.5663005497922833E-2</v>
      </c>
      <c r="O8" s="38">
        <f>(MPM!$Q9^2)/(9.81*MPM!$F9*(M8^2))</f>
        <v>0.37755434184390291</v>
      </c>
      <c r="P8" s="36">
        <f>8.1*((O8/MPM!$AE9)^(1/6))</f>
        <v>11.09062003780908</v>
      </c>
      <c r="Q8" s="43">
        <f t="shared" si="23"/>
        <v>1.1890495616762265E-2</v>
      </c>
      <c r="R8" s="38">
        <f>(MPM!$Q9^2)/(9.81*MPM!$F9*(P8^2))</f>
        <v>0.3776441333468486</v>
      </c>
      <c r="S8" s="36">
        <f>8.1*((R8/MPM!$AE9)^(1/6))</f>
        <v>11.091059596950776</v>
      </c>
      <c r="T8" s="43">
        <f t="shared" si="24"/>
        <v>3.9631843815664241E-3</v>
      </c>
      <c r="U8" s="38">
        <f>(MPM!$Q9^2)/(9.81*MPM!$F9*(S8^2))</f>
        <v>0.3776142004733864</v>
      </c>
      <c r="V8" s="36">
        <f>8.1*((U8/MPM!$AE9)^(1/6))</f>
        <v>11.090913075301218</v>
      </c>
      <c r="W8" s="43">
        <f t="shared" si="25"/>
        <v>1.3210963656769639E-3</v>
      </c>
      <c r="X8" s="38">
        <f>(MPM!$Q9^2)/(9.81*MPM!$F9*(V8^2))</f>
        <v>0.37762417783424868</v>
      </c>
      <c r="Y8" s="36">
        <f>8.1*((X8/MPM!$AE9)^(1/6))</f>
        <v>11.090961915635997</v>
      </c>
      <c r="Z8" s="43">
        <f t="shared" si="26"/>
        <v>4.4036157684653452E-4</v>
      </c>
      <c r="AA8" s="38">
        <f>(MPM!$Q9^2)/(9.81*MPM!$F9*(Y8^2))</f>
        <v>0.37762085201800338</v>
      </c>
      <c r="AB8" s="36">
        <f>8.1*((AA8/MPM!$AE9)^(1/6))</f>
        <v>11.090945635500507</v>
      </c>
      <c r="AC8" s="43">
        <f t="shared" si="27"/>
        <v>1.4678762321461547E-4</v>
      </c>
      <c r="AD8" s="38">
        <f>(MPM!$Q9^2)/(9.81*MPM!$F9*(AB8^2))</f>
        <v>0.3776219606201639</v>
      </c>
      <c r="AE8" s="36">
        <f>8.1*((AD8/MPM!$AE9)^(1/6))</f>
        <v>11.090951062209681</v>
      </c>
      <c r="AF8" s="43">
        <f t="shared" si="28"/>
        <v>4.8929159853228926E-5</v>
      </c>
      <c r="AG8" s="38">
        <f>(MPM!$Q9^2)/(9.81*MPM!$F9*(AE8^2))</f>
        <v>0.37762159108574883</v>
      </c>
      <c r="AH8" s="36">
        <f>8.1*((AG8/MPM!$AE9)^(1/6))</f>
        <v>11.090949253306327</v>
      </c>
      <c r="AI8" s="43">
        <f t="shared" si="29"/>
        <v>1.6309725280525853E-5</v>
      </c>
      <c r="AJ8" s="38">
        <f>(MPM!$Q9^2)/(9.81*MPM!$F9*(AH8^2))</f>
        <v>0.37762171426384705</v>
      </c>
      <c r="AK8" s="36">
        <f>8.1*((AJ8/MPM!$AE9)^(1/6))</f>
        <v>11.090949856274079</v>
      </c>
      <c r="AL8" s="43">
        <f t="shared" si="30"/>
        <v>5.4365745043134856E-6</v>
      </c>
      <c r="AM8" s="38">
        <f>(MPM!$Q9^2)/(9.81*MPM!$F9*(AK8^2))</f>
        <v>0.37762167320447654</v>
      </c>
      <c r="AN8" s="36">
        <f>8.1*((AM8/MPM!$AE9)^(1/6))</f>
        <v>11.090949655284826</v>
      </c>
      <c r="AO8" s="43">
        <f t="shared" si="31"/>
        <v>1.8121915609719992E-6</v>
      </c>
      <c r="AP8" s="38">
        <f>(MPM!$Q9^2)/(9.81*MPM!$F9*(AN8^2))</f>
        <v>0.37762168689093284</v>
      </c>
      <c r="AQ8" s="36">
        <f>8.1*((AP8/MPM!$AE9)^(1/6))</f>
        <v>11.090949722281243</v>
      </c>
      <c r="AR8" s="43">
        <f t="shared" si="32"/>
        <v>6.0406384466964391E-7</v>
      </c>
      <c r="AS8" s="38">
        <f>(MPM!$Q9^2)/(9.81*MPM!$F9*(AQ8^2))</f>
        <v>0.37762168232878068</v>
      </c>
      <c r="AT8" s="36">
        <f>8.1*((AS8/MPM!$AE9)^(1/6))</f>
        <v>11.090949699949103</v>
      </c>
      <c r="AU8" s="43">
        <f t="shared" si="33"/>
        <v>2.0135462063407596E-7</v>
      </c>
      <c r="AV8" s="38">
        <f>(MPM!$Q9^2)/(9.81*MPM!$F9*(AT8^2))</f>
        <v>0.37762168384949807</v>
      </c>
      <c r="AW8" s="36">
        <f>8.1*((AV8/MPM!$AE9)^(1/6))</f>
        <v>11.09094970739315</v>
      </c>
      <c r="AX8" s="43">
        <f t="shared" si="34"/>
        <v>6.7118212171734614E-8</v>
      </c>
      <c r="AY8" s="38">
        <f>(MPM!$Q9^2)/(9.81*MPM!$F9*(AW8^2))</f>
        <v>0.37762168334259222</v>
      </c>
      <c r="AZ8" s="36">
        <f>8.1*((AY8/MPM!$AE9)^(1/6))</f>
        <v>11.090949704911802</v>
      </c>
      <c r="BA8" s="43">
        <f t="shared" si="35"/>
        <v>2.2372732056825761E-8</v>
      </c>
      <c r="BB8" s="38">
        <f>(MPM!$Q9^2)/(9.81*MPM!$F9*(AZ8^2))</f>
        <v>0.37762168351156084</v>
      </c>
      <c r="BC8" s="36">
        <f>8.1*((BB8/MPM!$AE9)^(1/6))</f>
        <v>11.090949705738918</v>
      </c>
      <c r="BD8" s="43">
        <f t="shared" si="36"/>
        <v>7.4575773517190995E-9</v>
      </c>
      <c r="BE8" s="38">
        <f>(MPM!$Q9^2)/(9.81*MPM!$F9*(BC8^2))</f>
        <v>0.37762168345523794</v>
      </c>
      <c r="BF8" s="36">
        <f>8.1*((BE8/MPM!$AE9)^(1/6))</f>
        <v>11.090949705463212</v>
      </c>
      <c r="BG8" s="43">
        <f t="shared" si="37"/>
        <v>2.4858697948171664E-9</v>
      </c>
      <c r="BH8" s="38">
        <f>(MPM!$Q9^2)/(9.81*MPM!$F9*(BF8^2))</f>
        <v>0.37762168347401232</v>
      </c>
      <c r="BI8" s="36">
        <f>8.1*((BH8/MPM!$AE9)^(1/6))</f>
        <v>11.090949705555115</v>
      </c>
      <c r="BJ8" s="43">
        <f t="shared" si="38"/>
        <v>8.2863394244786084E-10</v>
      </c>
      <c r="BK8" s="38">
        <f>(MPM!$Q9^2)/(9.81*MPM!$F9*(BI8^2))</f>
        <v>0.3776216834677541</v>
      </c>
      <c r="BL8" s="36">
        <f>8.1*((BK8/MPM!$AE9)^(1/6))</f>
        <v>11.09094970552448</v>
      </c>
      <c r="BM8" s="43">
        <f t="shared" si="39"/>
        <v>2.7621665290788564E-10</v>
      </c>
      <c r="BN8" s="43">
        <f t="shared" si="40"/>
        <v>1.6572714019066511E-9</v>
      </c>
    </row>
    <row r="9" spans="1:66">
      <c r="A9" s="36">
        <f>MPM!B10</f>
        <v>5</v>
      </c>
      <c r="B9" s="41">
        <f>1/(MPM!AC10^0.5)</f>
        <v>11.203314322802811</v>
      </c>
      <c r="C9" s="38">
        <f>(MPM!$Q10^2)/(9.81*MPM!$F10*(Sheet1!B9^2))</f>
        <v>0.37208968381668794</v>
      </c>
      <c r="D9" s="36">
        <f>8.1*((C9/MPM!$AE10)^(1/6))</f>
        <v>11.063703287635791</v>
      </c>
      <c r="E9" s="41">
        <f t="shared" si="19"/>
        <v>1.2618833995940744</v>
      </c>
      <c r="F9" s="38">
        <f>(MPM!$Q10^2)/(9.81*MPM!$F10*(D9^2))</f>
        <v>0.3815396094102248</v>
      </c>
      <c r="G9" s="36">
        <f>8.1*((F9/MPM!$AE10)^(1/6))</f>
        <v>11.110045912592431</v>
      </c>
      <c r="H9" s="43">
        <f t="shared" si="20"/>
        <v>0.41712361336071813</v>
      </c>
      <c r="I9" s="38">
        <f>(MPM!$Q10^2)/(9.81*MPM!$F10*(G9^2))</f>
        <v>0.37836326428800027</v>
      </c>
      <c r="J9" s="36">
        <f>8.1*((I9/MPM!$AE10)^(1/6))</f>
        <v>11.094576842580256</v>
      </c>
      <c r="K9" s="43">
        <f t="shared" si="21"/>
        <v>0.13942911236421249</v>
      </c>
      <c r="L9" s="38">
        <f>(MPM!$Q10^2)/(9.81*MPM!$F10*(J9^2))</f>
        <v>0.37941909692606623</v>
      </c>
      <c r="M9" s="36">
        <f>8.1*((L9/MPM!$AE10)^(1/6))</f>
        <v>11.099730804618146</v>
      </c>
      <c r="N9" s="43">
        <f t="shared" si="22"/>
        <v>4.643321652219675E-2</v>
      </c>
      <c r="O9" s="38">
        <f>(MPM!$Q10^2)/(9.81*MPM!$F10*(M9^2))</f>
        <v>0.37906682574887318</v>
      </c>
      <c r="P9" s="36">
        <f>8.1*((O9/MPM!$AE10)^(1/6))</f>
        <v>11.098012551297973</v>
      </c>
      <c r="Q9" s="43">
        <f t="shared" si="23"/>
        <v>1.5482531779722319E-2</v>
      </c>
      <c r="R9" s="38">
        <f>(MPM!$Q10^2)/(9.81*MPM!$F10*(P9^2))</f>
        <v>0.37918421311896411</v>
      </c>
      <c r="S9" s="36">
        <f>8.1*((R9/MPM!$AE10)^(1/6))</f>
        <v>11.09858527284845</v>
      </c>
      <c r="T9" s="43">
        <f t="shared" si="24"/>
        <v>5.1603113045171484E-3</v>
      </c>
      <c r="U9" s="38">
        <f>(MPM!$Q10^2)/(9.81*MPM!$F10*(S9^2))</f>
        <v>0.3791450799570576</v>
      </c>
      <c r="V9" s="36">
        <f>8.1*((U9/MPM!$AE10)^(1/6))</f>
        <v>11.098394362381061</v>
      </c>
      <c r="W9" s="43">
        <f t="shared" si="25"/>
        <v>1.7201629456925086E-3</v>
      </c>
      <c r="X9" s="38">
        <f>(MPM!$Q10^2)/(9.81*MPM!$F10*(V9^2))</f>
        <v>0.37915812389559678</v>
      </c>
      <c r="Y9" s="36">
        <f>8.1*((X9/MPM!$AE10)^(1/6))</f>
        <v>11.098457998838642</v>
      </c>
      <c r="Z9" s="43">
        <f t="shared" si="26"/>
        <v>5.7338107318551492E-4</v>
      </c>
      <c r="AA9" s="38">
        <f>(MPM!$Q10^2)/(9.81*MPM!$F10*(Y9^2))</f>
        <v>0.37915377586622251</v>
      </c>
      <c r="AB9" s="36">
        <f>8.1*((AA9/MPM!$AE10)^(1/6))</f>
        <v>11.098436786645571</v>
      </c>
      <c r="AC9" s="43">
        <f t="shared" si="27"/>
        <v>1.911277550007829E-4</v>
      </c>
      <c r="AD9" s="38">
        <f>(MPM!$Q10^2)/(9.81*MPM!$F10*(AB9^2))</f>
        <v>0.37915522520380718</v>
      </c>
      <c r="AE9" s="36">
        <f>8.1*((AD9/MPM!$AE10)^(1/6))</f>
        <v>11.098443857372091</v>
      </c>
      <c r="AF9" s="43">
        <f t="shared" si="28"/>
        <v>6.3709170499119105E-5</v>
      </c>
      <c r="AG9" s="38">
        <f>(MPM!$Q10^2)/(9.81*MPM!$F10*(AE9^2))</f>
        <v>0.3791547420906633</v>
      </c>
      <c r="AH9" s="36">
        <f>8.1*((AG9/MPM!$AE10)^(1/6))</f>
        <v>11.098441500462751</v>
      </c>
      <c r="AI9" s="43">
        <f t="shared" si="29"/>
        <v>2.1236399179087603E-5</v>
      </c>
      <c r="AJ9" s="38">
        <f>(MPM!$Q10^2)/(9.81*MPM!$F10*(AH9^2))</f>
        <v>0.37915490312830941</v>
      </c>
      <c r="AK9" s="36">
        <f>8.1*((AJ9/MPM!$AE10)^(1/6))</f>
        <v>11.098442286099141</v>
      </c>
      <c r="AL9" s="43">
        <f t="shared" si="30"/>
        <v>7.0787987130938019E-6</v>
      </c>
      <c r="AM9" s="38">
        <f>(MPM!$Q10^2)/(9.81*MPM!$F10*(AK9^2))</f>
        <v>0.37915484944908656</v>
      </c>
      <c r="AN9" s="36">
        <f>8.1*((AM9/MPM!$AE10)^(1/6))</f>
        <v>11.09844202422034</v>
      </c>
      <c r="AO9" s="43">
        <f t="shared" si="31"/>
        <v>2.3595996693896011E-6</v>
      </c>
      <c r="AP9" s="38">
        <f>(MPM!$Q10^2)/(9.81*MPM!$F10*(AN9^2))</f>
        <v>0.37915486734215992</v>
      </c>
      <c r="AQ9" s="36">
        <f>8.1*((AP9/MPM!$AE10)^(1/6))</f>
        <v>11.09844211151327</v>
      </c>
      <c r="AR9" s="43">
        <f t="shared" si="32"/>
        <v>7.865331849325999E-7</v>
      </c>
      <c r="AS9" s="38">
        <f>(MPM!$Q10^2)/(9.81*MPM!$F10*(AQ9^2))</f>
        <v>0.37915486137780224</v>
      </c>
      <c r="AT9" s="36">
        <f>8.1*((AS9/MPM!$AE10)^(1/6))</f>
        <v>11.098442082415628</v>
      </c>
      <c r="AU9" s="43">
        <f t="shared" si="33"/>
        <v>2.6217771299277703E-7</v>
      </c>
      <c r="AV9" s="38">
        <f>(MPM!$Q10^2)/(9.81*MPM!$F10*(AT9^2))</f>
        <v>0.3791548633659213</v>
      </c>
      <c r="AW9" s="36">
        <f>8.1*((AV9/MPM!$AE10)^(1/6))</f>
        <v>11.098442092114841</v>
      </c>
      <c r="AX9" s="43">
        <f t="shared" si="34"/>
        <v>8.7392554915756572E-8</v>
      </c>
      <c r="AY9" s="38">
        <f>(MPM!$Q10^2)/(9.81*MPM!$F10*(AW9^2))</f>
        <v>0.37915486270321502</v>
      </c>
      <c r="AZ9" s="36">
        <f>8.1*((AY9/MPM!$AE10)^(1/6))</f>
        <v>11.098442088881772</v>
      </c>
      <c r="BA9" s="43">
        <f t="shared" si="35"/>
        <v>2.9130835641610413E-8</v>
      </c>
      <c r="BB9" s="38">
        <f>(MPM!$Q10^2)/(9.81*MPM!$F10*(AZ9^2))</f>
        <v>0.37915486292411704</v>
      </c>
      <c r="BC9" s="36">
        <f>8.1*((BB9/MPM!$AE10)^(1/6))</f>
        <v>11.098442089959461</v>
      </c>
      <c r="BD9" s="43">
        <f t="shared" si="36"/>
        <v>9.7102732111068519E-9</v>
      </c>
      <c r="BE9" s="38">
        <f>(MPM!$Q10^2)/(9.81*MPM!$F10*(BC9^2))</f>
        <v>0.37915486285048305</v>
      </c>
      <c r="BF9" s="36">
        <f>8.1*((BE9/MPM!$AE10)^(1/6))</f>
        <v>11.098442089600232</v>
      </c>
      <c r="BG9" s="43">
        <f t="shared" si="37"/>
        <v>3.2367524019866591E-9</v>
      </c>
      <c r="BH9" s="38">
        <f>(MPM!$Q10^2)/(9.81*MPM!$F10*(BF9^2))</f>
        <v>0.37915486287502764</v>
      </c>
      <c r="BI9" s="36">
        <f>8.1*((BH9/MPM!$AE10)^(1/6))</f>
        <v>11.098442089719974</v>
      </c>
      <c r="BJ9" s="43">
        <f t="shared" si="38"/>
        <v>1.0789121321635216E-9</v>
      </c>
      <c r="BK9" s="38">
        <f>(MPM!$Q10^2)/(9.81*MPM!$F10*(BI9^2))</f>
        <v>0.37915486286684619</v>
      </c>
      <c r="BL9" s="36">
        <f>8.1*((BK9/MPM!$AE10)^(1/6))</f>
        <v>11.098442089680061</v>
      </c>
      <c r="BM9" s="43">
        <f t="shared" si="39"/>
        <v>3.5962670708168566E-10</v>
      </c>
      <c r="BN9" s="43">
        <f t="shared" si="40"/>
        <v>2.1578136836242859E-9</v>
      </c>
    </row>
    <row r="10" spans="1:66">
      <c r="A10" s="36">
        <f>MPM!B11</f>
        <v>6</v>
      </c>
      <c r="B10" s="41">
        <f>1/(MPM!AC11^0.5)</f>
        <v>11.255028585519408</v>
      </c>
      <c r="C10" s="38">
        <f>(MPM!$Q11^2)/(9.81*MPM!$F11*(Sheet1!B10^2))</f>
        <v>0.37190162264997301</v>
      </c>
      <c r="D10" s="36">
        <f>8.1*((C10/MPM!$AE11)^(1/6))</f>
        <v>11.062771123813647</v>
      </c>
      <c r="E10" s="41">
        <f t="shared" si="19"/>
        <v>1.7378779652406364</v>
      </c>
      <c r="F10" s="38">
        <f>(MPM!$Q11^2)/(9.81*MPM!$F11*(D10^2))</f>
        <v>0.38494033782004422</v>
      </c>
      <c r="G10" s="36">
        <f>8.1*((F10/MPM!$AE11)^(1/6))</f>
        <v>11.126489243245253</v>
      </c>
      <c r="H10" s="43">
        <f t="shared" si="20"/>
        <v>0.57267048067554738</v>
      </c>
      <c r="I10" s="38">
        <f>(MPM!$Q11^2)/(9.81*MPM!$F11*(G10^2))</f>
        <v>0.3805440826295563</v>
      </c>
      <c r="J10" s="36">
        <f>8.1*((I10/MPM!$AE11)^(1/6))</f>
        <v>11.105209196742981</v>
      </c>
      <c r="K10" s="43">
        <f t="shared" si="21"/>
        <v>0.19162220292538482</v>
      </c>
      <c r="L10" s="38">
        <f>(MPM!$Q11^2)/(9.81*MPM!$F11*(J10^2))</f>
        <v>0.3820038938604598</v>
      </c>
      <c r="M10" s="36">
        <f>8.1*((L10/MPM!$AE11)^(1/6))</f>
        <v>11.112298019583841</v>
      </c>
      <c r="N10" s="43">
        <f t="shared" si="22"/>
        <v>6.3792591130716947E-2</v>
      </c>
      <c r="O10" s="38">
        <f>(MPM!$Q11^2)/(9.81*MPM!$F11*(M10^2))</f>
        <v>0.38151666895251368</v>
      </c>
      <c r="P10" s="36">
        <f>8.1*((O10/MPM!$AE11)^(1/6))</f>
        <v>11.10993457599832</v>
      </c>
      <c r="Q10" s="43">
        <f t="shared" si="23"/>
        <v>2.1273244854447954E-2</v>
      </c>
      <c r="R10" s="38">
        <f>(MPM!$Q11^2)/(9.81*MPM!$F11*(P10^2))</f>
        <v>0.3816790081683803</v>
      </c>
      <c r="S10" s="36">
        <f>8.1*((R10/MPM!$AE11)^(1/6))</f>
        <v>11.110722334668857</v>
      </c>
      <c r="T10" s="43">
        <f t="shared" si="24"/>
        <v>7.0900761157434624E-3</v>
      </c>
      <c r="U10" s="38">
        <f>(MPM!$Q11^2)/(9.81*MPM!$F11*(S10^2))</f>
        <v>0.38162488742265538</v>
      </c>
      <c r="V10" s="36">
        <f>8.1*((U10/MPM!$AE11)^(1/6))</f>
        <v>11.110459742239245</v>
      </c>
      <c r="W10" s="43">
        <f t="shared" si="25"/>
        <v>2.3634704207057115E-3</v>
      </c>
      <c r="X10" s="38">
        <f>(MPM!$Q11^2)/(9.81*MPM!$F11*(V10^2))</f>
        <v>0.38164292681849532</v>
      </c>
      <c r="Y10" s="36">
        <f>8.1*((X10/MPM!$AE11)^(1/6))</f>
        <v>11.110547272359536</v>
      </c>
      <c r="Z10" s="43">
        <f t="shared" si="26"/>
        <v>7.878110604789462E-4</v>
      </c>
      <c r="AA10" s="38">
        <f>(MPM!$Q11^2)/(9.81*MPM!$F11*(Y10^2))</f>
        <v>0.38163691359180385</v>
      </c>
      <c r="AB10" s="36">
        <f>8.1*((AA10/MPM!$AE11)^(1/6))</f>
        <v>11.110518095576154</v>
      </c>
      <c r="AC10" s="43">
        <f t="shared" si="27"/>
        <v>2.6260506603944351E-4</v>
      </c>
      <c r="AD10" s="38">
        <f>(MPM!$Q11^2)/(9.81*MPM!$F11*(AB10^2))</f>
        <v>0.38163891799017358</v>
      </c>
      <c r="AE10" s="36">
        <f>8.1*((AD10/MPM!$AE11)^(1/6))</f>
        <v>11.110527821162101</v>
      </c>
      <c r="AF10" s="43">
        <f t="shared" si="28"/>
        <v>8.7534868764082747E-5</v>
      </c>
      <c r="AG10" s="38">
        <f>(MPM!$Q11^2)/(9.81*MPM!$F11*(AE10^2))</f>
        <v>0.38163824985621397</v>
      </c>
      <c r="AH10" s="36">
        <f>8.1*((AG10/MPM!$AE11)^(1/6))</f>
        <v>11.110524579299172</v>
      </c>
      <c r="AI10" s="43">
        <f t="shared" si="29"/>
        <v>2.9178306623391981E-5</v>
      </c>
      <c r="AJ10" s="38">
        <f>(MPM!$Q11^2)/(9.81*MPM!$F11*(AH10^2))</f>
        <v>0.38163847256740396</v>
      </c>
      <c r="AK10" s="36">
        <f>8.1*((AJ10/MPM!$AE11)^(1/6))</f>
        <v>11.110525659920045</v>
      </c>
      <c r="AL10" s="43">
        <f t="shared" si="30"/>
        <v>9.7261003291903865E-6</v>
      </c>
      <c r="AM10" s="38">
        <f>(MPM!$Q11^2)/(9.81*MPM!$F11*(AK10^2))</f>
        <v>0.38163839833032609</v>
      </c>
      <c r="AN10" s="36">
        <f>8.1*((AM10/MPM!$AE11)^(1/6))</f>
        <v>11.110525299713075</v>
      </c>
      <c r="AO10" s="43">
        <f t="shared" si="31"/>
        <v>3.2420336600876592E-6</v>
      </c>
      <c r="AP10" s="38">
        <f>(MPM!$Q11^2)/(9.81*MPM!$F11*(AN10^2))</f>
        <v>0.3816384230760172</v>
      </c>
      <c r="AQ10" s="36">
        <f>8.1*((AP10/MPM!$AE11)^(1/6))</f>
        <v>11.110525419782064</v>
      </c>
      <c r="AR10" s="43">
        <f t="shared" si="32"/>
        <v>1.0806778696878881E-6</v>
      </c>
      <c r="AS10" s="38">
        <f>(MPM!$Q11^2)/(9.81*MPM!$F11*(AQ10^2))</f>
        <v>0.38163841482745325</v>
      </c>
      <c r="AT10" s="36">
        <f>8.1*((AS10/MPM!$AE11)^(1/6))</f>
        <v>11.110525379759066</v>
      </c>
      <c r="AU10" s="43">
        <f t="shared" si="33"/>
        <v>3.6022597384831122E-7</v>
      </c>
      <c r="AV10" s="38">
        <f>(MPM!$Q11^2)/(9.81*MPM!$F11*(AT10^2))</f>
        <v>0.3816384175769747</v>
      </c>
      <c r="AW10" s="36">
        <f>8.1*((AV10/MPM!$AE11)^(1/6))</f>
        <v>11.110525393100065</v>
      </c>
      <c r="AX10" s="43">
        <f t="shared" si="34"/>
        <v>1.200753244719229E-7</v>
      </c>
      <c r="AY10" s="38">
        <f>(MPM!$Q11^2)/(9.81*MPM!$F11*(AW10^2))</f>
        <v>0.38163841666046749</v>
      </c>
      <c r="AZ10" s="36">
        <f>8.1*((AY10/MPM!$AE11)^(1/6))</f>
        <v>11.110525388653066</v>
      </c>
      <c r="BA10" s="43">
        <f t="shared" si="35"/>
        <v>4.0025102843976272E-8</v>
      </c>
      <c r="BB10" s="38">
        <f>(MPM!$Q11^2)/(9.81*MPM!$F11*(AZ10^2))</f>
        <v>0.38163841696596984</v>
      </c>
      <c r="BC10" s="36">
        <f>8.1*((BB10/MPM!$AE11)^(1/6))</f>
        <v>11.1105253901354</v>
      </c>
      <c r="BD10" s="43">
        <f t="shared" si="36"/>
        <v>1.3341711604914988E-8</v>
      </c>
      <c r="BE10" s="38">
        <f>(MPM!$Q11^2)/(9.81*MPM!$F11*(BC10^2))</f>
        <v>0.38163841686413563</v>
      </c>
      <c r="BF10" s="36">
        <f>8.1*((BE10/MPM!$AE11)^(1/6))</f>
        <v>11.110525389641287</v>
      </c>
      <c r="BG10" s="43">
        <f t="shared" si="37"/>
        <v>4.4472531898904729E-9</v>
      </c>
      <c r="BH10" s="38">
        <f>(MPM!$Q11^2)/(9.81*MPM!$F11*(BF10^2))</f>
        <v>0.38163841689808048</v>
      </c>
      <c r="BI10" s="36">
        <f>8.1*((BH10/MPM!$AE11)^(1/6))</f>
        <v>11.110525389805991</v>
      </c>
      <c r="BJ10" s="43">
        <f t="shared" si="38"/>
        <v>1.482412400590061E-9</v>
      </c>
      <c r="BK10" s="38">
        <f>(MPM!$Q11^2)/(9.81*MPM!$F11*(BI10^2))</f>
        <v>0.38163841688676553</v>
      </c>
      <c r="BL10" s="36">
        <f>8.1*((BK10/MPM!$AE11)^(1/6))</f>
        <v>11.110525389751091</v>
      </c>
      <c r="BM10" s="43">
        <f t="shared" si="39"/>
        <v>4.9412680816288623E-10</v>
      </c>
      <c r="BN10" s="43">
        <f t="shared" si="40"/>
        <v>2.9648349005511574E-9</v>
      </c>
    </row>
    <row r="11" spans="1:66">
      <c r="A11" s="36">
        <f>MPM!B12</f>
        <v>7</v>
      </c>
      <c r="B11" s="41">
        <f>1/(MPM!AC12^0.5)</f>
        <v>11.292392568252781</v>
      </c>
      <c r="C11" s="38">
        <f>(MPM!$Q12^2)/(9.81*MPM!$F12*(Sheet1!B11^2))</f>
        <v>0.37089810166122755</v>
      </c>
      <c r="D11" s="36">
        <f>8.1*((C11/MPM!$AE12)^(1/6))</f>
        <v>11.057790314924784</v>
      </c>
      <c r="E11" s="41">
        <f t="shared" si="19"/>
        <v>2.1216015736105343</v>
      </c>
      <c r="F11" s="38">
        <f>(MPM!$Q12^2)/(9.81*MPM!$F12*(D11^2))</f>
        <v>0.38680300998658679</v>
      </c>
      <c r="G11" s="36">
        <f>8.1*((F11/MPM!$AE12)^(1/6))</f>
        <v>11.135444457583381</v>
      </c>
      <c r="H11" s="43">
        <f t="shared" si="20"/>
        <v>0.6973600645613508</v>
      </c>
      <c r="I11" s="38">
        <f>(MPM!$Q12^2)/(9.81*MPM!$F12*(G11^2))</f>
        <v>0.38142700120441742</v>
      </c>
      <c r="J11" s="36">
        <f>8.1*((I11/MPM!$AE12)^(1/6))</f>
        <v>11.109499339276395</v>
      </c>
      <c r="K11" s="43">
        <f t="shared" si="21"/>
        <v>0.23353994194193411</v>
      </c>
      <c r="L11" s="38">
        <f>(MPM!$Q12^2)/(9.81*MPM!$F12*(J11^2))</f>
        <v>0.38321065033610868</v>
      </c>
      <c r="M11" s="36">
        <f>8.1*((L11/MPM!$AE12)^(1/6))</f>
        <v>11.118140988298565</v>
      </c>
      <c r="N11" s="43">
        <f t="shared" si="22"/>
        <v>7.7725665030378241E-2</v>
      </c>
      <c r="O11" s="38">
        <f>(MPM!$Q12^2)/(9.81*MPM!$F12*(M11^2))</f>
        <v>0.38261517579147236</v>
      </c>
      <c r="P11" s="36">
        <f>8.1*((O11/MPM!$AE12)^(1/6))</f>
        <v>11.115259691993282</v>
      </c>
      <c r="Q11" s="43">
        <f t="shared" si="23"/>
        <v>2.592198819572689E-2</v>
      </c>
      <c r="R11" s="38">
        <f>(MPM!$Q12^2)/(9.81*MPM!$F12*(P11^2))</f>
        <v>0.38281356442268633</v>
      </c>
      <c r="S11" s="36">
        <f>8.1*((R11/MPM!$AE12)^(1/6))</f>
        <v>11.116220041119293</v>
      </c>
      <c r="T11" s="43">
        <f t="shared" si="24"/>
        <v>8.6391698118467811E-3</v>
      </c>
      <c r="U11" s="38">
        <f>(MPM!$Q12^2)/(9.81*MPM!$F12*(S11^2))</f>
        <v>0.3827474234520386</v>
      </c>
      <c r="V11" s="36">
        <f>8.1*((U11/MPM!$AE12)^(1/6))</f>
        <v>11.115899915525048</v>
      </c>
      <c r="W11" s="43">
        <f t="shared" si="25"/>
        <v>2.8798891378785602E-3</v>
      </c>
      <c r="X11" s="38">
        <f>(MPM!$Q12^2)/(9.81*MPM!$F12*(V11^2))</f>
        <v>0.38276946917242721</v>
      </c>
      <c r="Y11" s="36">
        <f>8.1*((X11/MPM!$AE12)^(1/6))</f>
        <v>11.116006623032117</v>
      </c>
      <c r="Z11" s="43">
        <f t="shared" si="26"/>
        <v>9.5994461578992709E-4</v>
      </c>
      <c r="AA11" s="38">
        <f>(MPM!$Q12^2)/(9.81*MPM!$F12*(Y11^2))</f>
        <v>0.38276212045787877</v>
      </c>
      <c r="AB11" s="36">
        <f>8.1*((AA11/MPM!$AE12)^(1/6))</f>
        <v>11.115971053749279</v>
      </c>
      <c r="AC11" s="43">
        <f t="shared" si="27"/>
        <v>3.1998358637514888E-4</v>
      </c>
      <c r="AD11" s="38">
        <f>(MPM!$Q12^2)/(9.81*MPM!$F12*(AB11^2))</f>
        <v>0.38276457001371855</v>
      </c>
      <c r="AE11" s="36">
        <f>8.1*((AD11/MPM!$AE12)^(1/6))</f>
        <v>11.115982910164247</v>
      </c>
      <c r="AF11" s="43">
        <f t="shared" si="28"/>
        <v>1.0666096794009465E-4</v>
      </c>
      <c r="AG11" s="38">
        <f>(MPM!$Q12^2)/(9.81*MPM!$F12*(AE11^2))</f>
        <v>0.38276375349336339</v>
      </c>
      <c r="AH11" s="36">
        <f>8.1*((AG11/MPM!$AE12)^(1/6))</f>
        <v>11.115978958024519</v>
      </c>
      <c r="AI11" s="43">
        <f t="shared" si="29"/>
        <v>3.5553681266338342E-5</v>
      </c>
      <c r="AJ11" s="38">
        <f>(MPM!$Q12^2)/(9.81*MPM!$F12*(AH11^2))</f>
        <v>0.3827640256666216</v>
      </c>
      <c r="AK11" s="36">
        <f>8.1*((AJ11/MPM!$AE12)^(1/6))</f>
        <v>11.115980275404272</v>
      </c>
      <c r="AL11" s="43">
        <f t="shared" si="30"/>
        <v>1.1851224283332321E-5</v>
      </c>
      <c r="AM11" s="38">
        <f>(MPM!$Q12^2)/(9.81*MPM!$F12*(AK11^2))</f>
        <v>0.38276393494218064</v>
      </c>
      <c r="AN11" s="36">
        <f>8.1*((AM11/MPM!$AE12)^(1/6))</f>
        <v>11.115979836277671</v>
      </c>
      <c r="AO11" s="43">
        <f t="shared" si="31"/>
        <v>3.9504084049767161E-6</v>
      </c>
      <c r="AP11" s="38">
        <f>(MPM!$Q12^2)/(9.81*MPM!$F12*(AN11^2))</f>
        <v>0.38276396518365857</v>
      </c>
      <c r="AQ11" s="36">
        <f>8.1*((AP11/MPM!$AE12)^(1/6))</f>
        <v>11.115979982653201</v>
      </c>
      <c r="AR11" s="43">
        <f t="shared" si="32"/>
        <v>1.3168027523587918E-6</v>
      </c>
      <c r="AS11" s="38">
        <f>(MPM!$Q12^2)/(9.81*MPM!$F12*(AQ11^2))</f>
        <v>0.38276395510316574</v>
      </c>
      <c r="AT11" s="36">
        <f>8.1*((AS11/MPM!$AE12)^(1/6))</f>
        <v>11.115979933861357</v>
      </c>
      <c r="AU11" s="43">
        <f t="shared" si="33"/>
        <v>4.389342527128967E-7</v>
      </c>
      <c r="AV11" s="38">
        <f>(MPM!$Q12^2)/(9.81*MPM!$F12*(AT11^2))</f>
        <v>0.38276395846332995</v>
      </c>
      <c r="AW11" s="36">
        <f>8.1*((AV11/MPM!$AE12)^(1/6))</f>
        <v>11.115979950125306</v>
      </c>
      <c r="AX11" s="43">
        <f t="shared" si="34"/>
        <v>1.4631142268363162E-7</v>
      </c>
      <c r="AY11" s="38">
        <f>(MPM!$Q12^2)/(9.81*MPM!$F12*(AW11^2))</f>
        <v>0.38276395734327517</v>
      </c>
      <c r="AZ11" s="36">
        <f>8.1*((AY11/MPM!$AE12)^(1/6))</f>
        <v>11.115979944703989</v>
      </c>
      <c r="BA11" s="43">
        <f t="shared" si="35"/>
        <v>4.8770479578399171E-8</v>
      </c>
      <c r="BB11" s="38">
        <f>(MPM!$Q12^2)/(9.81*MPM!$F12*(AZ11^2))</f>
        <v>0.38276395771662686</v>
      </c>
      <c r="BC11" s="36">
        <f>8.1*((BB11/MPM!$AE12)^(1/6))</f>
        <v>11.115979946511095</v>
      </c>
      <c r="BD11" s="43">
        <f t="shared" si="36"/>
        <v>1.6256826523490213E-8</v>
      </c>
      <c r="BE11" s="38">
        <f>(MPM!$Q12^2)/(9.81*MPM!$F12*(BC11^2))</f>
        <v>0.3827639575921763</v>
      </c>
      <c r="BF11" s="36">
        <f>8.1*((BE11/MPM!$AE12)^(1/6))</f>
        <v>11.115979945908727</v>
      </c>
      <c r="BG11" s="43">
        <f t="shared" si="37"/>
        <v>5.418936848054018E-9</v>
      </c>
      <c r="BH11" s="38">
        <f>(MPM!$Q12^2)/(9.81*MPM!$F12*(BF11^2))</f>
        <v>0.38276395763365972</v>
      </c>
      <c r="BI11" s="36">
        <f>8.1*((BH11/MPM!$AE12)^(1/6))</f>
        <v>11.115979946109515</v>
      </c>
      <c r="BJ11" s="43">
        <f t="shared" si="38"/>
        <v>1.8063069559156771E-9</v>
      </c>
      <c r="BK11" s="38">
        <f>(MPM!$Q12^2)/(9.81*MPM!$F12*(BI11^2))</f>
        <v>0.38276395761983195</v>
      </c>
      <c r="BL11" s="36">
        <f>8.1*((BK11/MPM!$AE12)^(1/6))</f>
        <v>11.115979946042586</v>
      </c>
      <c r="BM11" s="43">
        <f t="shared" si="39"/>
        <v>6.0210231864218428E-10</v>
      </c>
      <c r="BN11" s="43">
        <f t="shared" si="40"/>
        <v>3.612610849396924E-9</v>
      </c>
    </row>
    <row r="12" spans="1:66">
      <c r="A12" s="36">
        <f>MPM!B13</f>
        <v>8</v>
      </c>
      <c r="B12" s="41">
        <f>1/(MPM!AC13^0.5)</f>
        <v>10.301841769201889</v>
      </c>
      <c r="C12" s="38">
        <f>(MPM!$Q13^2)/(9.81*MPM!$F13*(Sheet1!B12^2))</f>
        <v>0.34777009877020543</v>
      </c>
      <c r="D12" s="36">
        <f>8.1*((C12/MPM!$AE13)^(1/6))</f>
        <v>10.939764045210199</v>
      </c>
      <c r="E12" s="41">
        <f t="shared" si="19"/>
        <v>5.8312251833951878</v>
      </c>
      <c r="F12" s="38">
        <f>(MPM!$Q13^2)/(9.81*MPM!$F13*(D12^2))</f>
        <v>0.30839411278559165</v>
      </c>
      <c r="G12" s="36">
        <f>8.1*((F12/MPM!$AE13)^(1/6))</f>
        <v>10.722850763485297</v>
      </c>
      <c r="H12" s="43">
        <f t="shared" si="20"/>
        <v>2.022906841747341</v>
      </c>
      <c r="I12" s="38">
        <f>(MPM!$Q13^2)/(9.81*MPM!$F13*(G12^2))</f>
        <v>0.32099736356109304</v>
      </c>
      <c r="J12" s="36">
        <f>8.1*((I12/MPM!$AE13)^(1/6))</f>
        <v>10.794673046783043</v>
      </c>
      <c r="K12" s="43">
        <f t="shared" si="21"/>
        <v>0.66534931615320503</v>
      </c>
      <c r="L12" s="38">
        <f>(MPM!$Q13^2)/(9.81*MPM!$F13*(J12^2))</f>
        <v>0.31674006625750489</v>
      </c>
      <c r="M12" s="36">
        <f>8.1*((L12/MPM!$AE13)^(1/6))</f>
        <v>10.770678991980194</v>
      </c>
      <c r="N12" s="43">
        <f t="shared" si="22"/>
        <v>0.22277197956335373</v>
      </c>
      <c r="O12" s="38">
        <f>(MPM!$Q13^2)/(9.81*MPM!$F13*(M12^2))</f>
        <v>0.31815285438601637</v>
      </c>
      <c r="P12" s="36">
        <f>8.1*((O12/MPM!$AE13)^(1/6))</f>
        <v>10.778671078472751</v>
      </c>
      <c r="Q12" s="43">
        <f t="shared" si="23"/>
        <v>7.4147234240394932E-2</v>
      </c>
      <c r="R12" s="38">
        <f>(MPM!$Q13^2)/(9.81*MPM!$F13*(P12^2))</f>
        <v>0.31768122621611722</v>
      </c>
      <c r="S12" s="36">
        <f>8.1*((R12/MPM!$AE13)^(1/6))</f>
        <v>10.77600639093597</v>
      </c>
      <c r="T12" s="43">
        <f t="shared" si="24"/>
        <v>2.4727969157683216E-2</v>
      </c>
      <c r="U12" s="38">
        <f>(MPM!$Q13^2)/(9.81*MPM!$F13*(S12^2))</f>
        <v>0.31783835787272624</v>
      </c>
      <c r="V12" s="36">
        <f>8.1*((U12/MPM!$AE13)^(1/6))</f>
        <v>10.776894546911276</v>
      </c>
      <c r="W12" s="43">
        <f t="shared" si="25"/>
        <v>8.2412978195085806E-3</v>
      </c>
      <c r="X12" s="38">
        <f>(MPM!$Q13^2)/(9.81*MPM!$F13*(V12^2))</f>
        <v>0.31778597202013836</v>
      </c>
      <c r="Y12" s="36">
        <f>8.1*((X12/MPM!$AE13)^(1/6))</f>
        <v>10.776598486786293</v>
      </c>
      <c r="Z12" s="43">
        <f t="shared" si="26"/>
        <v>2.7472502139321408E-3</v>
      </c>
      <c r="AA12" s="38">
        <f>(MPM!$Q13^2)/(9.81*MPM!$F13*(Y12^2))</f>
        <v>0.31780343301157599</v>
      </c>
      <c r="AB12" s="36">
        <f>8.1*((AA12/MPM!$AE13)^(1/6))</f>
        <v>10.776697172590909</v>
      </c>
      <c r="AC12" s="43">
        <f t="shared" si="27"/>
        <v>9.1573329968975018E-4</v>
      </c>
      <c r="AD12" s="38">
        <f>(MPM!$Q13^2)/(9.81*MPM!$F13*(AB12^2))</f>
        <v>0.31779761257449868</v>
      </c>
      <c r="AE12" s="36">
        <f>8.1*((AD12/MPM!$AE13)^(1/6))</f>
        <v>10.776664277222293</v>
      </c>
      <c r="AF12" s="43">
        <f t="shared" si="28"/>
        <v>3.0524629671589926E-4</v>
      </c>
      <c r="AG12" s="38">
        <f>(MPM!$Q13^2)/(9.81*MPM!$F13*(AE12^2))</f>
        <v>0.31779955270834664</v>
      </c>
      <c r="AH12" s="36">
        <f>8.1*((AG12/MPM!$AE13)^(1/6))</f>
        <v>10.776675242334008</v>
      </c>
      <c r="AI12" s="43">
        <f t="shared" si="29"/>
        <v>1.0174855851215791E-4</v>
      </c>
      <c r="AJ12" s="38">
        <f>(MPM!$Q13^2)/(9.81*MPM!$F13*(AH12^2))</f>
        <v>0.31779890599574795</v>
      </c>
      <c r="AK12" s="36">
        <f>8.1*((AJ12/MPM!$AE13)^(1/6))</f>
        <v>10.77667158729553</v>
      </c>
      <c r="AL12" s="43">
        <f t="shared" si="30"/>
        <v>3.391620917918447E-5</v>
      </c>
      <c r="AM12" s="38">
        <f>(MPM!$Q13^2)/(9.81*MPM!$F13*(AK12^2))</f>
        <v>0.31779912156646795</v>
      </c>
      <c r="AN12" s="36">
        <f>8.1*((AM12/MPM!$AE13)^(1/6))</f>
        <v>10.776672805641551</v>
      </c>
      <c r="AO12" s="43">
        <f t="shared" si="31"/>
        <v>1.1305400501400111E-5</v>
      </c>
      <c r="AP12" s="38">
        <f>(MPM!$Q13^2)/(9.81*MPM!$F13*(AN12^2))</f>
        <v>0.31779904970954509</v>
      </c>
      <c r="AQ12" s="36">
        <f>8.1*((AP12/MPM!$AE13)^(1/6))</f>
        <v>10.776672399526195</v>
      </c>
      <c r="AR12" s="43">
        <f t="shared" si="32"/>
        <v>3.768467124163638E-6</v>
      </c>
      <c r="AS12" s="38">
        <f>(MPM!$Q13^2)/(9.81*MPM!$F13*(AQ12^2))</f>
        <v>0.31779907366185095</v>
      </c>
      <c r="AT12" s="36">
        <f>8.1*((AS12/MPM!$AE13)^(1/6))</f>
        <v>10.77667253489798</v>
      </c>
      <c r="AU12" s="43">
        <f t="shared" si="33"/>
        <v>1.2561556867808241E-6</v>
      </c>
      <c r="AV12" s="38">
        <f>(MPM!$Q13^2)/(9.81*MPM!$F13*(AT12^2))</f>
        <v>0.31779906567774874</v>
      </c>
      <c r="AW12" s="36">
        <f>8.1*((AV12/MPM!$AE13)^(1/6))</f>
        <v>10.77667248977405</v>
      </c>
      <c r="AX12" s="43">
        <f t="shared" si="34"/>
        <v>4.1871857500242828E-7</v>
      </c>
      <c r="AY12" s="38">
        <f>(MPM!$Q13^2)/(9.81*MPM!$F13*(AW12^2))</f>
        <v>0.31779906833911614</v>
      </c>
      <c r="AZ12" s="36">
        <f>8.1*((AY12/MPM!$AE13)^(1/6))</f>
        <v>10.776672504815361</v>
      </c>
      <c r="BA12" s="43">
        <f t="shared" si="35"/>
        <v>1.3957286363378751E-7</v>
      </c>
      <c r="BB12" s="38">
        <f>(MPM!$Q13^2)/(9.81*MPM!$F13*(AZ12^2))</f>
        <v>0.31779906745199366</v>
      </c>
      <c r="BC12" s="36">
        <f>8.1*((BB12/MPM!$AE13)^(1/6))</f>
        <v>10.77667249980159</v>
      </c>
      <c r="BD12" s="43">
        <f t="shared" si="36"/>
        <v>4.6524293394024869E-8</v>
      </c>
      <c r="BE12" s="38">
        <f>(MPM!$Q13^2)/(9.81*MPM!$F13*(BC12^2))</f>
        <v>0.31779906774770122</v>
      </c>
      <c r="BF12" s="36">
        <f>8.1*((BE12/MPM!$AE13)^(1/6))</f>
        <v>10.776672501472849</v>
      </c>
      <c r="BG12" s="43">
        <f t="shared" si="37"/>
        <v>1.5508114278955063E-8</v>
      </c>
      <c r="BH12" s="38">
        <f>(MPM!$Q13^2)/(9.81*MPM!$F13*(BF12^2))</f>
        <v>0.31779906764913191</v>
      </c>
      <c r="BI12" s="36">
        <f>8.1*((BH12/MPM!$AE13)^(1/6))</f>
        <v>10.776672500915762</v>
      </c>
      <c r="BJ12" s="43">
        <f t="shared" si="38"/>
        <v>5.1693769210361749E-9</v>
      </c>
      <c r="BK12" s="38">
        <f>(MPM!$Q13^2)/(9.81*MPM!$F13*(BI12^2))</f>
        <v>0.31779906768198835</v>
      </c>
      <c r="BL12" s="36">
        <f>8.1*((BK12/MPM!$AE13)^(1/6))</f>
        <v>10.776672501101459</v>
      </c>
      <c r="BM12" s="43">
        <f t="shared" si="39"/>
        <v>1.7231366292168918E-9</v>
      </c>
      <c r="BN12" s="43">
        <f t="shared" si="40"/>
        <v>1.0338746438361607E-8</v>
      </c>
    </row>
    <row r="13" spans="1:66">
      <c r="A13" s="36">
        <f>MPM!B14</f>
        <v>9</v>
      </c>
      <c r="B13" s="41">
        <f>1/(MPM!AC14^0.5)</f>
        <v>11.306326276856824</v>
      </c>
      <c r="C13" s="38">
        <f>(MPM!$Q14^2)/(9.81*MPM!$F14*(Sheet1!B13^2))</f>
        <v>0.38382316246787462</v>
      </c>
      <c r="D13" s="36">
        <f>8.1*((C13/MPM!$AE14)^(1/6))</f>
        <v>11.121100833528498</v>
      </c>
      <c r="E13" s="41">
        <f t="shared" si="19"/>
        <v>1.6655315521454344</v>
      </c>
      <c r="F13" s="38">
        <f>(MPM!$Q14^2)/(9.81*MPM!$F14*(D13^2))</f>
        <v>0.39671502658540092</v>
      </c>
      <c r="G13" s="36">
        <f>8.1*((F13/MPM!$AE14)^(1/6))</f>
        <v>11.18250300840662</v>
      </c>
      <c r="H13" s="43">
        <f t="shared" si="20"/>
        <v>0.54909151226663566</v>
      </c>
      <c r="I13" s="38">
        <f>(MPM!$Q14^2)/(9.81*MPM!$F14*(G13^2))</f>
        <v>0.39237033052478359</v>
      </c>
      <c r="J13" s="36">
        <f>8.1*((I13/MPM!$AE14)^(1/6))</f>
        <v>11.161998040513666</v>
      </c>
      <c r="K13" s="43">
        <f t="shared" si="21"/>
        <v>0.18370338194406691</v>
      </c>
      <c r="L13" s="38">
        <f>(MPM!$Q14^2)/(9.81*MPM!$F14*(J13^2))</f>
        <v>0.39381324978812926</v>
      </c>
      <c r="M13" s="36">
        <f>8.1*((L13/MPM!$AE14)^(1/6))</f>
        <v>11.16882884870874</v>
      </c>
      <c r="N13" s="43">
        <f t="shared" si="22"/>
        <v>6.1159574451389684E-2</v>
      </c>
      <c r="O13" s="38">
        <f>(MPM!$Q14^2)/(9.81*MPM!$F14*(M13^2))</f>
        <v>0.39333168807831403</v>
      </c>
      <c r="P13" s="36">
        <f>8.1*((O13/MPM!$AE14)^(1/6))</f>
        <v>11.166551448297795</v>
      </c>
      <c r="Q13" s="43">
        <f t="shared" si="23"/>
        <v>2.0394840981025252E-2</v>
      </c>
      <c r="R13" s="38">
        <f>(MPM!$Q14^2)/(9.81*MPM!$F14*(P13^2))</f>
        <v>0.39349214318355058</v>
      </c>
      <c r="S13" s="36">
        <f>8.1*((R13/MPM!$AE14)^(1/6))</f>
        <v>11.167310530165935</v>
      </c>
      <c r="T13" s="43">
        <f t="shared" si="24"/>
        <v>6.7973561412915575E-3</v>
      </c>
      <c r="U13" s="38">
        <f>(MPM!$Q14^2)/(9.81*MPM!$F14*(S13^2))</f>
        <v>0.39343865087692326</v>
      </c>
      <c r="V13" s="36">
        <f>8.1*((U13/MPM!$AE14)^(1/6))</f>
        <v>11.167057497143285</v>
      </c>
      <c r="W13" s="43">
        <f t="shared" si="25"/>
        <v>2.2658880615144912E-3</v>
      </c>
      <c r="X13" s="38">
        <f>(MPM!$Q14^2)/(9.81*MPM!$F14*(V13^2))</f>
        <v>0.39345648083776369</v>
      </c>
      <c r="Y13" s="36">
        <f>8.1*((X13/MPM!$AE14)^(1/6))</f>
        <v>11.167141840847126</v>
      </c>
      <c r="Z13" s="43">
        <f t="shared" si="26"/>
        <v>7.5528461126078651E-4</v>
      </c>
      <c r="AA13" s="38">
        <f>(MPM!$Q14^2)/(9.81*MPM!$F14*(Y13^2))</f>
        <v>0.39345053742770503</v>
      </c>
      <c r="AB13" s="36">
        <f>8.1*((AA13/MPM!$AE14)^(1/6))</f>
        <v>11.167113726208397</v>
      </c>
      <c r="AC13" s="43">
        <f t="shared" si="27"/>
        <v>2.5176280477121093E-4</v>
      </c>
      <c r="AD13" s="38">
        <f>(MPM!$Q14^2)/(9.81*MPM!$F14*(AB13^2))</f>
        <v>0.39345251855441576</v>
      </c>
      <c r="AE13" s="36">
        <f>8.1*((AD13/MPM!$AE14)^(1/6))</f>
        <v>11.167123097746776</v>
      </c>
      <c r="AF13" s="43">
        <f t="shared" si="28"/>
        <v>8.3920794076231171E-5</v>
      </c>
      <c r="AG13" s="38">
        <f>(MPM!$Q14^2)/(9.81*MPM!$F14*(AE13^2))</f>
        <v>0.39345185817773703</v>
      </c>
      <c r="AH13" s="36">
        <f>8.1*((AG13/MPM!$AE14)^(1/6))</f>
        <v>11.167119973899775</v>
      </c>
      <c r="AI13" s="43">
        <f t="shared" si="29"/>
        <v>2.7973613687498827E-5</v>
      </c>
      <c r="AJ13" s="38">
        <f>(MPM!$Q14^2)/(9.81*MPM!$F14*(AH13^2))</f>
        <v>0.39345207830317352</v>
      </c>
      <c r="AK13" s="36">
        <f>8.1*((AJ13/MPM!$AE14)^(1/6))</f>
        <v>11.167121015182012</v>
      </c>
      <c r="AL13" s="43">
        <f t="shared" si="30"/>
        <v>9.3245361620812914E-6</v>
      </c>
      <c r="AM13" s="38">
        <f>(MPM!$Q14^2)/(9.81*MPM!$F14*(AK13^2))</f>
        <v>0.39345200492801435</v>
      </c>
      <c r="AN13" s="36">
        <f>8.1*((AM13/MPM!$AE14)^(1/6))</f>
        <v>11.167120668087922</v>
      </c>
      <c r="AO13" s="43">
        <f t="shared" si="31"/>
        <v>3.1081789180460203E-6</v>
      </c>
      <c r="AP13" s="38">
        <f>(MPM!$Q14^2)/(9.81*MPM!$F14*(AN13^2))</f>
        <v>0.39345202938639923</v>
      </c>
      <c r="AQ13" s="36">
        <f>8.1*((AP13/MPM!$AE14)^(1/6))</f>
        <v>11.167120783785951</v>
      </c>
      <c r="AR13" s="43">
        <f t="shared" si="32"/>
        <v>1.0360596180097936E-6</v>
      </c>
      <c r="AS13" s="38">
        <f>(MPM!$Q14^2)/(9.81*MPM!$F14*(AQ13^2))</f>
        <v>0.39345202123360412</v>
      </c>
      <c r="AT13" s="36">
        <f>8.1*((AS13/MPM!$AE14)^(1/6))</f>
        <v>11.16712074521994</v>
      </c>
      <c r="AU13" s="43">
        <f t="shared" si="33"/>
        <v>3.4535321780063717E-7</v>
      </c>
      <c r="AV13" s="38">
        <f>(MPM!$Q14^2)/(9.81*MPM!$F14*(AT13^2))</f>
        <v>0.39345202395120249</v>
      </c>
      <c r="AW13" s="36">
        <f>8.1*((AV13/MPM!$AE14)^(1/6))</f>
        <v>11.167120758075278</v>
      </c>
      <c r="AX13" s="43">
        <f t="shared" si="34"/>
        <v>1.1511774973904234E-7</v>
      </c>
      <c r="AY13" s="38">
        <f>(MPM!$Q14^2)/(9.81*MPM!$F14*(AW13^2))</f>
        <v>0.39345202304533627</v>
      </c>
      <c r="AZ13" s="36">
        <f>8.1*((AY13/MPM!$AE14)^(1/6))</f>
        <v>11.167120753790163</v>
      </c>
      <c r="BA13" s="43">
        <f t="shared" si="35"/>
        <v>3.8372599168098337E-8</v>
      </c>
      <c r="BB13" s="38">
        <f>(MPM!$Q14^2)/(9.81*MPM!$F14*(AZ13^2))</f>
        <v>0.39345202334729185</v>
      </c>
      <c r="BC13" s="36">
        <f>8.1*((BB13/MPM!$AE14)^(1/6))</f>
        <v>11.167120755218537</v>
      </c>
      <c r="BD13" s="43">
        <f t="shared" si="36"/>
        <v>1.2790887597098494E-8</v>
      </c>
      <c r="BE13" s="38">
        <f>(MPM!$Q14^2)/(9.81*MPM!$F14*(BC13^2))</f>
        <v>0.39345202324663986</v>
      </c>
      <c r="BF13" s="36">
        <f>8.1*((BE13/MPM!$AE14)^(1/6))</f>
        <v>11.167120754742413</v>
      </c>
      <c r="BG13" s="43">
        <f t="shared" si="37"/>
        <v>4.2636238968725048E-9</v>
      </c>
      <c r="BH13" s="38">
        <f>(MPM!$Q14^2)/(9.81*MPM!$F14*(BF13^2))</f>
        <v>0.39345202328019047</v>
      </c>
      <c r="BI13" s="36">
        <f>8.1*((BH13/MPM!$AE14)^(1/6))</f>
        <v>11.16712075490112</v>
      </c>
      <c r="BJ13" s="43">
        <f t="shared" si="38"/>
        <v>1.4211973609197463E-9</v>
      </c>
      <c r="BK13" s="38">
        <f>(MPM!$Q14^2)/(9.81*MPM!$F14*(BI13^2))</f>
        <v>0.39345202326900697</v>
      </c>
      <c r="BL13" s="36">
        <f>8.1*((BK13/MPM!$AE14)^(1/6))</f>
        <v>11.167120754848217</v>
      </c>
      <c r="BM13" s="43">
        <f t="shared" si="39"/>
        <v>4.737430583263835E-10</v>
      </c>
      <c r="BN13" s="43">
        <f t="shared" si="40"/>
        <v>2.8424046415458029E-9</v>
      </c>
    </row>
    <row r="14" spans="1:66">
      <c r="A14" s="36">
        <f>MPM!B15</f>
        <v>10</v>
      </c>
      <c r="B14" s="41">
        <f>1/(MPM!AC15^0.5)</f>
        <v>11.545728484807105</v>
      </c>
      <c r="C14" s="38">
        <f>(MPM!$Q15^2)/(9.81*MPM!$F15*(Sheet1!B14^2))</f>
        <v>0.38717585198083998</v>
      </c>
      <c r="D14" s="36">
        <f>8.1*((C14/MPM!$AE15)^(1/6))</f>
        <v>11.137232661022953</v>
      </c>
      <c r="E14" s="41">
        <f t="shared" si="19"/>
        <v>3.6678395452199526</v>
      </c>
      <c r="F14" s="38">
        <f>(MPM!$Q15^2)/(9.81*MPM!$F15*(D14^2))</f>
        <v>0.41609869948849693</v>
      </c>
      <c r="G14" s="36">
        <f>8.1*((F14/MPM!$AE15)^(1/6))</f>
        <v>11.271766276145147</v>
      </c>
      <c r="H14" s="43">
        <f t="shared" si="20"/>
        <v>1.1935451093136373</v>
      </c>
      <c r="I14" s="38">
        <f>(MPM!$Q15^2)/(9.81*MPM!$F15*(G14^2))</f>
        <v>0.40622532347041007</v>
      </c>
      <c r="J14" s="36">
        <f>8.1*((I14/MPM!$AE15)^(1/6))</f>
        <v>11.226742131986009</v>
      </c>
      <c r="K14" s="43">
        <f t="shared" si="21"/>
        <v>0.40104371891521234</v>
      </c>
      <c r="L14" s="38">
        <f>(MPM!$Q15^2)/(9.81*MPM!$F15*(J14^2))</f>
        <v>0.40949013932748413</v>
      </c>
      <c r="M14" s="36">
        <f>8.1*((L14/MPM!$AE15)^(1/6))</f>
        <v>11.241730161675864</v>
      </c>
      <c r="N14" s="43">
        <f t="shared" si="22"/>
        <v>0.13332493730324918</v>
      </c>
      <c r="O14" s="38">
        <f>(MPM!$Q15^2)/(9.81*MPM!$F15*(M14^2))</f>
        <v>0.40839896227523181</v>
      </c>
      <c r="P14" s="36">
        <f>8.1*((O14/MPM!$AE15)^(1/6))</f>
        <v>11.236731929824192</v>
      </c>
      <c r="Q14" s="43">
        <f t="shared" si="23"/>
        <v>4.448118797251388E-2</v>
      </c>
      <c r="R14" s="38">
        <f>(MPM!$Q15^2)/(9.81*MPM!$F15*(P14^2))</f>
        <v>0.40876236450024861</v>
      </c>
      <c r="S14" s="36">
        <f>8.1*((R14/MPM!$AE15)^(1/6))</f>
        <v>11.238397760138788</v>
      </c>
      <c r="T14" s="43">
        <f t="shared" si="24"/>
        <v>1.4822667342360457E-2</v>
      </c>
      <c r="U14" s="38">
        <f>(MPM!$Q15^2)/(9.81*MPM!$F15*(S14^2))</f>
        <v>0.4086411945102052</v>
      </c>
      <c r="V14" s="36">
        <f>8.1*((U14/MPM!$AE15)^(1/6))</f>
        <v>11.237842455929387</v>
      </c>
      <c r="W14" s="43">
        <f t="shared" si="25"/>
        <v>4.9413774181190171E-3</v>
      </c>
      <c r="X14" s="38">
        <f>(MPM!$Q15^2)/(9.81*MPM!$F15*(V14^2))</f>
        <v>0.40868158051540637</v>
      </c>
      <c r="Y14" s="36">
        <f>8.1*((X14/MPM!$AE15)^(1/6))</f>
        <v>11.23802755428375</v>
      </c>
      <c r="Z14" s="43">
        <f t="shared" si="26"/>
        <v>1.6470715476438001E-3</v>
      </c>
      <c r="AA14" s="38">
        <f>(MPM!$Q15^2)/(9.81*MPM!$F15*(Y14^2))</f>
        <v>0.40866811807020909</v>
      </c>
      <c r="AB14" s="36">
        <f>8.1*((AA14/MPM!$AE15)^(1/6))</f>
        <v>11.237965854493549</v>
      </c>
      <c r="AC14" s="43">
        <f t="shared" si="27"/>
        <v>5.4902987782935405E-4</v>
      </c>
      <c r="AD14" s="38">
        <f>(MPM!$Q15^2)/(9.81*MPM!$F15*(AB14^2))</f>
        <v>0.40867260550266643</v>
      </c>
      <c r="AE14" s="36">
        <f>8.1*((AD14/MPM!$AE15)^(1/6))</f>
        <v>11.237986421052645</v>
      </c>
      <c r="AF14" s="43">
        <f t="shared" si="28"/>
        <v>1.8300928943321222E-4</v>
      </c>
      <c r="AG14" s="38">
        <f>(MPM!$Q15^2)/(9.81*MPM!$F15*(AE14^2))</f>
        <v>0.40867110968637227</v>
      </c>
      <c r="AH14" s="36">
        <f>8.1*((AG14/MPM!$AE15)^(1/6))</f>
        <v>11.237979565528764</v>
      </c>
      <c r="AI14" s="43">
        <f t="shared" si="29"/>
        <v>6.100317090059783E-5</v>
      </c>
      <c r="AJ14" s="38">
        <f>(MPM!$Q15^2)/(9.81*MPM!$F15*(AH14^2))</f>
        <v>0.40867160829119531</v>
      </c>
      <c r="AK14" s="36">
        <f>8.1*((AJ14/MPM!$AE15)^(1/6))</f>
        <v>11.237981850702926</v>
      </c>
      <c r="AL14" s="43">
        <f t="shared" si="30"/>
        <v>2.0334382029233737E-5</v>
      </c>
      <c r="AM14" s="38">
        <f>(MPM!$Q15^2)/(9.81*MPM!$F15*(AK14^2))</f>
        <v>0.40867144208952</v>
      </c>
      <c r="AN14" s="36">
        <f>8.1*((AM14/MPM!$AE15)^(1/6))</f>
        <v>11.237981088978152</v>
      </c>
      <c r="AO14" s="43">
        <f t="shared" si="31"/>
        <v>6.7781282767098484E-6</v>
      </c>
      <c r="AP14" s="38">
        <f>(MPM!$Q15^2)/(9.81*MPM!$F15*(AN14^2))</f>
        <v>0.40867149749007103</v>
      </c>
      <c r="AQ14" s="36">
        <f>8.1*((AP14/MPM!$AE15)^(1/6))</f>
        <v>11.237981342886405</v>
      </c>
      <c r="AR14" s="43">
        <f t="shared" si="32"/>
        <v>2.2593759937686392E-6</v>
      </c>
      <c r="AS14" s="38">
        <f>(MPM!$Q15^2)/(9.81*MPM!$F15*(AQ14^2))</f>
        <v>0.40867147902321993</v>
      </c>
      <c r="AT14" s="36">
        <f>8.1*((AS14/MPM!$AE15)^(1/6))</f>
        <v>11.237981258250322</v>
      </c>
      <c r="AU14" s="43">
        <f t="shared" si="33"/>
        <v>7.5312532639037378E-7</v>
      </c>
      <c r="AV14" s="38">
        <f>(MPM!$Q15^2)/(9.81*MPM!$F15*(AT14^2))</f>
        <v>0.40867148517883672</v>
      </c>
      <c r="AW14" s="36">
        <f>8.1*((AV14/MPM!$AE15)^(1/6))</f>
        <v>11.237981286462349</v>
      </c>
      <c r="AX14" s="43">
        <f t="shared" si="34"/>
        <v>2.5104176429542132E-7</v>
      </c>
      <c r="AY14" s="38">
        <f>(MPM!$Q15^2)/(9.81*MPM!$F15*(AW14^2))</f>
        <v>0.4086714831269645</v>
      </c>
      <c r="AZ14" s="36">
        <f>8.1*((AY14/MPM!$AE15)^(1/6))</f>
        <v>11.237981277058338</v>
      </c>
      <c r="BA14" s="43">
        <f t="shared" si="35"/>
        <v>8.3680598706315103E-8</v>
      </c>
      <c r="BB14" s="38">
        <f>(MPM!$Q15^2)/(9.81*MPM!$F15*(AZ14^2))</f>
        <v>0.408671483810922</v>
      </c>
      <c r="BC14" s="36">
        <f>8.1*((BB14/MPM!$AE15)^(1/6))</f>
        <v>11.23798128019301</v>
      </c>
      <c r="BD14" s="43">
        <f t="shared" si="36"/>
        <v>2.7893543432141461E-8</v>
      </c>
      <c r="BE14" s="38">
        <f>(MPM!$Q15^2)/(9.81*MPM!$F15*(BC14^2))</f>
        <v>0.40867148358293609</v>
      </c>
      <c r="BF14" s="36">
        <f>8.1*((BE14/MPM!$AE15)^(1/6))</f>
        <v>11.237981279148118</v>
      </c>
      <c r="BG14" s="43">
        <f t="shared" si="37"/>
        <v>9.2978636183037048E-9</v>
      </c>
      <c r="BH14" s="38">
        <f>(MPM!$Q15^2)/(9.81*MPM!$F15*(BF14^2))</f>
        <v>0.40867148365893152</v>
      </c>
      <c r="BI14" s="36">
        <f>8.1*((BH14/MPM!$AE15)^(1/6))</f>
        <v>11.237981279496417</v>
      </c>
      <c r="BJ14" s="43">
        <f t="shared" si="38"/>
        <v>3.0993036793972278E-9</v>
      </c>
      <c r="BK14" s="38">
        <f>(MPM!$Q15^2)/(9.81*MPM!$F15*(BI14^2))</f>
        <v>0.40867148363359956</v>
      </c>
      <c r="BL14" s="36">
        <f>8.1*((BK14/MPM!$AE15)^(1/6))</f>
        <v>11.237981279380318</v>
      </c>
      <c r="BM14" s="43">
        <f t="shared" si="39"/>
        <v>1.0330959575679547E-9</v>
      </c>
      <c r="BN14" s="43">
        <f t="shared" si="40"/>
        <v>6.1986117865723011E-9</v>
      </c>
    </row>
    <row r="15" spans="1:66">
      <c r="A15" s="36">
        <f>MPM!B16</f>
        <v>11</v>
      </c>
      <c r="B15" s="41">
        <f>1/(MPM!AC16^0.5)</f>
        <v>11.90412276559897</v>
      </c>
      <c r="C15" s="38">
        <f>(MPM!$Q16^2)/(9.81*MPM!$F16*(Sheet1!B15^2))</f>
        <v>0.41697278921764896</v>
      </c>
      <c r="D15" s="36">
        <f>8.1*((C15/MPM!$AE16)^(1/6))</f>
        <v>11.275709219827652</v>
      </c>
      <c r="E15" s="41">
        <f t="shared" si="19"/>
        <v>5.5731620381473732</v>
      </c>
      <c r="F15" s="38">
        <f>(MPM!$Q16^2)/(9.81*MPM!$F16*(D15^2))</f>
        <v>0.46474505073056965</v>
      </c>
      <c r="G15" s="36">
        <f>8.1*((F15/MPM!$AE16)^(1/6))</f>
        <v>11.481405196341173</v>
      </c>
      <c r="H15" s="43">
        <f t="shared" si="20"/>
        <v>1.7915575053397741</v>
      </c>
      <c r="I15" s="38">
        <f>(MPM!$Q16^2)/(9.81*MPM!$F16*(G15^2))</f>
        <v>0.44824186926665338</v>
      </c>
      <c r="J15" s="36">
        <f>8.1*((I15/MPM!$AE16)^(1/6))</f>
        <v>11.412426283681549</v>
      </c>
      <c r="K15" s="43">
        <f t="shared" si="21"/>
        <v>0.60441934909367812</v>
      </c>
      <c r="L15" s="38">
        <f>(MPM!$Q16^2)/(9.81*MPM!$F16*(J15^2))</f>
        <v>0.45367676573904181</v>
      </c>
      <c r="M15" s="36">
        <f>8.1*((L15/MPM!$AE16)^(1/6))</f>
        <v>11.435373084841949</v>
      </c>
      <c r="N15" s="43">
        <f t="shared" si="22"/>
        <v>0.20066508534659358</v>
      </c>
      <c r="O15" s="38">
        <f>(MPM!$Q16^2)/(9.81*MPM!$F16*(M15^2))</f>
        <v>0.4518578507971876</v>
      </c>
      <c r="P15" s="36">
        <f>8.1*((O15/MPM!$AE16)^(1/6))</f>
        <v>11.427719029164091</v>
      </c>
      <c r="Q15" s="43">
        <f t="shared" si="23"/>
        <v>6.697798273062161E-2</v>
      </c>
      <c r="R15" s="38">
        <f>(MPM!$Q16^2)/(9.81*MPM!$F16*(P15^2))</f>
        <v>0.45246334404943422</v>
      </c>
      <c r="S15" s="36">
        <f>8.1*((R15/MPM!$AE16)^(1/6))</f>
        <v>11.430269811653893</v>
      </c>
      <c r="T15" s="43">
        <f t="shared" si="24"/>
        <v>2.2316030433519866E-2</v>
      </c>
      <c r="U15" s="38">
        <f>(MPM!$Q16^2)/(9.81*MPM!$F16*(S15^2))</f>
        <v>0.45226142286722754</v>
      </c>
      <c r="V15" s="36">
        <f>8.1*((U15/MPM!$AE16)^(1/6))</f>
        <v>11.42941948756796</v>
      </c>
      <c r="W15" s="43">
        <f t="shared" si="25"/>
        <v>7.4397836815589206E-3</v>
      </c>
      <c r="X15" s="38">
        <f>(MPM!$Q16^2)/(9.81*MPM!$F16*(V15^2))</f>
        <v>0.4523287199135847</v>
      </c>
      <c r="Y15" s="36">
        <f>8.1*((X15/MPM!$AE16)^(1/6))</f>
        <v>11.429702921901088</v>
      </c>
      <c r="Z15" s="43">
        <f t="shared" si="26"/>
        <v>2.4798049001271117E-3</v>
      </c>
      <c r="AA15" s="38">
        <f>(MPM!$Q16^2)/(9.81*MPM!$F16*(Y15^2))</f>
        <v>0.45230628645221899</v>
      </c>
      <c r="AB15" s="36">
        <f>8.1*((AA15/MPM!$AE16)^(1/6))</f>
        <v>11.429608443009078</v>
      </c>
      <c r="AC15" s="43">
        <f t="shared" si="27"/>
        <v>8.2661529903246822E-4</v>
      </c>
      <c r="AD15" s="38">
        <f>(MPM!$Q16^2)/(9.81*MPM!$F16*(AB15^2))</f>
        <v>0.45231376414904934</v>
      </c>
      <c r="AE15" s="36">
        <f>8.1*((AD15/MPM!$AE16)^(1/6))</f>
        <v>11.429639935886307</v>
      </c>
      <c r="AF15" s="43">
        <f t="shared" si="28"/>
        <v>2.7553691459536185E-4</v>
      </c>
      <c r="AG15" s="38">
        <f>(MPM!$Q16^2)/(9.81*MPM!$F16*(AE15^2))</f>
        <v>0.45231127156970324</v>
      </c>
      <c r="AH15" s="36">
        <f>8.1*((AG15/MPM!$AE16)^(1/6))</f>
        <v>11.42962943825092</v>
      </c>
      <c r="AI15" s="43">
        <f t="shared" si="29"/>
        <v>9.1845806930621523E-5</v>
      </c>
      <c r="AJ15" s="38">
        <f>(MPM!$Q16^2)/(9.81*MPM!$F16*(AH15^2))</f>
        <v>0.45231210242795922</v>
      </c>
      <c r="AK15" s="36">
        <f>8.1*((AJ15/MPM!$AE16)^(1/6))</f>
        <v>11.429632937461646</v>
      </c>
      <c r="AL15" s="43">
        <f t="shared" si="30"/>
        <v>3.0615250242661436E-5</v>
      </c>
      <c r="AM15" s="38">
        <f>(MPM!$Q16^2)/(9.81*MPM!$F16*(AK15^2))</f>
        <v>0.45231182547503751</v>
      </c>
      <c r="AN15" s="36">
        <f>8.1*((AM15/MPM!$AE16)^(1/6))</f>
        <v>11.429631771057952</v>
      </c>
      <c r="AO15" s="43">
        <f t="shared" si="31"/>
        <v>1.0205085491769991E-5</v>
      </c>
      <c r="AP15" s="38">
        <f>(MPM!$Q16^2)/(9.81*MPM!$F16*(AN15^2))</f>
        <v>0.45231191779265917</v>
      </c>
      <c r="AQ15" s="36">
        <f>8.1*((AP15/MPM!$AE16)^(1/6))</f>
        <v>11.429632159859169</v>
      </c>
      <c r="AR15" s="43">
        <f t="shared" si="32"/>
        <v>3.4016949238745995E-6</v>
      </c>
      <c r="AS15" s="38">
        <f>(MPM!$Q16^2)/(9.81*MPM!$F16*(AQ15^2))</f>
        <v>0.45231188702011665</v>
      </c>
      <c r="AT15" s="36">
        <f>8.1*((AS15/MPM!$AE16)^(1/6))</f>
        <v>11.429632030258762</v>
      </c>
      <c r="AU15" s="43">
        <f t="shared" si="33"/>
        <v>1.1338983311765738E-6</v>
      </c>
      <c r="AV15" s="38">
        <f>(MPM!$Q16^2)/(9.81*MPM!$F16*(AT15^2))</f>
        <v>0.45231189727763055</v>
      </c>
      <c r="AW15" s="36">
        <f>8.1*((AV15/MPM!$AE16)^(1/6))</f>
        <v>11.429632073458897</v>
      </c>
      <c r="AX15" s="43">
        <f t="shared" si="34"/>
        <v>3.7796610378304754E-7</v>
      </c>
      <c r="AY15" s="38">
        <f>(MPM!$Q16^2)/(9.81*MPM!$F16*(AW15^2))</f>
        <v>0.45231189385845927</v>
      </c>
      <c r="AZ15" s="36">
        <f>8.1*((AY15/MPM!$AE16)^(1/6))</f>
        <v>11.429632059058852</v>
      </c>
      <c r="BA15" s="43">
        <f t="shared" si="35"/>
        <v>1.2598870660030739E-7</v>
      </c>
      <c r="BB15" s="38">
        <f>(MPM!$Q16^2)/(9.81*MPM!$F16*(AZ15^2))</f>
        <v>0.45231189499818314</v>
      </c>
      <c r="BC15" s="36">
        <f>8.1*((BB15/MPM!$AE16)^(1/6))</f>
        <v>11.429632063858868</v>
      </c>
      <c r="BD15" s="43">
        <f t="shared" si="36"/>
        <v>4.1996245876918939E-8</v>
      </c>
      <c r="BE15" s="38">
        <f>(MPM!$Q16^2)/(9.81*MPM!$F16*(BC15^2))</f>
        <v>0.45231189461827509</v>
      </c>
      <c r="BF15" s="36">
        <f>8.1*((BE15/MPM!$AE16)^(1/6))</f>
        <v>11.429632062258863</v>
      </c>
      <c r="BG15" s="43">
        <f t="shared" si="37"/>
        <v>1.3998748627599297E-8</v>
      </c>
      <c r="BH15" s="38">
        <f>(MPM!$Q16^2)/(9.81*MPM!$F16*(BF15^2))</f>
        <v>0.45231189474491101</v>
      </c>
      <c r="BI15" s="36">
        <f>8.1*((BH15/MPM!$AE16)^(1/6))</f>
        <v>11.429632062792198</v>
      </c>
      <c r="BJ15" s="43">
        <f t="shared" si="38"/>
        <v>4.6662495423153601E-9</v>
      </c>
      <c r="BK15" s="38">
        <f>(MPM!$Q16^2)/(9.81*MPM!$F16*(BI15^2))</f>
        <v>0.45231189470269911</v>
      </c>
      <c r="BL15" s="36">
        <f>8.1*((BK15/MPM!$AE16)^(1/6))</f>
        <v>11.429632062614418</v>
      </c>
      <c r="BM15" s="43">
        <f t="shared" si="39"/>
        <v>1.555426875249308E-9</v>
      </c>
      <c r="BN15" s="43">
        <f t="shared" si="40"/>
        <v>9.3324763588897159E-9</v>
      </c>
    </row>
    <row r="16" spans="1:66">
      <c r="A16" s="36">
        <f>MPM!B17</f>
        <v>12</v>
      </c>
      <c r="B16" s="41">
        <f>1/(MPM!AC17^0.5)</f>
        <v>10.102255199357518</v>
      </c>
      <c r="C16" s="38">
        <f>(MPM!$Q17^2)/(9.81*MPM!$F17*(Sheet1!B16^2))</f>
        <v>0.32499108499713253</v>
      </c>
      <c r="D16" s="36">
        <f>8.1*((C16/MPM!$AE17)^(1/6))</f>
        <v>10.816941721110796</v>
      </c>
      <c r="E16" s="41">
        <f t="shared" si="19"/>
        <v>6.6071033770891576</v>
      </c>
      <c r="F16" s="38">
        <f>(MPM!$Q17^2)/(9.81*MPM!$F17*(D16^2))</f>
        <v>0.28346480116423051</v>
      </c>
      <c r="G16" s="36">
        <f>8.1*((F16/MPM!$AE17)^(1/6))</f>
        <v>10.573264703929905</v>
      </c>
      <c r="H16" s="43">
        <f t="shared" si="20"/>
        <v>2.3046525742453099</v>
      </c>
      <c r="I16" s="38">
        <f>(MPM!$Q17^2)/(9.81*MPM!$F17*(G16^2))</f>
        <v>0.29668111899874394</v>
      </c>
      <c r="J16" s="36">
        <f>8.1*((I16/MPM!$AE17)^(1/6))</f>
        <v>10.65387425509309</v>
      </c>
      <c r="K16" s="43">
        <f t="shared" si="21"/>
        <v>0.75662195022294176</v>
      </c>
      <c r="L16" s="38">
        <f>(MPM!$Q17^2)/(9.81*MPM!$F17*(J16^2))</f>
        <v>0.29220859436675817</v>
      </c>
      <c r="M16" s="36">
        <f>8.1*((L16/MPM!$AE17)^(1/6))</f>
        <v>10.626936350673182</v>
      </c>
      <c r="N16" s="43">
        <f t="shared" si="22"/>
        <v>0.25348702138600498</v>
      </c>
      <c r="O16" s="38">
        <f>(MPM!$Q17^2)/(9.81*MPM!$F17*(M16^2))</f>
        <v>0.29369189369684801</v>
      </c>
      <c r="P16" s="36">
        <f>8.1*((O16/MPM!$AE17)^(1/6))</f>
        <v>10.635908075691829</v>
      </c>
      <c r="Q16" s="43">
        <f t="shared" si="23"/>
        <v>8.4353164344767598E-2</v>
      </c>
      <c r="R16" s="38">
        <f>(MPM!$Q17^2)/(9.81*MPM!$F17*(P16^2))</f>
        <v>0.29319662586051787</v>
      </c>
      <c r="S16" s="36">
        <f>8.1*((R16/MPM!$AE17)^(1/6))</f>
        <v>10.63291665940978</v>
      </c>
      <c r="T16" s="43">
        <f t="shared" si="24"/>
        <v>2.8133543954764952E-2</v>
      </c>
      <c r="U16" s="38">
        <f>(MPM!$Q17^2)/(9.81*MPM!$F17*(S16^2))</f>
        <v>0.29336162227014284</v>
      </c>
      <c r="V16" s="36">
        <f>8.1*((U16/MPM!$AE17)^(1/6))</f>
        <v>10.633913704674917</v>
      </c>
      <c r="W16" s="43">
        <f t="shared" si="25"/>
        <v>9.3760894890373824E-3</v>
      </c>
      <c r="X16" s="38">
        <f>(MPM!$Q17^2)/(9.81*MPM!$F17*(V16^2))</f>
        <v>0.29330661315265477</v>
      </c>
      <c r="Y16" s="36">
        <f>8.1*((X16/MPM!$AE17)^(1/6))</f>
        <v>10.633581345865569</v>
      </c>
      <c r="Z16" s="43">
        <f t="shared" si="26"/>
        <v>3.1255585351580568E-3</v>
      </c>
      <c r="AA16" s="38">
        <f>(MPM!$Q17^2)/(9.81*MPM!$F17*(Y16^2))</f>
        <v>0.29332494837895251</v>
      </c>
      <c r="AB16" s="36">
        <f>8.1*((AA16/MPM!$AE17)^(1/6))</f>
        <v>10.633692130981142</v>
      </c>
      <c r="AC16" s="43">
        <f t="shared" si="27"/>
        <v>1.0418311364398844E-3</v>
      </c>
      <c r="AD16" s="38">
        <f>(MPM!$Q17^2)/(9.81*MPM!$F17*(AB16^2))</f>
        <v>0.29331883650950408</v>
      </c>
      <c r="AE16" s="36">
        <f>8.1*((AD16/MPM!$AE17)^(1/6))</f>
        <v>10.633655202481039</v>
      </c>
      <c r="AF16" s="43">
        <f t="shared" si="28"/>
        <v>3.4727945753362951E-4</v>
      </c>
      <c r="AG16" s="38">
        <f>(MPM!$Q17^2)/(9.81*MPM!$F17*(AE16^2))</f>
        <v>0.29332087378517008</v>
      </c>
      <c r="AH16" s="36">
        <f>8.1*((AG16/MPM!$AE17)^(1/6))</f>
        <v>10.633667511966824</v>
      </c>
      <c r="AI16" s="43">
        <f t="shared" si="29"/>
        <v>1.1575955116711709E-4</v>
      </c>
      <c r="AJ16" s="38">
        <f>(MPM!$Q17^2)/(9.81*MPM!$F17*(AH16^2))</f>
        <v>0.29332019469170928</v>
      </c>
      <c r="AK16" s="36">
        <f>8.1*((AJ16/MPM!$AE17)^(1/6))</f>
        <v>10.633663408803313</v>
      </c>
      <c r="AL16" s="43">
        <f t="shared" si="30"/>
        <v>3.8586546823525038E-5</v>
      </c>
      <c r="AM16" s="38">
        <f>(MPM!$Q17^2)/(9.81*MPM!$F17*(AK16^2))</f>
        <v>0.29332042105602141</v>
      </c>
      <c r="AN16" s="36">
        <f>8.1*((AM16/MPM!$AE17)^(1/6))</f>
        <v>10.633664776524308</v>
      </c>
      <c r="AO16" s="43">
        <f t="shared" si="31"/>
        <v>1.286217896635352E-5</v>
      </c>
      <c r="AP16" s="38">
        <f>(MPM!$Q17^2)/(9.81*MPM!$F17*(AN16^2))</f>
        <v>0.29332034560123132</v>
      </c>
      <c r="AQ16" s="36">
        <f>8.1*((AP16/MPM!$AE17)^(1/6))</f>
        <v>10.63366432061729</v>
      </c>
      <c r="AR16" s="43">
        <f t="shared" si="32"/>
        <v>4.2873933507888982E-6</v>
      </c>
      <c r="AS16" s="38">
        <f>(MPM!$Q17^2)/(9.81*MPM!$F17*(AQ16^2))</f>
        <v>0.29332037075282585</v>
      </c>
      <c r="AT16" s="36">
        <f>8.1*((AS16/MPM!$AE17)^(1/6))</f>
        <v>10.633664472586293</v>
      </c>
      <c r="AU16" s="43">
        <f t="shared" si="33"/>
        <v>1.4291310686637592E-6</v>
      </c>
      <c r="AV16" s="38">
        <f>(MPM!$Q17^2)/(9.81*MPM!$F17*(AT16^2))</f>
        <v>0.29332036236896081</v>
      </c>
      <c r="AW16" s="36">
        <f>8.1*((AV16/MPM!$AE17)^(1/6))</f>
        <v>10.633664421929959</v>
      </c>
      <c r="AX16" s="43">
        <f t="shared" si="34"/>
        <v>4.763770251572704E-7</v>
      </c>
      <c r="AY16" s="38">
        <f>(MPM!$Q17^2)/(9.81*MPM!$F17*(AW16^2))</f>
        <v>0.29332036516358245</v>
      </c>
      <c r="AZ16" s="36">
        <f>8.1*((AY16/MPM!$AE17)^(1/6))</f>
        <v>10.633664438815405</v>
      </c>
      <c r="BA16" s="43">
        <f t="shared" si="35"/>
        <v>1.5879235260362674E-7</v>
      </c>
      <c r="BB16" s="38">
        <f>(MPM!$Q17^2)/(9.81*MPM!$F17*(AZ16^2))</f>
        <v>0.29332036423204177</v>
      </c>
      <c r="BC16" s="36">
        <f>8.1*((BB16/MPM!$AE17)^(1/6))</f>
        <v>10.633664433186922</v>
      </c>
      <c r="BD16" s="43">
        <f t="shared" si="36"/>
        <v>5.2930789797568944E-8</v>
      </c>
      <c r="BE16" s="38">
        <f>(MPM!$Q17^2)/(9.81*MPM!$F17*(BC16^2))</f>
        <v>0.29332036454255533</v>
      </c>
      <c r="BF16" s="36">
        <f>8.1*((BE16/MPM!$AE17)^(1/6))</f>
        <v>10.633664435063082</v>
      </c>
      <c r="BG16" s="43">
        <f t="shared" si="37"/>
        <v>1.7643585459389986E-8</v>
      </c>
      <c r="BH16" s="38">
        <f>(MPM!$Q17^2)/(9.81*MPM!$F17*(BF16^2))</f>
        <v>0.29332036443905096</v>
      </c>
      <c r="BI16" s="36">
        <f>8.1*((BH16/MPM!$AE17)^(1/6))</f>
        <v>10.633664434437696</v>
      </c>
      <c r="BJ16" s="43">
        <f t="shared" si="38"/>
        <v>5.8811895851325285E-9</v>
      </c>
      <c r="BK16" s="38">
        <f>(MPM!$Q17^2)/(9.81*MPM!$F17*(BI16^2))</f>
        <v>0.29332036447355236</v>
      </c>
      <c r="BL16" s="36">
        <f>8.1*((BK16/MPM!$AE17)^(1/6))</f>
        <v>10.633664434646157</v>
      </c>
      <c r="BM16" s="43">
        <f t="shared" si="39"/>
        <v>1.9603853916523773E-9</v>
      </c>
      <c r="BN16" s="43">
        <f t="shared" si="40"/>
        <v>1.1762361538543873E-8</v>
      </c>
    </row>
    <row r="17" spans="1:66">
      <c r="A17" s="36">
        <f>MPM!B18</f>
        <v>13</v>
      </c>
      <c r="B17" s="41">
        <f>1/(MPM!AC18^0.5)</f>
        <v>10.693418983334153</v>
      </c>
      <c r="C17" s="38">
        <f>(MPM!$Q18^2)/(9.81*MPM!$F18*(Sheet1!B17^2))</f>
        <v>0.54884100991561213</v>
      </c>
      <c r="D17" s="36">
        <f>8.1*((C17/MPM!$AE18)^(1/6))</f>
        <v>11.804121589711125</v>
      </c>
      <c r="E17" s="41">
        <f t="shared" si="19"/>
        <v>9.4094473522290549</v>
      </c>
      <c r="F17" s="38">
        <f>(MPM!$Q18^2)/(9.81*MPM!$F18*(D17^2))</f>
        <v>0.45041451020422035</v>
      </c>
      <c r="G17" s="36">
        <f>8.1*((F17/MPM!$AE18)^(1/6))</f>
        <v>11.421627111028304</v>
      </c>
      <c r="H17" s="43">
        <f t="shared" si="20"/>
        <v>3.3488615498005374</v>
      </c>
      <c r="I17" s="38">
        <f>(MPM!$Q18^2)/(9.81*MPM!$F18*(G17^2))</f>
        <v>0.48108716108166943</v>
      </c>
      <c r="J17" s="36">
        <f>8.1*((I17/MPM!$AE18)^(1/6))</f>
        <v>11.547727927138295</v>
      </c>
      <c r="K17" s="43">
        <f t="shared" si="21"/>
        <v>1.0919967711885723</v>
      </c>
      <c r="L17" s="38">
        <f>(MPM!$Q18^2)/(9.81*MPM!$F18*(J17^2))</f>
        <v>0.47063761612323657</v>
      </c>
      <c r="M17" s="36">
        <f>8.1*((L17/MPM!$AE18)^(1/6))</f>
        <v>11.505540384876625</v>
      </c>
      <c r="N17" s="43">
        <f t="shared" si="22"/>
        <v>0.36667154127870033</v>
      </c>
      <c r="O17" s="38">
        <f>(MPM!$Q18^2)/(9.81*MPM!$F18*(M17^2))</f>
        <v>0.47409533215451338</v>
      </c>
      <c r="P17" s="36">
        <f>8.1*((O17/MPM!$AE18)^(1/6))</f>
        <v>11.519585746145312</v>
      </c>
      <c r="Q17" s="43">
        <f t="shared" si="23"/>
        <v>0.12192592319031209</v>
      </c>
      <c r="R17" s="38">
        <f>(MPM!$Q18^2)/(9.81*MPM!$F18*(P17^2))</f>
        <v>0.47293994672028777</v>
      </c>
      <c r="S17" s="36">
        <f>8.1*((R17/MPM!$AE18)^(1/6))</f>
        <v>11.514902054995121</v>
      </c>
      <c r="T17" s="43">
        <f t="shared" si="24"/>
        <v>4.0675041158161881E-2</v>
      </c>
      <c r="U17" s="38">
        <f>(MPM!$Q18^2)/(9.81*MPM!$F18*(S17^2))</f>
        <v>0.47332476200222534</v>
      </c>
      <c r="V17" s="36">
        <f>8.1*((U17/MPM!$AE18)^(1/6))</f>
        <v>11.516463073749303</v>
      </c>
      <c r="W17" s="43">
        <f t="shared" si="25"/>
        <v>1.3554671639949879E-2</v>
      </c>
      <c r="X17" s="38">
        <f>(MPM!$Q18^2)/(9.81*MPM!$F18*(V17^2))</f>
        <v>0.47319645546401978</v>
      </c>
      <c r="Y17" s="36">
        <f>8.1*((X17/MPM!$AE18)^(1/6))</f>
        <v>11.515942710652698</v>
      </c>
      <c r="Z17" s="43">
        <f t="shared" si="26"/>
        <v>4.5186322099685745E-3</v>
      </c>
      <c r="AA17" s="38">
        <f>(MPM!$Q18^2)/(9.81*MPM!$F18*(Y17^2))</f>
        <v>0.47323922044510014</v>
      </c>
      <c r="AB17" s="36">
        <f>8.1*((AA17/MPM!$AE18)^(1/6))</f>
        <v>11.51611616240571</v>
      </c>
      <c r="AC17" s="43">
        <f t="shared" si="27"/>
        <v>1.5061653648329844E-3</v>
      </c>
      <c r="AD17" s="38">
        <f>(MPM!$Q18^2)/(9.81*MPM!$F18*(AB17^2))</f>
        <v>0.47322496502199374</v>
      </c>
      <c r="AE17" s="36">
        <f>8.1*((AD17/MPM!$AE18)^(1/6))</f>
        <v>11.516058344864431</v>
      </c>
      <c r="AF17" s="43">
        <f t="shared" si="28"/>
        <v>5.0206016284101501E-4</v>
      </c>
      <c r="AG17" s="38">
        <f>(MPM!$Q18^2)/(9.81*MPM!$F18*(AE17^2))</f>
        <v>0.473229716781982</v>
      </c>
      <c r="AH17" s="36">
        <f>8.1*((AG17/MPM!$AE18)^(1/6))</f>
        <v>11.516077617345937</v>
      </c>
      <c r="AI17" s="43">
        <f t="shared" si="29"/>
        <v>1.6735282746588464E-4</v>
      </c>
      <c r="AJ17" s="38">
        <f>(MPM!$Q18^2)/(9.81*MPM!$F18*(AH17^2))</f>
        <v>0.47322813285668452</v>
      </c>
      <c r="AK17" s="36">
        <f>8.1*((AJ17/MPM!$AE18)^(1/6))</f>
        <v>11.516071193181849</v>
      </c>
      <c r="AL17" s="43">
        <f t="shared" si="30"/>
        <v>5.5784338078833991E-5</v>
      </c>
      <c r="AM17" s="38">
        <f>(MPM!$Q18^2)/(9.81*MPM!$F18*(AK17^2))</f>
        <v>0.47322866083119486</v>
      </c>
      <c r="AN17" s="36">
        <f>8.1*((AM17/MPM!$AE18)^(1/6))</f>
        <v>11.516073334569482</v>
      </c>
      <c r="AO17" s="43">
        <f t="shared" si="31"/>
        <v>1.8594772457032849E-5</v>
      </c>
      <c r="AP17" s="38">
        <f>(MPM!$Q18^2)/(9.81*MPM!$F18*(AN17^2))</f>
        <v>0.47322848483962587</v>
      </c>
      <c r="AQ17" s="36">
        <f>8.1*((AP17/MPM!$AE18)^(1/6))</f>
        <v>11.51607262077356</v>
      </c>
      <c r="AR17" s="43">
        <f t="shared" si="32"/>
        <v>6.1982582554871959E-6</v>
      </c>
      <c r="AS17" s="38">
        <f>(MPM!$Q18^2)/(9.81*MPM!$F18*(AQ17^2))</f>
        <v>0.47322854350347493</v>
      </c>
      <c r="AT17" s="36">
        <f>8.1*((AS17/MPM!$AE18)^(1/6))</f>
        <v>11.516072858705529</v>
      </c>
      <c r="AU17" s="43">
        <f t="shared" si="33"/>
        <v>2.0660860013418895E-6</v>
      </c>
      <c r="AV17" s="38">
        <f>(MPM!$Q18^2)/(9.81*MPM!$F18*(AT17^2))</f>
        <v>0.47322852394885773</v>
      </c>
      <c r="AW17" s="36">
        <f>8.1*((AV17/MPM!$AE18)^(1/6))</f>
        <v>11.516072779394873</v>
      </c>
      <c r="AX17" s="43">
        <f t="shared" si="34"/>
        <v>6.8869533338196832E-7</v>
      </c>
      <c r="AY17" s="38">
        <f>(MPM!$Q18^2)/(9.81*MPM!$F18*(AW17^2))</f>
        <v>0.47322853046706326</v>
      </c>
      <c r="AZ17" s="36">
        <f>8.1*((AY17/MPM!$AE18)^(1/6))</f>
        <v>11.516072805831756</v>
      </c>
      <c r="BA17" s="43">
        <f t="shared" si="35"/>
        <v>2.2956509003362452E-7</v>
      </c>
      <c r="BB17" s="38">
        <f>(MPM!$Q18^2)/(9.81*MPM!$F18*(AZ17^2))</f>
        <v>0.47322852829432827</v>
      </c>
      <c r="BC17" s="36">
        <f>8.1*((BB17/MPM!$AE18)^(1/6))</f>
        <v>11.516072797019463</v>
      </c>
      <c r="BD17" s="43">
        <f t="shared" si="36"/>
        <v>7.6521686453082094E-8</v>
      </c>
      <c r="BE17" s="38">
        <f>(MPM!$Q18^2)/(9.81*MPM!$F18*(BC17^2))</f>
        <v>0.47322852901857315</v>
      </c>
      <c r="BF17" s="36">
        <f>8.1*((BE17/MPM!$AE18)^(1/6))</f>
        <v>11.516072799956895</v>
      </c>
      <c r="BG17" s="43">
        <f t="shared" si="37"/>
        <v>2.5507233952862064E-8</v>
      </c>
      <c r="BH17" s="38">
        <f>(MPM!$Q18^2)/(9.81*MPM!$F18*(BF17^2))</f>
        <v>0.47322852877715815</v>
      </c>
      <c r="BI17" s="36">
        <f>8.1*((BH17/MPM!$AE18)^(1/6))</f>
        <v>11.516072798977751</v>
      </c>
      <c r="BJ17" s="43">
        <f t="shared" si="38"/>
        <v>8.502411318343598E-9</v>
      </c>
      <c r="BK17" s="38">
        <f>(MPM!$Q18^2)/(9.81*MPM!$F18*(BI17^2))</f>
        <v>0.47322852885762978</v>
      </c>
      <c r="BL17" s="36">
        <f>8.1*((BK17/MPM!$AE18)^(1/6))</f>
        <v>11.516072799304132</v>
      </c>
      <c r="BM17" s="43">
        <f t="shared" si="39"/>
        <v>2.8341319643599876E-9</v>
      </c>
      <c r="BN17" s="43">
        <f t="shared" si="40"/>
        <v>1.700481362658933E-8</v>
      </c>
    </row>
    <row r="18" spans="1:66">
      <c r="A18" s="36">
        <f>MPM!B19</f>
        <v>14</v>
      </c>
      <c r="B18" s="41">
        <f>1/(MPM!AC19^0.5)</f>
        <v>11.296736907694836</v>
      </c>
      <c r="C18" s="38">
        <f>(MPM!$Q19^2)/(9.81*MPM!$F19*(Sheet1!B18^2))</f>
        <v>0.5908861979566955</v>
      </c>
      <c r="D18" s="36">
        <f>8.1*((C18/MPM!$AE19)^(1/6))</f>
        <v>11.950238039399919</v>
      </c>
      <c r="E18" s="41">
        <f t="shared" si="19"/>
        <v>5.4685197863882751</v>
      </c>
      <c r="F18" s="38">
        <f>(MPM!$Q19^2)/(9.81*MPM!$F19*(D18^2))</f>
        <v>0.52802776861586043</v>
      </c>
      <c r="G18" s="36">
        <f>8.1*((F18/MPM!$AE19)^(1/6))</f>
        <v>11.728308352490973</v>
      </c>
      <c r="H18" s="43">
        <f t="shared" si="20"/>
        <v>1.8922565832932716</v>
      </c>
      <c r="I18" s="38">
        <f>(MPM!$Q19^2)/(9.81*MPM!$F19*(G18^2))</f>
        <v>0.54820011651207501</v>
      </c>
      <c r="J18" s="36">
        <f>8.1*((I18/MPM!$AE19)^(1/6))</f>
        <v>11.801823150212225</v>
      </c>
      <c r="K18" s="43">
        <f t="shared" si="21"/>
        <v>0.62291051802390418</v>
      </c>
      <c r="L18" s="38">
        <f>(MPM!$Q19^2)/(9.81*MPM!$F19*(J18^2))</f>
        <v>0.54139179526553805</v>
      </c>
      <c r="M18" s="36">
        <f>8.1*((L18/MPM!$AE19)^(1/6))</f>
        <v>11.777267159555997</v>
      </c>
      <c r="N18" s="43">
        <f t="shared" si="22"/>
        <v>0.2085032998194655</v>
      </c>
      <c r="O18" s="38">
        <f>(MPM!$Q19^2)/(9.81*MPM!$F19*(M18^2))</f>
        <v>0.54365178840814365</v>
      </c>
      <c r="P18" s="36">
        <f>8.1*((O18/MPM!$AE19)^(1/6))</f>
        <v>11.785446807460799</v>
      </c>
      <c r="Q18" s="43">
        <f t="shared" si="23"/>
        <v>6.9404648278789283E-2</v>
      </c>
      <c r="R18" s="38">
        <f>(MPM!$Q19^2)/(9.81*MPM!$F19*(P18^2))</f>
        <v>0.54289741106228095</v>
      </c>
      <c r="S18" s="36">
        <f>8.1*((R18/MPM!$AE19)^(1/6))</f>
        <v>11.782719627131883</v>
      </c>
      <c r="T18" s="43">
        <f t="shared" si="24"/>
        <v>2.3145592997363313E-2</v>
      </c>
      <c r="U18" s="38">
        <f>(MPM!$Q19^2)/(9.81*MPM!$F19*(S18^2))</f>
        <v>0.54314875379661365</v>
      </c>
      <c r="V18" s="36">
        <f>8.1*((U18/MPM!$AE19)^(1/6))</f>
        <v>11.783628617114754</v>
      </c>
      <c r="W18" s="43">
        <f t="shared" si="25"/>
        <v>7.7140073945588814E-3</v>
      </c>
      <c r="X18" s="38">
        <f>(MPM!$Q19^2)/(9.81*MPM!$F19*(V18^2))</f>
        <v>0.54306495995860715</v>
      </c>
      <c r="Y18" s="36">
        <f>8.1*((X18/MPM!$AE19)^(1/6))</f>
        <v>11.783325612662402</v>
      </c>
      <c r="Z18" s="43">
        <f t="shared" si="26"/>
        <v>2.571468041470187E-3</v>
      </c>
      <c r="AA18" s="38">
        <f>(MPM!$Q19^2)/(9.81*MPM!$F19*(Y18^2))</f>
        <v>0.5430928898014854</v>
      </c>
      <c r="AB18" s="36">
        <f>8.1*((AA18/MPM!$AE19)^(1/6))</f>
        <v>11.78342661328079</v>
      </c>
      <c r="AC18" s="43">
        <f t="shared" si="27"/>
        <v>8.5714131977602376E-4</v>
      </c>
      <c r="AD18" s="38">
        <f>(MPM!$Q19^2)/(9.81*MPM!$F19*(AB18^2))</f>
        <v>0.54308357969425936</v>
      </c>
      <c r="AE18" s="36">
        <f>8.1*((AD18/MPM!$AE19)^(1/6))</f>
        <v>11.783392946311801</v>
      </c>
      <c r="AF18" s="43">
        <f t="shared" si="28"/>
        <v>2.8571540592807433E-4</v>
      </c>
      <c r="AG18" s="38">
        <f>(MPM!$Q19^2)/(9.81*MPM!$F19*(AE18^2))</f>
        <v>0.54308668304560148</v>
      </c>
      <c r="AH18" s="36">
        <f>8.1*((AG18/MPM!$AE19)^(1/6))</f>
        <v>11.783404168624111</v>
      </c>
      <c r="AI18" s="43">
        <f t="shared" si="29"/>
        <v>9.5238287247562933E-5</v>
      </c>
      <c r="AJ18" s="38">
        <f>(MPM!$Q19^2)/(9.81*MPM!$F19*(AH18^2))</f>
        <v>0.54308564859318365</v>
      </c>
      <c r="AK18" s="36">
        <f>8.1*((AJ18/MPM!$AE19)^(1/6))</f>
        <v>11.783400427852154</v>
      </c>
      <c r="AL18" s="43">
        <f t="shared" si="30"/>
        <v>3.1746115902517317E-5</v>
      </c>
      <c r="AM18" s="38">
        <f>(MPM!$Q19^2)/(9.81*MPM!$F19*(AK18^2))</f>
        <v>0.54308599341043728</v>
      </c>
      <c r="AN18" s="36">
        <f>8.1*((AM18/MPM!$AE19)^(1/6))</f>
        <v>11.783401674776007</v>
      </c>
      <c r="AO18" s="43">
        <f t="shared" si="31"/>
        <v>1.0582036388771534E-5</v>
      </c>
      <c r="AP18" s="38">
        <f>(MPM!$Q19^2)/(9.81*MPM!$F19*(AN18^2))</f>
        <v>0.54308587847132839</v>
      </c>
      <c r="AQ18" s="36">
        <f>8.1*((AP18/MPM!$AE19)^(1/6))</f>
        <v>11.78340125913471</v>
      </c>
      <c r="AR18" s="43">
        <f t="shared" si="32"/>
        <v>3.5273456978960793E-6</v>
      </c>
      <c r="AS18" s="38">
        <f>(MPM!$Q19^2)/(9.81*MPM!$F19*(AQ18^2))</f>
        <v>0.5430859167843618</v>
      </c>
      <c r="AT18" s="36">
        <f>8.1*((AS18/MPM!$AE19)^(1/6))</f>
        <v>11.783401397681807</v>
      </c>
      <c r="AU18" s="43">
        <f t="shared" si="33"/>
        <v>1.1757818703989857E-6</v>
      </c>
      <c r="AV18" s="38">
        <f>(MPM!$Q19^2)/(9.81*MPM!$F19*(AT18^2))</f>
        <v>0.54308590401335033</v>
      </c>
      <c r="AW18" s="36">
        <f>8.1*((AV18/MPM!$AE19)^(1/6))</f>
        <v>11.783401351499441</v>
      </c>
      <c r="AX18" s="43">
        <f t="shared" si="34"/>
        <v>3.9192729669409096E-7</v>
      </c>
      <c r="AY18" s="38">
        <f>(MPM!$Q19^2)/(9.81*MPM!$F19*(AW18^2))</f>
        <v>0.54308590827035419</v>
      </c>
      <c r="AZ18" s="36">
        <f>8.1*((AY18/MPM!$AE19)^(1/6))</f>
        <v>11.783401366893562</v>
      </c>
      <c r="BA18" s="43">
        <f t="shared" si="35"/>
        <v>1.306424270356635E-7</v>
      </c>
      <c r="BB18" s="38">
        <f>(MPM!$Q19^2)/(9.81*MPM!$F19*(AZ18^2))</f>
        <v>0.54308590685135305</v>
      </c>
      <c r="BC18" s="36">
        <f>8.1*((BB18/MPM!$AE19)^(1/6))</f>
        <v>11.78340136176219</v>
      </c>
      <c r="BD18" s="43">
        <f t="shared" si="36"/>
        <v>4.3547465647466928E-8</v>
      </c>
      <c r="BE18" s="38">
        <f>(MPM!$Q19^2)/(9.81*MPM!$F19*(BC18^2))</f>
        <v>0.54308590732435336</v>
      </c>
      <c r="BF18" s="36">
        <f>8.1*((BE18/MPM!$AE19)^(1/6))</f>
        <v>11.783401363472645</v>
      </c>
      <c r="BG18" s="43">
        <f t="shared" si="37"/>
        <v>1.4515806805304797E-8</v>
      </c>
      <c r="BH18" s="38">
        <f>(MPM!$Q19^2)/(9.81*MPM!$F19*(BF18^2))</f>
        <v>0.54308590716668659</v>
      </c>
      <c r="BI18" s="36">
        <f>8.1*((BH18/MPM!$AE19)^(1/6))</f>
        <v>11.783401362902495</v>
      </c>
      <c r="BJ18" s="43">
        <f t="shared" si="38"/>
        <v>4.8385871935919619E-9</v>
      </c>
      <c r="BK18" s="38">
        <f>(MPM!$Q19^2)/(9.81*MPM!$F19*(BI18^2))</f>
        <v>0.54308590721924199</v>
      </c>
      <c r="BL18" s="36">
        <f>8.1*((BK18/MPM!$AE19)^(1/6))</f>
        <v>11.783401363092546</v>
      </c>
      <c r="BM18" s="43">
        <f t="shared" si="39"/>
        <v>1.6128674228636709E-9</v>
      </c>
      <c r="BN18" s="43">
        <f t="shared" si="40"/>
        <v>9.6771806769756271E-9</v>
      </c>
    </row>
    <row r="19" spans="1:66">
      <c r="A19" s="36">
        <f>MPM!B20</f>
        <v>15</v>
      </c>
      <c r="B19" s="41">
        <f>1/(MPM!AC20^0.5)</f>
        <v>11.329049149202234</v>
      </c>
      <c r="C19" s="38">
        <f>(MPM!$Q20^2)/(9.81*MPM!$F20*(Sheet1!B19^2))</f>
        <v>0.62388825945730786</v>
      </c>
      <c r="D19" s="36">
        <f>8.1*((C19/MPM!$AE20)^(1/6))</f>
        <v>12.05897470139546</v>
      </c>
      <c r="E19" s="41">
        <f t="shared" si="19"/>
        <v>6.0529652832654115</v>
      </c>
      <c r="F19" s="38">
        <f>(MPM!$Q20^2)/(9.81*MPM!$F20*(D19^2))</f>
        <v>0.55064660601147852</v>
      </c>
      <c r="G19" s="36">
        <f>8.1*((F19/MPM!$AE20)^(1/6))</f>
        <v>11.810585003316605</v>
      </c>
      <c r="H19" s="43">
        <f t="shared" si="20"/>
        <v>2.1031108790047472</v>
      </c>
      <c r="I19" s="38">
        <f>(MPM!$Q20^2)/(9.81*MPM!$F20*(G19^2))</f>
        <v>0.57405157850730282</v>
      </c>
      <c r="J19" s="36">
        <f>8.1*((I19/MPM!$AE20)^(1/6))</f>
        <v>11.89280782293884</v>
      </c>
      <c r="K19" s="43">
        <f t="shared" si="21"/>
        <v>0.69136591498303235</v>
      </c>
      <c r="L19" s="38">
        <f>(MPM!$Q20^2)/(9.81*MPM!$F20*(J19^2))</f>
        <v>0.56614142352019459</v>
      </c>
      <c r="M19" s="36">
        <f>8.1*((L19/MPM!$AE20)^(1/6))</f>
        <v>11.865336810389586</v>
      </c>
      <c r="N19" s="43">
        <f t="shared" si="22"/>
        <v>0.23152324277217332</v>
      </c>
      <c r="O19" s="38">
        <f>(MPM!$Q20^2)/(9.81*MPM!$F20*(M19^2))</f>
        <v>0.56876595617356429</v>
      </c>
      <c r="P19" s="36">
        <f>8.1*((O19/MPM!$AE20)^(1/6))</f>
        <v>11.874486756784009</v>
      </c>
      <c r="Q19" s="43">
        <f t="shared" si="23"/>
        <v>7.70555105398191E-2</v>
      </c>
      <c r="R19" s="38">
        <f>(MPM!$Q20^2)/(9.81*MPM!$F20*(P19^2))</f>
        <v>0.5678897628586792</v>
      </c>
      <c r="S19" s="36">
        <f>8.1*((R19/MPM!$AE20)^(1/6))</f>
        <v>11.871435990923903</v>
      </c>
      <c r="T19" s="43">
        <f t="shared" si="24"/>
        <v>2.5698372652124025E-2</v>
      </c>
      <c r="U19" s="38">
        <f>(MPM!$Q20^2)/(9.81*MPM!$F20*(S19^2))</f>
        <v>0.56818167721750545</v>
      </c>
      <c r="V19" s="36">
        <f>8.1*((U19/MPM!$AE20)^(1/6))</f>
        <v>11.872452825778906</v>
      </c>
      <c r="W19" s="43">
        <f t="shared" si="25"/>
        <v>8.5646569409392644E-3</v>
      </c>
      <c r="X19" s="38">
        <f>(MPM!$Q20^2)/(9.81*MPM!$F20*(V19^2))</f>
        <v>0.56808435576239835</v>
      </c>
      <c r="Y19" s="36">
        <f>8.1*((X19/MPM!$AE20)^(1/6))</f>
        <v>11.872113871150288</v>
      </c>
      <c r="Z19" s="43">
        <f t="shared" si="26"/>
        <v>2.8550486652666766E-3</v>
      </c>
      <c r="AA19" s="38">
        <f>(MPM!$Q20^2)/(9.81*MPM!$F20*(Y19^2))</f>
        <v>0.56811679439509466</v>
      </c>
      <c r="AB19" s="36">
        <f>8.1*((AA19/MPM!$AE20)^(1/6))</f>
        <v>11.872226854951252</v>
      </c>
      <c r="AC19" s="43">
        <f t="shared" si="27"/>
        <v>9.516647748084255E-4</v>
      </c>
      <c r="AD19" s="38">
        <f>(MPM!$Q20^2)/(9.81*MPM!$F20*(AB19^2))</f>
        <v>0.56810598131172307</v>
      </c>
      <c r="AE19" s="36">
        <f>8.1*((AD19/MPM!$AE20)^(1/6))</f>
        <v>11.872189193564795</v>
      </c>
      <c r="AF19" s="43">
        <f t="shared" si="28"/>
        <v>3.1722360420147075E-4</v>
      </c>
      <c r="AG19" s="38">
        <f>(MPM!$Q20^2)/(9.81*MPM!$F20*(AE19^2))</f>
        <v>0.56810958564997915</v>
      </c>
      <c r="AH19" s="36">
        <f>8.1*((AG19/MPM!$AE20)^(1/6))</f>
        <v>11.872201747347006</v>
      </c>
      <c r="AI19" s="43">
        <f t="shared" si="29"/>
        <v>1.0574097777529118E-4</v>
      </c>
      <c r="AJ19" s="38">
        <f>(MPM!$Q20^2)/(9.81*MPM!$F20*(AH19^2))</f>
        <v>0.5681083842013529</v>
      </c>
      <c r="AK19" s="36">
        <f>8.1*((AJ19/MPM!$AE20)^(1/6))</f>
        <v>11.87219756275146</v>
      </c>
      <c r="AL19" s="43">
        <f t="shared" si="30"/>
        <v>3.5247017448969817E-5</v>
      </c>
      <c r="AM19" s="38">
        <f>(MPM!$Q20^2)/(9.81*MPM!$F20*(AK19^2))</f>
        <v>0.56810878468394621</v>
      </c>
      <c r="AN19" s="36">
        <f>8.1*((AM19/MPM!$AE20)^(1/6))</f>
        <v>11.872198957616479</v>
      </c>
      <c r="AO19" s="43">
        <f t="shared" si="31"/>
        <v>1.174900306937332E-5</v>
      </c>
      <c r="AP19" s="38">
        <f>(MPM!$Q20^2)/(9.81*MPM!$F20*(AN19^2))</f>
        <v>0.56810865118971698</v>
      </c>
      <c r="AQ19" s="36">
        <f>8.1*((AP19/MPM!$AE20)^(1/6))</f>
        <v>11.872198492661454</v>
      </c>
      <c r="AR19" s="43">
        <f t="shared" si="32"/>
        <v>3.9163346694326597E-6</v>
      </c>
      <c r="AS19" s="38">
        <f>(MPM!$Q20^2)/(9.81*MPM!$F20*(AQ19^2))</f>
        <v>0.56810869568778988</v>
      </c>
      <c r="AT19" s="36">
        <f>8.1*((AS19/MPM!$AE20)^(1/6))</f>
        <v>11.872198647646462</v>
      </c>
      <c r="AU19" s="43">
        <f t="shared" si="33"/>
        <v>1.3054448677815817E-6</v>
      </c>
      <c r="AV19" s="38">
        <f>(MPM!$Q20^2)/(9.81*MPM!$F20*(AT19^2))</f>
        <v>0.56810868085509847</v>
      </c>
      <c r="AW19" s="36">
        <f>8.1*((AV19/MPM!$AE20)^(1/6))</f>
        <v>11.872198595984791</v>
      </c>
      <c r="AX19" s="43">
        <f t="shared" si="34"/>
        <v>4.351483011289504E-7</v>
      </c>
      <c r="AY19" s="38">
        <f>(MPM!$Q20^2)/(9.81*MPM!$F20*(AW19^2))</f>
        <v>0.56810868579932883</v>
      </c>
      <c r="AZ19" s="36">
        <f>8.1*((AY19/MPM!$AE20)^(1/6))</f>
        <v>11.872198613205347</v>
      </c>
      <c r="BA19" s="43">
        <f t="shared" si="35"/>
        <v>1.45049423524374E-7</v>
      </c>
      <c r="BB19" s="38">
        <f>(MPM!$Q20^2)/(9.81*MPM!$F20*(AZ19^2))</f>
        <v>0.56810868415125215</v>
      </c>
      <c r="BC19" s="36">
        <f>8.1*((BB19/MPM!$AE20)^(1/6))</f>
        <v>11.872198607465164</v>
      </c>
      <c r="BD19" s="43">
        <f t="shared" si="36"/>
        <v>4.8349792902510885E-8</v>
      </c>
      <c r="BE19" s="38">
        <f>(MPM!$Q20^2)/(9.81*MPM!$F20*(BC19^2))</f>
        <v>0.56810868470061093</v>
      </c>
      <c r="BF19" s="36">
        <f>8.1*((BE19/MPM!$AE20)^(1/6))</f>
        <v>11.872198609378557</v>
      </c>
      <c r="BG19" s="43">
        <f t="shared" si="37"/>
        <v>1.6116592644131466E-8</v>
      </c>
      <c r="BH19" s="38">
        <f>(MPM!$Q20^2)/(9.81*MPM!$F20*(BF19^2))</f>
        <v>0.5681086845174913</v>
      </c>
      <c r="BI19" s="36">
        <f>8.1*((BH19/MPM!$AE20)^(1/6))</f>
        <v>11.872198608740758</v>
      </c>
      <c r="BJ19" s="43">
        <f t="shared" si="38"/>
        <v>5.3722075232151937E-9</v>
      </c>
      <c r="BK19" s="38">
        <f>(MPM!$Q20^2)/(9.81*MPM!$F20*(BI19^2))</f>
        <v>0.56810868457853136</v>
      </c>
      <c r="BL19" s="36">
        <f>8.1*((BK19/MPM!$AE20)^(1/6))</f>
        <v>11.87219860895336</v>
      </c>
      <c r="BM19" s="43">
        <f t="shared" si="39"/>
        <v>1.7907508033638117E-9</v>
      </c>
      <c r="BN19" s="43">
        <f t="shared" si="40"/>
        <v>1.0744433864653121E-8</v>
      </c>
    </row>
    <row r="20" spans="1:66">
      <c r="A20" s="36">
        <f>MPM!B21</f>
        <v>16</v>
      </c>
      <c r="B20" s="41">
        <f>1/(MPM!AC21^0.5)</f>
        <v>11.727237070362815</v>
      </c>
      <c r="C20" s="38">
        <f>(MPM!$Q21^2)/(9.81*MPM!$F21*(Sheet1!B20^2))</f>
        <v>0.64245775881197675</v>
      </c>
      <c r="D20" s="36">
        <f>8.1*((C20/MPM!$AE21)^(1/6))</f>
        <v>12.118066876965031</v>
      </c>
      <c r="E20" s="41">
        <f t="shared" si="19"/>
        <v>3.2251827834449078</v>
      </c>
      <c r="F20" s="38">
        <f>(MPM!$Q21^2)/(9.81*MPM!$F21*(D20^2))</f>
        <v>0.60168515672344236</v>
      </c>
      <c r="G20" s="36">
        <f>8.1*((F20/MPM!$AE21)^(1/6))</f>
        <v>11.986364074599258</v>
      </c>
      <c r="H20" s="43">
        <f t="shared" si="20"/>
        <v>1.0987719173729165</v>
      </c>
      <c r="I20" s="38">
        <f>(MPM!$Q21^2)/(9.81*MPM!$F21*(G20^2))</f>
        <v>0.61498009322210867</v>
      </c>
      <c r="J20" s="36">
        <f>8.1*((I20/MPM!$AE21)^(1/6))</f>
        <v>12.03010519272123</v>
      </c>
      <c r="K20" s="43">
        <f t="shared" si="21"/>
        <v>0.36359713752492345</v>
      </c>
      <c r="L20" s="38">
        <f>(MPM!$Q21^2)/(9.81*MPM!$F21*(J20^2))</f>
        <v>0.61051612340535044</v>
      </c>
      <c r="M20" s="36">
        <f>8.1*((L20/MPM!$AE21)^(1/6))</f>
        <v>12.015507112958858</v>
      </c>
      <c r="N20" s="43">
        <f t="shared" si="22"/>
        <v>0.12149366335631362</v>
      </c>
      <c r="O20" s="38">
        <f>(MPM!$Q21^2)/(9.81*MPM!$F21*(M20^2))</f>
        <v>0.61200050137792195</v>
      </c>
      <c r="P20" s="36">
        <f>8.1*((O20/MPM!$AE21)^(1/6))</f>
        <v>12.020371170237365</v>
      </c>
      <c r="Q20" s="43">
        <f t="shared" si="23"/>
        <v>4.0465117171675127E-2</v>
      </c>
      <c r="R20" s="38">
        <f>(MPM!$Q21^2)/(9.81*MPM!$F21*(P20^2))</f>
        <v>0.61150530814850956</v>
      </c>
      <c r="S20" s="36">
        <f>8.1*((R20/MPM!$AE21)^(1/6))</f>
        <v>12.018749599067963</v>
      </c>
      <c r="T20" s="43">
        <f t="shared" si="24"/>
        <v>1.349201225997252E-2</v>
      </c>
      <c r="U20" s="38">
        <f>(MPM!$Q21^2)/(9.81*MPM!$F21*(S20^2))</f>
        <v>0.61167032802230104</v>
      </c>
      <c r="V20" s="36">
        <f>8.1*((U20/MPM!$AE21)^(1/6))</f>
        <v>12.019290098483744</v>
      </c>
      <c r="W20" s="43">
        <f t="shared" si="25"/>
        <v>4.4969329415628324E-3</v>
      </c>
      <c r="X20" s="38">
        <f>(MPM!$Q21^2)/(9.81*MPM!$F21*(V20^2))</f>
        <v>0.61161531645029643</v>
      </c>
      <c r="Y20" s="36">
        <f>8.1*((X20/MPM!$AE21)^(1/6))</f>
        <v>12.019109929311094</v>
      </c>
      <c r="Z20" s="43">
        <f t="shared" si="26"/>
        <v>1.4990225874391388E-3</v>
      </c>
      <c r="AA20" s="38">
        <f>(MPM!$Q21^2)/(9.81*MPM!$F21*(Y20^2))</f>
        <v>0.61163365309121431</v>
      </c>
      <c r="AB20" s="36">
        <f>8.1*((AA20/MPM!$AE21)^(1/6))</f>
        <v>12.019169985401893</v>
      </c>
      <c r="AC20" s="43">
        <f t="shared" si="27"/>
        <v>4.9966920238259159E-4</v>
      </c>
      <c r="AD20" s="38">
        <f>(MPM!$Q21^2)/(9.81*MPM!$F21*(AB20^2))</f>
        <v>0.61162754081649318</v>
      </c>
      <c r="AE20" s="36">
        <f>8.1*((AD20/MPM!$AE21)^(1/6))</f>
        <v>12.01914996667162</v>
      </c>
      <c r="AF20" s="43">
        <f t="shared" si="28"/>
        <v>1.6655695559980601E-4</v>
      </c>
      <c r="AG20" s="38">
        <f>(MPM!$Q21^2)/(9.81*MPM!$F21*(AE20^2))</f>
        <v>0.61162957823461306</v>
      </c>
      <c r="AH20" s="36">
        <f>8.1*((AG20/MPM!$AE21)^(1/6))</f>
        <v>12.019156639578005</v>
      </c>
      <c r="AI20" s="43">
        <f t="shared" si="29"/>
        <v>5.5518923546605591E-5</v>
      </c>
      <c r="AJ20" s="38">
        <f>(MPM!$Q21^2)/(9.81*MPM!$F21*(AH20^2))</f>
        <v>0.6116288990944857</v>
      </c>
      <c r="AK20" s="36">
        <f>8.1*((AJ20/MPM!$AE21)^(1/6))</f>
        <v>12.019154415275464</v>
      </c>
      <c r="AL20" s="43">
        <f t="shared" si="30"/>
        <v>1.850631470744737E-5</v>
      </c>
      <c r="AM20" s="38">
        <f>(MPM!$Q21^2)/(9.81*MPM!$F21*(AK20^2))</f>
        <v>0.61162912547444448</v>
      </c>
      <c r="AN20" s="36">
        <f>8.1*((AM20/MPM!$AE21)^(1/6))</f>
        <v>12.0191551567096</v>
      </c>
      <c r="AO20" s="43">
        <f t="shared" si="31"/>
        <v>6.1687708142007353E-6</v>
      </c>
      <c r="AP20" s="38">
        <f>(MPM!$Q21^2)/(9.81*MPM!$F21*(AN20^2))</f>
        <v>0.61162905001444867</v>
      </c>
      <c r="AQ20" s="36">
        <f>8.1*((AP20/MPM!$AE21)^(1/6))</f>
        <v>12.019154909564881</v>
      </c>
      <c r="AR20" s="43">
        <f t="shared" si="32"/>
        <v>2.0562570394663685E-6</v>
      </c>
      <c r="AS20" s="38">
        <f>(MPM!$Q21^2)/(9.81*MPM!$F21*(AQ20^2))</f>
        <v>0.61162907516777987</v>
      </c>
      <c r="AT20" s="36">
        <f>8.1*((AS20/MPM!$AE21)^(1/6))</f>
        <v>12.019154991946454</v>
      </c>
      <c r="AU20" s="43">
        <f t="shared" si="33"/>
        <v>6.8541901338392464E-7</v>
      </c>
      <c r="AV20" s="38">
        <f>(MPM!$Q21^2)/(9.81*MPM!$F21*(AT20^2))</f>
        <v>0.61162906678333595</v>
      </c>
      <c r="AW20" s="36">
        <f>8.1*((AV20/MPM!$AE21)^(1/6))</f>
        <v>12.019154964485931</v>
      </c>
      <c r="AX20" s="43">
        <f t="shared" si="34"/>
        <v>2.2847299020392519E-7</v>
      </c>
      <c r="AY20" s="38">
        <f>(MPM!$Q21^2)/(9.81*MPM!$F21*(AW20^2))</f>
        <v>0.61162906957815044</v>
      </c>
      <c r="AZ20" s="36">
        <f>8.1*((AY20/MPM!$AE21)^(1/6))</f>
        <v>12.019154973639438</v>
      </c>
      <c r="BA20" s="43">
        <f t="shared" si="35"/>
        <v>7.6157653490387102E-8</v>
      </c>
      <c r="BB20" s="38">
        <f>(MPM!$Q21^2)/(9.81*MPM!$F21*(AZ20^2))</f>
        <v>0.61162906864654576</v>
      </c>
      <c r="BC20" s="36">
        <f>8.1*((BB20/MPM!$AE21)^(1/6))</f>
        <v>12.01915497058827</v>
      </c>
      <c r="BD20" s="43">
        <f t="shared" si="36"/>
        <v>2.538587957677943E-8</v>
      </c>
      <c r="BE20" s="38">
        <f>(MPM!$Q21^2)/(9.81*MPM!$F21*(BC20^2))</f>
        <v>0.61162906895708058</v>
      </c>
      <c r="BF20" s="36">
        <f>8.1*((BE20/MPM!$AE21)^(1/6))</f>
        <v>12.019154971605325</v>
      </c>
      <c r="BG20" s="43">
        <f t="shared" si="37"/>
        <v>8.4619500052890248E-9</v>
      </c>
      <c r="BH20" s="38">
        <f>(MPM!$Q21^2)/(9.81*MPM!$F21*(BF20^2))</f>
        <v>0.61162906885356894</v>
      </c>
      <c r="BI20" s="36">
        <f>8.1*((BH20/MPM!$AE21)^(1/6))</f>
        <v>12.019154971266307</v>
      </c>
      <c r="BJ20" s="43">
        <f t="shared" si="38"/>
        <v>2.8206450753818657E-9</v>
      </c>
      <c r="BK20" s="38">
        <f>(MPM!$Q21^2)/(9.81*MPM!$F21*(BI20^2))</f>
        <v>0.61162906888807278</v>
      </c>
      <c r="BL20" s="36">
        <f>8.1*((BK20/MPM!$AE21)^(1/6))</f>
        <v>12.019154971379313</v>
      </c>
      <c r="BM20" s="43">
        <f t="shared" si="39"/>
        <v>9.4021995157915135E-10</v>
      </c>
      <c r="BN20" s="43">
        <f t="shared" si="40"/>
        <v>5.6413022175246148E-9</v>
      </c>
    </row>
    <row r="21" spans="1:66">
      <c r="A21" s="36">
        <f>MPM!B22</f>
        <v>17</v>
      </c>
      <c r="B21" s="41">
        <f>1/(MPM!AC22^0.5)</f>
        <v>11.701976071563614</v>
      </c>
      <c r="C21" s="38">
        <f>(MPM!$Q22^2)/(9.81*MPM!$F22*(Sheet1!B21^2))</f>
        <v>0.64823247293611297</v>
      </c>
      <c r="D21" s="36">
        <f>8.1*((C21/MPM!$AE22)^(1/6))</f>
        <v>12.136153077629912</v>
      </c>
      <c r="E21" s="41">
        <f t="shared" si="19"/>
        <v>3.5775505078837457</v>
      </c>
      <c r="F21" s="38">
        <f>(MPM!$Q22^2)/(9.81*MPM!$F22*(D21^2))</f>
        <v>0.6026804488424029</v>
      </c>
      <c r="G21" s="36">
        <f>8.1*((F21/MPM!$AE22)^(1/6))</f>
        <v>11.989666388466834</v>
      </c>
      <c r="H21" s="43">
        <f t="shared" si="20"/>
        <v>1.2217745216329567</v>
      </c>
      <c r="I21" s="38">
        <f>(MPM!$Q22^2)/(9.81*MPM!$F22*(G21^2))</f>
        <v>0.61749720528238405</v>
      </c>
      <c r="J21" s="36">
        <f>8.1*((I21/MPM!$AE22)^(1/6))</f>
        <v>12.038297764073228</v>
      </c>
      <c r="K21" s="43">
        <f t="shared" si="21"/>
        <v>0.4039721940715611</v>
      </c>
      <c r="L21" s="38">
        <f>(MPM!$Q22^2)/(9.81*MPM!$F22*(J21^2))</f>
        <v>0.61251824842045521</v>
      </c>
      <c r="M21" s="36">
        <f>8.1*((L21/MPM!$AE22)^(1/6))</f>
        <v>12.022065427834097</v>
      </c>
      <c r="N21" s="43">
        <f t="shared" si="22"/>
        <v>0.13502119362575835</v>
      </c>
      <c r="O21" s="38">
        <f>(MPM!$Q22^2)/(9.81*MPM!$F22*(M21^2))</f>
        <v>0.61417342398587627</v>
      </c>
      <c r="P21" s="36">
        <f>8.1*((O21/MPM!$AE22)^(1/6))</f>
        <v>12.02747377317286</v>
      </c>
      <c r="Q21" s="43">
        <f t="shared" si="23"/>
        <v>4.4966594321961859E-2</v>
      </c>
      <c r="R21" s="38">
        <f>(MPM!$Q22^2)/(9.81*MPM!$F22*(P21^2))</f>
        <v>0.61362120242741713</v>
      </c>
      <c r="S21" s="36">
        <f>8.1*((R21/MPM!$AE22)^(1/6))</f>
        <v>12.025670721109226</v>
      </c>
      <c r="T21" s="43">
        <f t="shared" si="24"/>
        <v>1.4993359667407885E-2</v>
      </c>
      <c r="U21" s="38">
        <f>(MPM!$Q22^2)/(9.81*MPM!$F22*(S21^2))</f>
        <v>0.61380522108942381</v>
      </c>
      <c r="V21" s="36">
        <f>8.1*((U21/MPM!$AE22)^(1/6))</f>
        <v>12.026271708428705</v>
      </c>
      <c r="W21" s="43">
        <f t="shared" si="25"/>
        <v>4.9972870566251859E-3</v>
      </c>
      <c r="X21" s="38">
        <f>(MPM!$Q22^2)/(9.81*MPM!$F22*(V21^2))</f>
        <v>0.61374387540453923</v>
      </c>
      <c r="Y21" s="36">
        <f>8.1*((X21/MPM!$AE22)^(1/6))</f>
        <v>12.026071375985113</v>
      </c>
      <c r="Z21" s="43">
        <f t="shared" si="26"/>
        <v>1.6658178496448354E-3</v>
      </c>
      <c r="AA21" s="38">
        <f>(MPM!$Q22^2)/(9.81*MPM!$F22*(Y21^2))</f>
        <v>0.61376432328490527</v>
      </c>
      <c r="AB21" s="36">
        <f>8.1*((AA21/MPM!$AE22)^(1/6))</f>
        <v>12.026138153095518</v>
      </c>
      <c r="AC21" s="43">
        <f t="shared" si="27"/>
        <v>5.5526645008336186E-4</v>
      </c>
      <c r="AD21" s="38">
        <f>(MPM!$Q22^2)/(9.81*MPM!$F22*(AB21^2))</f>
        <v>0.6137575072490894</v>
      </c>
      <c r="AE21" s="36">
        <f>8.1*((AD21/MPM!$AE22)^(1/6))</f>
        <v>12.026115894017517</v>
      </c>
      <c r="AF21" s="43">
        <f t="shared" si="28"/>
        <v>1.8508950185914971E-4</v>
      </c>
      <c r="AG21" s="38">
        <f>(MPM!$Q22^2)/(9.81*MPM!$F22*(AE21^2))</f>
        <v>0.6137597792526176</v>
      </c>
      <c r="AH21" s="36">
        <f>8.1*((AG21/MPM!$AE22)^(1/6))</f>
        <v>12.026123313705606</v>
      </c>
      <c r="AI21" s="43">
        <f t="shared" si="29"/>
        <v>6.1696424485858939E-5</v>
      </c>
      <c r="AJ21" s="38">
        <f>(MPM!$Q22^2)/(9.81*MPM!$F22*(AH21^2))</f>
        <v>0.6137590219171738</v>
      </c>
      <c r="AK21" s="36">
        <f>8.1*((AJ21/MPM!$AE22)^(1/6))</f>
        <v>12.026120840475734</v>
      </c>
      <c r="AL21" s="43">
        <f t="shared" si="30"/>
        <v>2.0565483287387486E-5</v>
      </c>
      <c r="AM21" s="38">
        <f>(MPM!$Q22^2)/(9.81*MPM!$F22*(AK21^2))</f>
        <v>0.61375927436221789</v>
      </c>
      <c r="AN21" s="36">
        <f>8.1*((AM21/MPM!$AE22)^(1/6))</f>
        <v>12.026121664885634</v>
      </c>
      <c r="AO21" s="43">
        <f t="shared" si="31"/>
        <v>6.8551601531973017E-6</v>
      </c>
      <c r="AP21" s="38">
        <f>(MPM!$Q22^2)/(9.81*MPM!$F22*(AN21^2))</f>
        <v>0.61375919021385827</v>
      </c>
      <c r="AQ21" s="36">
        <f>8.1*((AP21/MPM!$AE22)^(1/6))</f>
        <v>12.026121390082329</v>
      </c>
      <c r="AR21" s="43">
        <f t="shared" si="32"/>
        <v>2.2850534809262548E-6</v>
      </c>
      <c r="AS21" s="38">
        <f>(MPM!$Q22^2)/(9.81*MPM!$F22*(AQ21^2))</f>
        <v>0.61375921826331015</v>
      </c>
      <c r="AT21" s="36">
        <f>8.1*((AS21/MPM!$AE22)^(1/6))</f>
        <v>12.026121481683431</v>
      </c>
      <c r="AU21" s="43">
        <f t="shared" si="33"/>
        <v>7.6168448784045235E-7</v>
      </c>
      <c r="AV21" s="38">
        <f>(MPM!$Q22^2)/(9.81*MPM!$F22*(AT21^2))</f>
        <v>0.61375920891349256</v>
      </c>
      <c r="AW21" s="36">
        <f>8.1*((AV21/MPM!$AE22)^(1/6))</f>
        <v>12.026121451149729</v>
      </c>
      <c r="AX21" s="43">
        <f t="shared" si="34"/>
        <v>2.5389483977199047E-7</v>
      </c>
      <c r="AY21" s="38">
        <f>(MPM!$Q22^2)/(9.81*MPM!$F22*(AW21^2))</f>
        <v>0.61375921203009853</v>
      </c>
      <c r="AZ21" s="36">
        <f>8.1*((AY21/MPM!$AE22)^(1/6))</f>
        <v>12.026121461327628</v>
      </c>
      <c r="BA21" s="43">
        <f t="shared" si="35"/>
        <v>8.4631603338491256E-8</v>
      </c>
      <c r="BB21" s="38">
        <f>(MPM!$Q22^2)/(9.81*MPM!$F22*(AZ21^2))</f>
        <v>0.61375921099122999</v>
      </c>
      <c r="BC21" s="36">
        <f>8.1*((BB21/MPM!$AE22)^(1/6))</f>
        <v>12.026121457934996</v>
      </c>
      <c r="BD21" s="43">
        <f t="shared" si="36"/>
        <v>2.8210524606908283E-8</v>
      </c>
      <c r="BE21" s="38">
        <f>(MPM!$Q22^2)/(9.81*MPM!$F22*(BC21^2))</f>
        <v>0.61375921133751943</v>
      </c>
      <c r="BF21" s="36">
        <f>8.1*((BE21/MPM!$AE22)^(1/6))</f>
        <v>12.026121459065873</v>
      </c>
      <c r="BG21" s="43">
        <f t="shared" si="37"/>
        <v>9.4035032778115979E-9</v>
      </c>
      <c r="BH21" s="38">
        <f>(MPM!$Q22^2)/(9.81*MPM!$F22*(BF21^2))</f>
        <v>0.61375921122208976</v>
      </c>
      <c r="BI21" s="36">
        <f>8.1*((BH21/MPM!$AE22)^(1/6))</f>
        <v>12.026121458688916</v>
      </c>
      <c r="BJ21" s="43">
        <f t="shared" si="38"/>
        <v>3.134486321881403E-9</v>
      </c>
      <c r="BK21" s="38">
        <f>(MPM!$Q22^2)/(9.81*MPM!$F22*(BI21^2))</f>
        <v>0.6137592112605661</v>
      </c>
      <c r="BL21" s="36">
        <f>8.1*((BK21/MPM!$AE22)^(1/6))</f>
        <v>12.026121458814568</v>
      </c>
      <c r="BM21" s="43">
        <f t="shared" si="39"/>
        <v>1.044828773949551E-9</v>
      </c>
      <c r="BN21" s="43">
        <f t="shared" si="40"/>
        <v>6.268962245241886E-9</v>
      </c>
    </row>
    <row r="22" spans="1:66">
      <c r="A22" s="36">
        <f>MPM!B23</f>
        <v>18</v>
      </c>
      <c r="B22" s="41">
        <f>1/(MPM!AC23^0.5)</f>
        <v>12.41126671046837</v>
      </c>
      <c r="C22" s="38">
        <f>(MPM!$Q23^2)/(9.81*MPM!$F23*(Sheet1!B22^2))</f>
        <v>0.72124739606613031</v>
      </c>
      <c r="D22" s="36">
        <f>8.1*((C22/MPM!$AE23)^(1/6))</f>
        <v>12.353972348106282</v>
      </c>
      <c r="E22" s="41">
        <f t="shared" si="19"/>
        <v>0.4637727910316245</v>
      </c>
      <c r="F22" s="38">
        <f>(MPM!$Q23^2)/(9.81*MPM!$F23*(D22^2))</f>
        <v>0.72795280738825374</v>
      </c>
      <c r="G22" s="36">
        <f>8.1*((F22/MPM!$AE23)^(1/6))</f>
        <v>12.373041020765594</v>
      </c>
      <c r="H22" s="43">
        <f t="shared" si="20"/>
        <v>0.15411468067801024</v>
      </c>
      <c r="I22" s="38">
        <f>(MPM!$Q23^2)/(9.81*MPM!$F23*(G22^2))</f>
        <v>0.72571077208415258</v>
      </c>
      <c r="J22" s="36">
        <f>8.1*((I22/MPM!$AE23)^(1/6))</f>
        <v>12.366681528455675</v>
      </c>
      <c r="K22" s="43">
        <f t="shared" si="21"/>
        <v>5.1424404318051481E-2</v>
      </c>
      <c r="L22" s="38">
        <f>(MPM!$Q23^2)/(9.81*MPM!$F23*(J22^2))</f>
        <v>0.72645734887937508</v>
      </c>
      <c r="M22" s="36">
        <f>8.1*((L22/MPM!$AE23)^(1/6))</f>
        <v>12.36880099595931</v>
      </c>
      <c r="N22" s="43">
        <f t="shared" si="22"/>
        <v>1.71355938568892E-2</v>
      </c>
      <c r="O22" s="38">
        <f>(MPM!$Q23^2)/(9.81*MPM!$F23*(M22^2))</f>
        <v>0.72620840464854386</v>
      </c>
      <c r="P22" s="36">
        <f>8.1*((O22/MPM!$AE23)^(1/6))</f>
        <v>12.368094466433885</v>
      </c>
      <c r="Q22" s="43">
        <f t="shared" si="23"/>
        <v>5.7125172138913658E-3</v>
      </c>
      <c r="R22" s="38">
        <f>(MPM!$Q23^2)/(9.81*MPM!$F23*(P22^2))</f>
        <v>0.72629137657861753</v>
      </c>
      <c r="S22" s="36">
        <f>8.1*((R22/MPM!$AE23)^(1/6))</f>
        <v>12.368329971791322</v>
      </c>
      <c r="T22" s="43">
        <f t="shared" si="24"/>
        <v>1.9040998904038069E-3</v>
      </c>
      <c r="U22" s="38">
        <f>(MPM!$Q23^2)/(9.81*MPM!$F23*(S22^2))</f>
        <v>0.72626371821533053</v>
      </c>
      <c r="V22" s="36">
        <f>8.1*((U22/MPM!$AE23)^(1/6))</f>
        <v>12.368251469507253</v>
      </c>
      <c r="W22" s="43">
        <f t="shared" si="25"/>
        <v>6.3470802046954045E-4</v>
      </c>
      <c r="X22" s="38">
        <f>(MPM!$Q23^2)/(9.81*MPM!$F23*(V22^2))</f>
        <v>0.72627293755272704</v>
      </c>
      <c r="Y22" s="36">
        <f>8.1*((X22/MPM!$AE23)^(1/6))</f>
        <v>12.368277636879913</v>
      </c>
      <c r="Z22" s="43">
        <f t="shared" si="26"/>
        <v>2.1156844492063327E-4</v>
      </c>
      <c r="AA22" s="38">
        <f>(MPM!$Q23^2)/(9.81*MPM!$F23*(Y22^2))</f>
        <v>0.72626986442725827</v>
      </c>
      <c r="AB22" s="36">
        <f>8.1*((AA22/MPM!$AE23)^(1/6))</f>
        <v>12.368268914416209</v>
      </c>
      <c r="AC22" s="43">
        <f t="shared" si="27"/>
        <v>7.0522914439837084E-5</v>
      </c>
      <c r="AD22" s="38">
        <f>(MPM!$Q23^2)/(9.81*MPM!$F23*(AB22^2))</f>
        <v>0.72627088880096957</v>
      </c>
      <c r="AE22" s="36">
        <f>8.1*((AD22/MPM!$AE23)^(1/6))</f>
        <v>12.368271821903427</v>
      </c>
      <c r="AF22" s="43">
        <f t="shared" si="28"/>
        <v>2.3507627095862034E-5</v>
      </c>
      <c r="AG22" s="38">
        <f>(MPM!$Q23^2)/(9.81*MPM!$F23*(AE22^2))</f>
        <v>0.72627054734290508</v>
      </c>
      <c r="AH22" s="36">
        <f>8.1*((AG22/MPM!$AE23)^(1/6))</f>
        <v>12.368270852740945</v>
      </c>
      <c r="AI22" s="43">
        <f t="shared" si="29"/>
        <v>7.8358769254178132E-6</v>
      </c>
      <c r="AJ22" s="38">
        <f>(MPM!$Q23^2)/(9.81*MPM!$F23*(AH22^2))</f>
        <v>0.72627066116224204</v>
      </c>
      <c r="AK22" s="36">
        <f>8.1*((AJ22/MPM!$AE23)^(1/6))</f>
        <v>12.368271175795098</v>
      </c>
      <c r="AL22" s="43">
        <f t="shared" si="30"/>
        <v>2.6119588398923403E-6</v>
      </c>
      <c r="AM22" s="38">
        <f>(MPM!$Q23^2)/(9.81*MPM!$F23*(AK22^2))</f>
        <v>0.72627062322246116</v>
      </c>
      <c r="AN22" s="36">
        <f>8.1*((AM22/MPM!$AE23)^(1/6))</f>
        <v>12.36827106811038</v>
      </c>
      <c r="AO22" s="43">
        <f t="shared" si="31"/>
        <v>8.7065295899854852E-7</v>
      </c>
      <c r="AP22" s="38">
        <f>(MPM!$Q23^2)/(9.81*MPM!$F23*(AN22^2))</f>
        <v>0.7262706358690546</v>
      </c>
      <c r="AQ22" s="36">
        <f>8.1*((AP22/MPM!$AE23)^(1/6))</f>
        <v>12.368271104005284</v>
      </c>
      <c r="AR22" s="43">
        <f t="shared" si="32"/>
        <v>2.902176425824479E-7</v>
      </c>
      <c r="AS22" s="38">
        <f>(MPM!$Q23^2)/(9.81*MPM!$F23*(AQ22^2))</f>
        <v>0.72627063165352346</v>
      </c>
      <c r="AT22" s="36">
        <f>8.1*((AS22/MPM!$AE23)^(1/6))</f>
        <v>12.368271092040317</v>
      </c>
      <c r="AU22" s="43">
        <f t="shared" si="33"/>
        <v>9.6739209500331331E-8</v>
      </c>
      <c r="AV22" s="38">
        <f>(MPM!$Q23^2)/(9.81*MPM!$F23*(AT22^2))</f>
        <v>0.72627063305870043</v>
      </c>
      <c r="AW22" s="36">
        <f>8.1*((AV22/MPM!$AE23)^(1/6))</f>
        <v>12.368271096028641</v>
      </c>
      <c r="AX22" s="43">
        <f t="shared" si="34"/>
        <v>3.2246417518586949E-8</v>
      </c>
      <c r="AY22" s="38">
        <f>(MPM!$Q23^2)/(9.81*MPM!$F23*(AW22^2))</f>
        <v>0.72627063259030777</v>
      </c>
      <c r="AZ22" s="36">
        <f>8.1*((AY22/MPM!$AE23)^(1/6))</f>
        <v>12.368271094699196</v>
      </c>
      <c r="BA22" s="43">
        <f t="shared" si="35"/>
        <v>1.0748834565100659E-8</v>
      </c>
      <c r="BB22" s="38">
        <f>(MPM!$Q23^2)/(9.81*MPM!$F23*(AZ22^2))</f>
        <v>0.7262706327464391</v>
      </c>
      <c r="BC22" s="36">
        <f>8.1*((BB22/MPM!$AE23)^(1/6))</f>
        <v>12.368271095142346</v>
      </c>
      <c r="BD22" s="43">
        <f t="shared" si="36"/>
        <v>3.5829544297106121E-9</v>
      </c>
      <c r="BE22" s="38">
        <f>(MPM!$Q23^2)/(9.81*MPM!$F23*(BC22^2))</f>
        <v>0.72627063269439529</v>
      </c>
      <c r="BF22" s="36">
        <f>8.1*((BE22/MPM!$AE23)^(1/6))</f>
        <v>12.368271094994629</v>
      </c>
      <c r="BG22" s="43">
        <f t="shared" si="37"/>
        <v>1.1943181432511346E-9</v>
      </c>
      <c r="BH22" s="38">
        <f>(MPM!$Q23^2)/(9.81*MPM!$F23*(BF22^2))</f>
        <v>0.72627063271174319</v>
      </c>
      <c r="BI22" s="36">
        <f>8.1*((BH22/MPM!$AE23)^(1/6))</f>
        <v>12.368271095043868</v>
      </c>
      <c r="BJ22" s="43">
        <f t="shared" si="38"/>
        <v>3.9810604774879334E-10</v>
      </c>
      <c r="BK22" s="38">
        <f>(MPM!$Q23^2)/(9.81*MPM!$F23*(BI22^2))</f>
        <v>0.72627063270596059</v>
      </c>
      <c r="BL22" s="36">
        <f>8.1*((BK22/MPM!$AE23)^(1/6))</f>
        <v>12.368271095027454</v>
      </c>
      <c r="BM22" s="43">
        <f t="shared" si="39"/>
        <v>1.3270680331915768E-10</v>
      </c>
      <c r="BN22" s="43">
        <f t="shared" si="40"/>
        <v>7.9620410950875957E-10</v>
      </c>
    </row>
    <row r="23" spans="1:66">
      <c r="A23" s="36">
        <f>MPM!B24</f>
        <v>19</v>
      </c>
      <c r="B23" s="41">
        <f>1/(MPM!AC24^0.5)</f>
        <v>12.128736079234139</v>
      </c>
      <c r="C23" s="38">
        <f>(MPM!$Q24^2)/(9.81*MPM!$F24*(Sheet1!B23^2))</f>
        <v>0.73838665716907836</v>
      </c>
      <c r="D23" s="36">
        <f>8.1*((C23/MPM!$AE24)^(1/6))</f>
        <v>12.402423452613826</v>
      </c>
      <c r="E23" s="41">
        <f t="shared" si="19"/>
        <v>2.2067249552103223</v>
      </c>
      <c r="F23" s="38">
        <f>(MPM!$Q24^2)/(9.81*MPM!$F24*(D23^2))</f>
        <v>0.70615789926268369</v>
      </c>
      <c r="G23" s="36">
        <f>8.1*((F23/MPM!$AE24)^(1/6))</f>
        <v>12.310514919613583</v>
      </c>
      <c r="H23" s="43">
        <f t="shared" si="20"/>
        <v>0.74658561075955454</v>
      </c>
      <c r="I23" s="38">
        <f>(MPM!$Q24^2)/(9.81*MPM!$F24*(G23^2))</f>
        <v>0.71674140633334427</v>
      </c>
      <c r="J23" s="36">
        <f>8.1*((I23/MPM!$AE24)^(1/6))</f>
        <v>12.341075170178042</v>
      </c>
      <c r="K23" s="43">
        <f t="shared" si="21"/>
        <v>0.24763037371579705</v>
      </c>
      <c r="L23" s="38">
        <f>(MPM!$Q24^2)/(9.81*MPM!$F24*(J23^2))</f>
        <v>0.7131960626029713</v>
      </c>
      <c r="M23" s="36">
        <f>8.1*((L23/MPM!$AE24)^(1/6))</f>
        <v>12.330879999907133</v>
      </c>
      <c r="N23" s="43">
        <f t="shared" si="22"/>
        <v>8.2679989351826896E-2</v>
      </c>
      <c r="O23" s="38">
        <f>(MPM!$Q24^2)/(9.81*MPM!$F24*(M23^2))</f>
        <v>0.71437589099965448</v>
      </c>
      <c r="P23" s="36">
        <f>8.1*((O23/MPM!$AE24)^(1/6))</f>
        <v>12.334277453831222</v>
      </c>
      <c r="Q23" s="43">
        <f t="shared" si="23"/>
        <v>2.7544815144674526E-2</v>
      </c>
      <c r="R23" s="38">
        <f>(MPM!$Q24^2)/(9.81*MPM!$F24*(P23^2))</f>
        <v>0.71398239816332842</v>
      </c>
      <c r="S23" s="36">
        <f>8.1*((R23/MPM!$AE24)^(1/6))</f>
        <v>12.333144865193676</v>
      </c>
      <c r="T23" s="43">
        <f t="shared" si="24"/>
        <v>9.1832914469554047E-3</v>
      </c>
      <c r="U23" s="38">
        <f>(MPM!$Q24^2)/(9.81*MPM!$F24*(S23^2))</f>
        <v>0.71411353835355151</v>
      </c>
      <c r="V23" s="36">
        <f>8.1*((U23/MPM!$AE24)^(1/6))</f>
        <v>12.333522383183569</v>
      </c>
      <c r="W23" s="43">
        <f t="shared" si="25"/>
        <v>3.060909756062762E-3</v>
      </c>
      <c r="X23" s="38">
        <f>(MPM!$Q24^2)/(9.81*MPM!$F24*(V23^2))</f>
        <v>0.71406982228068694</v>
      </c>
      <c r="Y23" s="36">
        <f>8.1*((X23/MPM!$AE24)^(1/6))</f>
        <v>12.333396542569639</v>
      </c>
      <c r="Z23" s="43">
        <f t="shared" si="26"/>
        <v>1.0203240728937581E-3</v>
      </c>
      <c r="AA23" s="38">
        <f>(MPM!$Q24^2)/(9.81*MPM!$F24*(Y23^2))</f>
        <v>0.71408439400761381</v>
      </c>
      <c r="AB23" s="36">
        <f>8.1*((AA23/MPM!$AE24)^(1/6))</f>
        <v>12.333438489298285</v>
      </c>
      <c r="AC23" s="43">
        <f t="shared" si="27"/>
        <v>3.4010571084139914E-4</v>
      </c>
      <c r="AD23" s="38">
        <f>(MPM!$Q24^2)/(9.81*MPM!$F24*(AB23^2))</f>
        <v>0.71407953673226532</v>
      </c>
      <c r="AE23" s="36">
        <f>8.1*((AD23/MPM!$AE24)^(1/6))</f>
        <v>12.333424507039551</v>
      </c>
      <c r="AF23" s="43">
        <f t="shared" si="28"/>
        <v>1.1336882733555466E-4</v>
      </c>
      <c r="AG23" s="38">
        <f>(MPM!$Q24^2)/(9.81*MPM!$F24*(AE23^2))</f>
        <v>0.71408115582037723</v>
      </c>
      <c r="AH23" s="36">
        <f>8.1*((AG23/MPM!$AE24)^(1/6))</f>
        <v>12.333429167790701</v>
      </c>
      <c r="AI23" s="43">
        <f t="shared" si="29"/>
        <v>3.7789580553359503E-5</v>
      </c>
      <c r="AJ23" s="38">
        <f>(MPM!$Q24^2)/(9.81*MPM!$F24*(AH23^2))</f>
        <v>0.71408061612393203</v>
      </c>
      <c r="AK23" s="36">
        <f>8.1*((AJ23/MPM!$AE24)^(1/6))</f>
        <v>12.333427614206789</v>
      </c>
      <c r="AL23" s="43">
        <f t="shared" si="30"/>
        <v>1.2596530022151271E-5</v>
      </c>
      <c r="AM23" s="38">
        <f>(MPM!$Q24^2)/(9.81*MPM!$F24*(AK23^2))</f>
        <v>0.71408079602270169</v>
      </c>
      <c r="AN23" s="36">
        <f>8.1*((AM23/MPM!$AE24)^(1/6))</f>
        <v>12.333428132068072</v>
      </c>
      <c r="AO23" s="43">
        <f t="shared" si="31"/>
        <v>4.1988429915808606E-6</v>
      </c>
      <c r="AP23" s="38">
        <f>(MPM!$Q24^2)/(9.81*MPM!$F24*(AN23^2))</f>
        <v>0.71408073605643996</v>
      </c>
      <c r="AQ23" s="36">
        <f>8.1*((AP23/MPM!$AE24)^(1/6))</f>
        <v>12.333427959447642</v>
      </c>
      <c r="AR23" s="43">
        <f t="shared" si="32"/>
        <v>1.399614369319867E-6</v>
      </c>
      <c r="AS23" s="38">
        <f>(MPM!$Q24^2)/(9.81*MPM!$F24*(AQ23^2))</f>
        <v>0.71408075604519328</v>
      </c>
      <c r="AT23" s="36">
        <f>8.1*((AS23/MPM!$AE24)^(1/6))</f>
        <v>12.333428016987785</v>
      </c>
      <c r="AU23" s="43">
        <f t="shared" si="33"/>
        <v>4.6653812093004419E-7</v>
      </c>
      <c r="AV23" s="38">
        <f>(MPM!$Q24^2)/(9.81*MPM!$F24*(AT23^2))</f>
        <v>0.71408074938227539</v>
      </c>
      <c r="AW23" s="36">
        <f>8.1*((AV23/MPM!$AE24)^(1/6))</f>
        <v>12.333427997807735</v>
      </c>
      <c r="AX23" s="43">
        <f t="shared" si="34"/>
        <v>1.5551272162130618E-7</v>
      </c>
      <c r="AY23" s="38">
        <f>(MPM!$Q24^2)/(9.81*MPM!$F24*(AW23^2))</f>
        <v>0.71408075160324835</v>
      </c>
      <c r="AZ23" s="36">
        <f>8.1*((AY23/MPM!$AE24)^(1/6))</f>
        <v>12.333428004201087</v>
      </c>
      <c r="BA23" s="43">
        <f t="shared" si="35"/>
        <v>5.1837588249680112E-8</v>
      </c>
      <c r="BB23" s="38">
        <f>(MPM!$Q24^2)/(9.81*MPM!$F24*(AZ23^2))</f>
        <v>0.71408075086292389</v>
      </c>
      <c r="BC23" s="36">
        <f>8.1*((BB23/MPM!$AE24)^(1/6))</f>
        <v>12.333428002069969</v>
      </c>
      <c r="BD23" s="43">
        <f t="shared" si="36"/>
        <v>1.7279205688067572E-8</v>
      </c>
      <c r="BE23" s="38">
        <f>(MPM!$Q24^2)/(9.81*MPM!$F24*(BC23^2))</f>
        <v>0.71408075110969882</v>
      </c>
      <c r="BF23" s="36">
        <f>8.1*((BE23/MPM!$AE24)^(1/6))</f>
        <v>12.333428002780341</v>
      </c>
      <c r="BG23" s="43">
        <f t="shared" si="37"/>
        <v>5.7597304280965329E-9</v>
      </c>
      <c r="BH23" s="38">
        <f>(MPM!$Q24^2)/(9.81*MPM!$F24*(BF23^2))</f>
        <v>0.71408075102744051</v>
      </c>
      <c r="BI23" s="36">
        <f>8.1*((BH23/MPM!$AE24)^(1/6))</f>
        <v>12.333428002543551</v>
      </c>
      <c r="BJ23" s="43">
        <f t="shared" si="38"/>
        <v>1.9199053418081252E-9</v>
      </c>
      <c r="BK23" s="38">
        <f>(MPM!$Q24^2)/(9.81*MPM!$F24*(BI23^2))</f>
        <v>0.71408075105485991</v>
      </c>
      <c r="BL23" s="36">
        <f>8.1*((BK23/MPM!$AE24)^(1/6))</f>
        <v>12.333428002622481</v>
      </c>
      <c r="BM23" s="43">
        <f t="shared" si="39"/>
        <v>6.3997324819285884E-10</v>
      </c>
      <c r="BN23" s="43">
        <f t="shared" si="40"/>
        <v>3.8398178417871816E-9</v>
      </c>
    </row>
    <row r="24" spans="1:66">
      <c r="A24" s="36">
        <f>MPM!B25</f>
        <v>20</v>
      </c>
      <c r="B24" s="41">
        <f>1/(MPM!AC25^0.5)</f>
        <v>10.509098907594648</v>
      </c>
      <c r="C24" s="38">
        <f>(MPM!$Q25^2)/(9.81*MPM!$F25*(Sheet1!B24^2))</f>
        <v>0.55262031788398447</v>
      </c>
      <c r="D24" s="36">
        <f>8.1*((C24/MPM!$AE25)^(1/6))</f>
        <v>11.817630040184882</v>
      </c>
      <c r="E24" s="41">
        <f t="shared" si="19"/>
        <v>11.072703478960513</v>
      </c>
      <c r="F24" s="38">
        <f>(MPM!$Q25^2)/(9.81*MPM!$F25*(D24^2))</f>
        <v>0.43701568782987366</v>
      </c>
      <c r="G24" s="36">
        <f>8.1*((F24/MPM!$AE25)^(1/6))</f>
        <v>11.364284209188837</v>
      </c>
      <c r="H24" s="43">
        <f t="shared" si="20"/>
        <v>3.9892158859374822</v>
      </c>
      <c r="I24" s="38">
        <f>(MPM!$Q25^2)/(9.81*MPM!$F25*(G24^2))</f>
        <v>0.47257814623704469</v>
      </c>
      <c r="J24" s="36">
        <f>8.1*((I24/MPM!$AE25)^(1/6))</f>
        <v>11.513433431009229</v>
      </c>
      <c r="K24" s="43">
        <f t="shared" si="21"/>
        <v>1.2954365239016175</v>
      </c>
      <c r="L24" s="38">
        <f>(MPM!$Q25^2)/(9.81*MPM!$F25*(J24^2))</f>
        <v>0.4604135523914944</v>
      </c>
      <c r="M24" s="36">
        <f>8.1*((L24/MPM!$AE25)^(1/6))</f>
        <v>11.46350078373027</v>
      </c>
      <c r="N24" s="43">
        <f t="shared" si="22"/>
        <v>0.43557939429660963</v>
      </c>
      <c r="O24" s="38">
        <f>(MPM!$Q25^2)/(9.81*MPM!$F25*(M24^2))</f>
        <v>0.46443322091613409</v>
      </c>
      <c r="P24" s="36">
        <f>8.1*((O24/MPM!$AE25)^(1/6))</f>
        <v>11.480120891542162</v>
      </c>
      <c r="Q24" s="43">
        <f t="shared" si="23"/>
        <v>0.14477293374268421</v>
      </c>
      <c r="R24" s="38">
        <f>(MPM!$Q25^2)/(9.81*MPM!$F25*(P24^2))</f>
        <v>0.46308944713272748</v>
      </c>
      <c r="S24" s="36">
        <f>8.1*((R24/MPM!$AE25)^(1/6))</f>
        <v>11.474578179961661</v>
      </c>
      <c r="T24" s="43">
        <f t="shared" si="24"/>
        <v>4.8304273094593765E-2</v>
      </c>
      <c r="U24" s="38">
        <f>(MPM!$Q25^2)/(9.81*MPM!$F25*(S24^2))</f>
        <v>0.46353693916794819</v>
      </c>
      <c r="V24" s="36">
        <f>8.1*((U24/MPM!$AE25)^(1/6))</f>
        <v>11.476425453083129</v>
      </c>
      <c r="W24" s="43">
        <f t="shared" si="25"/>
        <v>1.6096241194787655E-2</v>
      </c>
      <c r="X24" s="38">
        <f>(MPM!$Q25^2)/(9.81*MPM!$F25*(V24^2))</f>
        <v>0.46338772713016874</v>
      </c>
      <c r="Y24" s="36">
        <f>8.1*((X24/MPM!$AE25)^(1/6))</f>
        <v>11.47580966233507</v>
      </c>
      <c r="Z24" s="43">
        <f t="shared" si="26"/>
        <v>5.3659895569716379E-3</v>
      </c>
      <c r="AA24" s="38">
        <f>(MPM!$Q25^2)/(9.81*MPM!$F25*(Y24^2))</f>
        <v>0.46343745913853229</v>
      </c>
      <c r="AB24" s="36">
        <f>8.1*((AA24/MPM!$AE25)^(1/6))</f>
        <v>11.476014922246392</v>
      </c>
      <c r="AC24" s="43">
        <f t="shared" si="27"/>
        <v>1.7885992020115994E-3</v>
      </c>
      <c r="AD24" s="38">
        <f>(MPM!$Q25^2)/(9.81*MPM!$F25*(AB24^2))</f>
        <v>0.46342088120939795</v>
      </c>
      <c r="AE24" s="36">
        <f>8.1*((AD24/MPM!$AE25)^(1/6))</f>
        <v>11.475946501868028</v>
      </c>
      <c r="AF24" s="43">
        <f t="shared" si="28"/>
        <v>5.9620684318035481E-4</v>
      </c>
      <c r="AG24" s="38">
        <f>(MPM!$Q25^2)/(9.81*MPM!$F25*(AE24^2))</f>
        <v>0.46342640711988387</v>
      </c>
      <c r="AH24" s="36">
        <f>8.1*((AG24/MPM!$AE25)^(1/6))</f>
        <v>11.475969308615491</v>
      </c>
      <c r="AI24" s="43">
        <f t="shared" si="29"/>
        <v>1.9873482448145156E-4</v>
      </c>
      <c r="AJ24" s="38">
        <f>(MPM!$Q25^2)/(9.81*MPM!$F25*(AH24^2))</f>
        <v>0.4634245651424006</v>
      </c>
      <c r="AK24" s="36">
        <f>8.1*((AJ24/MPM!$AE25)^(1/6))</f>
        <v>11.4759617063613</v>
      </c>
      <c r="AL24" s="43">
        <f t="shared" si="30"/>
        <v>6.6245029270902691E-5</v>
      </c>
      <c r="AM24" s="38">
        <f>(MPM!$Q25^2)/(9.81*MPM!$F25*(AK24^2))</f>
        <v>0.46342517913408166</v>
      </c>
      <c r="AN24" s="36">
        <f>8.1*((AM24/MPM!$AE25)^(1/6))</f>
        <v>11.475964240445471</v>
      </c>
      <c r="AO24" s="43">
        <f t="shared" si="31"/>
        <v>2.2081666671768088E-5</v>
      </c>
      <c r="AP24" s="38">
        <f>(MPM!$Q25^2)/(9.81*MPM!$F25*(AN24^2))</f>
        <v>0.46342497447009756</v>
      </c>
      <c r="AQ24" s="36">
        <f>8.1*((AP24/MPM!$AE25)^(1/6))</f>
        <v>11.475963395750687</v>
      </c>
      <c r="AR24" s="43">
        <f t="shared" si="32"/>
        <v>7.3605566201580115E-6</v>
      </c>
      <c r="AS24" s="38">
        <f>(MPM!$Q25^2)/(9.81*MPM!$F25*(AQ24^2))</f>
        <v>0.46342504269141543</v>
      </c>
      <c r="AT24" s="36">
        <f>8.1*((AS24/MPM!$AE25)^(1/6))</f>
        <v>11.475963677315606</v>
      </c>
      <c r="AU24" s="43">
        <f t="shared" si="33"/>
        <v>2.4535187357937886E-6</v>
      </c>
      <c r="AV24" s="38">
        <f>(MPM!$Q25^2)/(9.81*MPM!$F25*(AT24^2))</f>
        <v>0.46342501995097524</v>
      </c>
      <c r="AW24" s="36">
        <f>8.1*((AV24/MPM!$AE25)^(1/6))</f>
        <v>11.475963583460635</v>
      </c>
      <c r="AX24" s="43">
        <f t="shared" si="34"/>
        <v>8.1783957496725584E-7</v>
      </c>
      <c r="AY24" s="38">
        <f>(MPM!$Q25^2)/(9.81*MPM!$F25*(AW24^2))</f>
        <v>0.46342502753112158</v>
      </c>
      <c r="AZ24" s="36">
        <f>8.1*((AY24/MPM!$AE25)^(1/6))</f>
        <v>11.475963614745623</v>
      </c>
      <c r="BA24" s="43">
        <f t="shared" si="35"/>
        <v>2.7261317543363844E-7</v>
      </c>
      <c r="BB24" s="38">
        <f>(MPM!$Q25^2)/(9.81*MPM!$F25*(AZ24^2))</f>
        <v>0.46342502500440619</v>
      </c>
      <c r="BC24" s="36">
        <f>8.1*((BB24/MPM!$AE25)^(1/6))</f>
        <v>11.475963604317293</v>
      </c>
      <c r="BD24" s="43">
        <f t="shared" si="36"/>
        <v>9.0871063720099657E-8</v>
      </c>
      <c r="BE24" s="38">
        <f>(MPM!$Q25^2)/(9.81*MPM!$F25*(BC24^2))</f>
        <v>0.46342502584664486</v>
      </c>
      <c r="BF24" s="36">
        <f>8.1*((BE24/MPM!$AE25)^(1/6))</f>
        <v>11.475963607793403</v>
      </c>
      <c r="BG24" s="43">
        <f t="shared" si="37"/>
        <v>3.0290354564191496E-8</v>
      </c>
      <c r="BH24" s="38">
        <f>(MPM!$Q25^2)/(9.81*MPM!$F25*(BF24^2))</f>
        <v>0.46342502556589865</v>
      </c>
      <c r="BI24" s="36">
        <f>8.1*((BH24/MPM!$AE25)^(1/6))</f>
        <v>11.4759636066347</v>
      </c>
      <c r="BJ24" s="43">
        <f t="shared" si="38"/>
        <v>1.009678485574995E-8</v>
      </c>
      <c r="BK24" s="38">
        <f>(MPM!$Q25^2)/(9.81*MPM!$F25*(BI24^2))</f>
        <v>0.46342502565948068</v>
      </c>
      <c r="BL24" s="36">
        <f>8.1*((BK24/MPM!$AE25)^(1/6))</f>
        <v>11.475963607020935</v>
      </c>
      <c r="BM24" s="43">
        <f t="shared" si="39"/>
        <v>3.3656001114480639E-9</v>
      </c>
      <c r="BN24" s="43">
        <f t="shared" si="40"/>
        <v>2.0193564402377998E-8</v>
      </c>
    </row>
    <row r="25" spans="1:66">
      <c r="A25" s="36">
        <f>MPM!B26</f>
        <v>21</v>
      </c>
      <c r="B25" s="41">
        <f>1/(MPM!AC26^0.5)</f>
        <v>10.358217983233212</v>
      </c>
      <c r="C25" s="38">
        <f>(MPM!$Q26^2)/(9.81*MPM!$F26*(Sheet1!B25^2))</f>
        <v>0.72503924184559121</v>
      </c>
      <c r="D25" s="36">
        <f>8.1*((C25/MPM!$AE26)^(1/6))</f>
        <v>12.36477355890791</v>
      </c>
      <c r="E25" s="41">
        <f t="shared" si="19"/>
        <v>16.22800099100175</v>
      </c>
      <c r="F25" s="38">
        <f>(MPM!$Q26^2)/(9.81*MPM!$F26*(D25^2))</f>
        <v>0.50881425573998829</v>
      </c>
      <c r="G25" s="36">
        <f>8.1*((F25/MPM!$AE26)^(1/6))</f>
        <v>11.656078412084499</v>
      </c>
      <c r="H25" s="43">
        <f t="shared" si="20"/>
        <v>6.0800478666020936</v>
      </c>
      <c r="I25" s="38">
        <f>(MPM!$Q26^2)/(9.81*MPM!$F26*(G25^2))</f>
        <v>0.57256748908855137</v>
      </c>
      <c r="J25" s="36">
        <f>8.1*((I25/MPM!$AE26)^(1/6))</f>
        <v>11.887677902666267</v>
      </c>
      <c r="K25" s="43">
        <f t="shared" si="21"/>
        <v>1.9482315425943963</v>
      </c>
      <c r="L25" s="38">
        <f>(MPM!$Q26^2)/(9.81*MPM!$F26*(J25^2))</f>
        <v>0.55047493230634226</v>
      </c>
      <c r="M25" s="36">
        <f>8.1*((L25/MPM!$AE26)^(1/6))</f>
        <v>11.809971230858718</v>
      </c>
      <c r="N25" s="43">
        <f t="shared" si="22"/>
        <v>0.65797511516799057</v>
      </c>
      <c r="O25" s="38">
        <f>(MPM!$Q26^2)/(9.81*MPM!$F26*(M25^2))</f>
        <v>0.55774274022614312</v>
      </c>
      <c r="P25" s="36">
        <f>8.1*((O25/MPM!$AE26)^(1/6))</f>
        <v>11.835816851489914</v>
      </c>
      <c r="Q25" s="43">
        <f t="shared" si="23"/>
        <v>0.21836786556851004</v>
      </c>
      <c r="R25" s="38">
        <f>(MPM!$Q26^2)/(9.81*MPM!$F26*(P25^2))</f>
        <v>0.55530953796150084</v>
      </c>
      <c r="S25" s="36">
        <f>8.1*((R25/MPM!$AE26)^(1/6))</f>
        <v>11.827195366046334</v>
      </c>
      <c r="T25" s="43">
        <f t="shared" si="24"/>
        <v>7.2895434435207559E-2</v>
      </c>
      <c r="U25" s="38">
        <f>(MPM!$Q26^2)/(9.81*MPM!$F26*(S25^2))</f>
        <v>0.55611942363910782</v>
      </c>
      <c r="V25" s="36">
        <f>8.1*((U25/MPM!$AE26)^(1/6))</f>
        <v>11.830068496513597</v>
      </c>
      <c r="W25" s="43">
        <f t="shared" si="25"/>
        <v>2.4286676515099029E-2</v>
      </c>
      <c r="X25" s="38">
        <f>(MPM!$Q26^2)/(9.81*MPM!$F26*(V25^2))</f>
        <v>0.5558493305904898</v>
      </c>
      <c r="Y25" s="36">
        <f>8.1*((X25/MPM!$AE26)^(1/6))</f>
        <v>11.82911070881539</v>
      </c>
      <c r="Z25" s="43">
        <f t="shared" si="26"/>
        <v>8.0968698474770985E-3</v>
      </c>
      <c r="AA25" s="38">
        <f>(MPM!$Q26^2)/(9.81*MPM!$F26*(Y25^2))</f>
        <v>0.55593934702829118</v>
      </c>
      <c r="AB25" s="36">
        <f>8.1*((AA25/MPM!$AE26)^(1/6))</f>
        <v>11.829429962765088</v>
      </c>
      <c r="AC25" s="43">
        <f t="shared" si="27"/>
        <v>2.6988109376596767E-3</v>
      </c>
      <c r="AD25" s="38">
        <f>(MPM!$Q26^2)/(9.81*MPM!$F26*(AB25^2))</f>
        <v>0.55590933992940539</v>
      </c>
      <c r="AE25" s="36">
        <f>8.1*((AD25/MPM!$AE26)^(1/6))</f>
        <v>11.829323543824502</v>
      </c>
      <c r="AF25" s="43">
        <f t="shared" si="28"/>
        <v>8.9961983195138392E-4</v>
      </c>
      <c r="AG25" s="38">
        <f>(MPM!$Q26^2)/(9.81*MPM!$F26*(AE25^2))</f>
        <v>0.55591934211573535</v>
      </c>
      <c r="AH25" s="36">
        <f>8.1*((AG25/MPM!$AE26)^(1/6))</f>
        <v>11.829359016698325</v>
      </c>
      <c r="AI25" s="43">
        <f t="shared" si="29"/>
        <v>2.9987147885405418E-4</v>
      </c>
      <c r="AJ25" s="38">
        <f>(MPM!$Q26^2)/(9.81*MPM!$F26*(AH25^2))</f>
        <v>0.55591600803362951</v>
      </c>
      <c r="AK25" s="36">
        <f>8.1*((AJ25/MPM!$AE26)^(1/6))</f>
        <v>11.829347192395231</v>
      </c>
      <c r="AL25" s="43">
        <f t="shared" si="30"/>
        <v>9.9957359452510541E-5</v>
      </c>
      <c r="AM25" s="38">
        <f>(MPM!$Q26^2)/(9.81*MPM!$F26*(AK25^2))</f>
        <v>0.55591711939210964</v>
      </c>
      <c r="AN25" s="36">
        <f>8.1*((AM25/MPM!$AE26)^(1/6))</f>
        <v>11.829351133828283</v>
      </c>
      <c r="AO25" s="43">
        <f t="shared" si="31"/>
        <v>3.331909761866542E-5</v>
      </c>
      <c r="AP25" s="38">
        <f>(MPM!$Q26^2)/(9.81*MPM!$F26*(AN25^2))</f>
        <v>0.55591674893903609</v>
      </c>
      <c r="AQ25" s="36">
        <f>8.1*((AP25/MPM!$AE26)^(1/6))</f>
        <v>11.82934982001712</v>
      </c>
      <c r="AR25" s="43">
        <f t="shared" si="32"/>
        <v>1.1106368337757127E-5</v>
      </c>
      <c r="AS25" s="38">
        <f>(MPM!$Q26^2)/(9.81*MPM!$F26*(AQ25^2))</f>
        <v>0.55591687242336651</v>
      </c>
      <c r="AT25" s="36">
        <f>8.1*((AS25/MPM!$AE26)^(1/6))</f>
        <v>11.829350257954157</v>
      </c>
      <c r="AU25" s="43">
        <f t="shared" si="33"/>
        <v>3.702122502041061E-6</v>
      </c>
      <c r="AV25" s="38">
        <f>(MPM!$Q26^2)/(9.81*MPM!$F26*(AT25^2))</f>
        <v>0.55591683126192004</v>
      </c>
      <c r="AW25" s="36">
        <f>8.1*((AV25/MPM!$AE26)^(1/6))</f>
        <v>11.829350111975144</v>
      </c>
      <c r="AX25" s="43">
        <f t="shared" si="34"/>
        <v>1.234040859253269E-6</v>
      </c>
      <c r="AY25" s="38">
        <f>(MPM!$Q26^2)/(9.81*MPM!$F26*(AW25^2))</f>
        <v>0.55591684498240168</v>
      </c>
      <c r="AZ25" s="36">
        <f>8.1*((AY25/MPM!$AE26)^(1/6))</f>
        <v>11.829350160634815</v>
      </c>
      <c r="BA25" s="43">
        <f t="shared" si="35"/>
        <v>4.1134695639786684E-7</v>
      </c>
      <c r="BB25" s="38">
        <f>(MPM!$Q26^2)/(9.81*MPM!$F26*(AZ25^2))</f>
        <v>0.55591684040890776</v>
      </c>
      <c r="BC25" s="36">
        <f>8.1*((BB25/MPM!$AE26)^(1/6))</f>
        <v>11.829350144414922</v>
      </c>
      <c r="BD25" s="43">
        <f t="shared" si="36"/>
        <v>1.3711567234265722E-7</v>
      </c>
      <c r="BE25" s="38">
        <f>(MPM!$Q26^2)/(9.81*MPM!$F26*(BC25^2))</f>
        <v>0.55591684193340596</v>
      </c>
      <c r="BF25" s="36">
        <f>8.1*((BE25/MPM!$AE26)^(1/6))</f>
        <v>11.829350149821556</v>
      </c>
      <c r="BG25" s="43">
        <f t="shared" si="37"/>
        <v>4.5705244115357274E-8</v>
      </c>
      <c r="BH25" s="38">
        <f>(MPM!$Q26^2)/(9.81*MPM!$F26*(BF25^2))</f>
        <v>0.55591684142523967</v>
      </c>
      <c r="BI25" s="36">
        <f>8.1*((BH25/MPM!$AE26)^(1/6))</f>
        <v>11.829350148019344</v>
      </c>
      <c r="BJ25" s="43">
        <f t="shared" si="38"/>
        <v>1.5235086379613811E-8</v>
      </c>
      <c r="BK25" s="38">
        <f>(MPM!$Q26^2)/(9.81*MPM!$F26*(BI25^2))</f>
        <v>0.55591684159462851</v>
      </c>
      <c r="BL25" s="36">
        <f>8.1*((BK25/MPM!$AE26)^(1/6))</f>
        <v>11.82935014862008</v>
      </c>
      <c r="BM25" s="43">
        <f t="shared" si="39"/>
        <v>5.078347109759123E-9</v>
      </c>
      <c r="BN25" s="43">
        <f t="shared" si="40"/>
        <v>3.0470175324230296E-8</v>
      </c>
    </row>
    <row r="26" spans="1:66">
      <c r="A26" s="36">
        <f>MPM!B27</f>
        <v>22</v>
      </c>
      <c r="B26" s="41">
        <f>1/(MPM!AC27^0.5)</f>
        <v>10.556214300206586</v>
      </c>
      <c r="C26" s="38">
        <f>(MPM!$Q27^2)/(9.81*MPM!$F27*(Sheet1!B26^2))</f>
        <v>0.70619655635160983</v>
      </c>
      <c r="D26" s="36">
        <f>8.1*((C26/MPM!$AE27)^(1/6))</f>
        <v>12.310627235809916</v>
      </c>
      <c r="E26" s="41">
        <f t="shared" si="19"/>
        <v>14.251206717558508</v>
      </c>
      <c r="F26" s="38">
        <f>(MPM!$Q27^2)/(9.81*MPM!$F27*(D26^2))</f>
        <v>0.51925612683334899</v>
      </c>
      <c r="G26" s="36">
        <f>8.1*((F26/MPM!$AE27)^(1/6))</f>
        <v>11.695609341375494</v>
      </c>
      <c r="H26" s="43">
        <f t="shared" si="20"/>
        <v>5.2585365711444902</v>
      </c>
      <c r="I26" s="38">
        <f>(MPM!$Q27^2)/(9.81*MPM!$F27*(G26^2))</f>
        <v>0.57530253127200348</v>
      </c>
      <c r="J26" s="36">
        <f>8.1*((I26/MPM!$AE27)^(1/6))</f>
        <v>11.897123303446005</v>
      </c>
      <c r="K26" s="43">
        <f t="shared" si="21"/>
        <v>1.6938040981061537</v>
      </c>
      <c r="L26" s="38">
        <f>(MPM!$Q27^2)/(9.81*MPM!$F27*(J26^2))</f>
        <v>0.55597858827355962</v>
      </c>
      <c r="M26" s="36">
        <f>8.1*((L26/MPM!$AE27)^(1/6))</f>
        <v>11.829569123002974</v>
      </c>
      <c r="N26" s="43">
        <f t="shared" si="22"/>
        <v>0.57106205425241885</v>
      </c>
      <c r="O26" s="38">
        <f>(MPM!$Q27^2)/(9.81*MPM!$F27*(M26^2))</f>
        <v>0.56234668489005635</v>
      </c>
      <c r="P26" s="36">
        <f>8.1*((O26/MPM!$AE27)^(1/6))</f>
        <v>11.852044454591818</v>
      </c>
      <c r="Q26" s="43">
        <f t="shared" si="23"/>
        <v>0.18963252858991714</v>
      </c>
      <c r="R26" s="38">
        <f>(MPM!$Q27^2)/(9.81*MPM!$F27*(P26^2))</f>
        <v>0.5602159226406247</v>
      </c>
      <c r="S26" s="36">
        <f>8.1*((R26/MPM!$AE27)^(1/6))</f>
        <v>11.84454793678467</v>
      </c>
      <c r="T26" s="43">
        <f t="shared" si="24"/>
        <v>6.329087312709214E-2</v>
      </c>
      <c r="U26" s="38">
        <f>(MPM!$Q27^2)/(9.81*MPM!$F27*(S26^2))</f>
        <v>0.56092527814592885</v>
      </c>
      <c r="V26" s="36">
        <f>8.1*((U26/MPM!$AE27)^(1/6))</f>
        <v>11.847046249059941</v>
      </c>
      <c r="W26" s="43">
        <f t="shared" si="25"/>
        <v>2.1088060456164511E-2</v>
      </c>
      <c r="X26" s="38">
        <f>(MPM!$Q27^2)/(9.81*MPM!$F27*(V26^2))</f>
        <v>0.56068872656709035</v>
      </c>
      <c r="Y26" s="36">
        <f>8.1*((X26/MPM!$AE27)^(1/6))</f>
        <v>11.846213419756259</v>
      </c>
      <c r="Z26" s="43">
        <f t="shared" si="26"/>
        <v>7.0303418837079695E-3</v>
      </c>
      <c r="AA26" s="38">
        <f>(MPM!$Q27^2)/(9.81*MPM!$F27*(Y26^2))</f>
        <v>0.56076756600709621</v>
      </c>
      <c r="AB26" s="36">
        <f>8.1*((AA26/MPM!$AE27)^(1/6))</f>
        <v>11.846491023018768</v>
      </c>
      <c r="AC26" s="43">
        <f t="shared" si="27"/>
        <v>2.3433374656639779E-3</v>
      </c>
      <c r="AD26" s="38">
        <f>(MPM!$Q27^2)/(9.81*MPM!$F27*(AB26^2))</f>
        <v>0.56074128496208753</v>
      </c>
      <c r="AE26" s="36">
        <f>8.1*((AD26/MPM!$AE27)^(1/6))</f>
        <v>11.846398487875124</v>
      </c>
      <c r="AF26" s="43">
        <f t="shared" si="28"/>
        <v>7.8112469151119738E-4</v>
      </c>
      <c r="AG26" s="38">
        <f>(MPM!$Q27^2)/(9.81*MPM!$F27*(AE26^2))</f>
        <v>0.56075004517356619</v>
      </c>
      <c r="AH26" s="36">
        <f>8.1*((AG26/MPM!$AE27)^(1/6))</f>
        <v>11.846429332842693</v>
      </c>
      <c r="AI26" s="43">
        <f t="shared" si="29"/>
        <v>2.6037354127493475E-4</v>
      </c>
      <c r="AJ26" s="38">
        <f>(MPM!$Q27^2)/(9.81*MPM!$F27*(AH26^2))</f>
        <v>0.56074712508786706</v>
      </c>
      <c r="AK26" s="36">
        <f>8.1*((AJ26/MPM!$AE27)^(1/6))</f>
        <v>11.846419051177914</v>
      </c>
      <c r="AL26" s="43">
        <f t="shared" si="30"/>
        <v>8.6791331066504916E-5</v>
      </c>
      <c r="AM26" s="38">
        <f>(MPM!$Q27^2)/(9.81*MPM!$F27*(AK26^2))</f>
        <v>0.56074809844807716</v>
      </c>
      <c r="AN26" s="36">
        <f>8.1*((AM26/MPM!$AE27)^(1/6))</f>
        <v>11.846422478398516</v>
      </c>
      <c r="AO26" s="43">
        <f t="shared" si="31"/>
        <v>2.8930426951991034E-5</v>
      </c>
      <c r="AP26" s="38">
        <f>(MPM!$Q27^2)/(9.81*MPM!$F27*(AN26^2))</f>
        <v>0.56074777399448594</v>
      </c>
      <c r="AQ26" s="36">
        <f>8.1*((AP26/MPM!$AE27)^(1/6))</f>
        <v>11.846421335991536</v>
      </c>
      <c r="AR26" s="43">
        <f t="shared" si="32"/>
        <v>9.6434775303059124E-6</v>
      </c>
      <c r="AS26" s="38">
        <f>(MPM!$Q27^2)/(9.81*MPM!$F27*(AQ26^2))</f>
        <v>0.5607478821456624</v>
      </c>
      <c r="AT26" s="36">
        <f>8.1*((AS26/MPM!$AE27)^(1/6))</f>
        <v>11.846421716793852</v>
      </c>
      <c r="AU26" s="43">
        <f t="shared" si="33"/>
        <v>3.2144923168030702E-6</v>
      </c>
      <c r="AV26" s="38">
        <f>(MPM!$Q27^2)/(9.81*MPM!$F27*(AT26^2))</f>
        <v>0.56074784609526784</v>
      </c>
      <c r="AW26" s="36">
        <f>8.1*((AV26/MPM!$AE27)^(1/6))</f>
        <v>11.846421589859746</v>
      </c>
      <c r="AX26" s="43">
        <f t="shared" si="34"/>
        <v>1.0714974554137182E-6</v>
      </c>
      <c r="AY26" s="38">
        <f>(MPM!$Q27^2)/(9.81*MPM!$F27*(AW26^2))</f>
        <v>0.56074785811206562</v>
      </c>
      <c r="AZ26" s="36">
        <f>8.1*((AY26/MPM!$AE27)^(1/6))</f>
        <v>11.846421632171113</v>
      </c>
      <c r="BA26" s="43">
        <f t="shared" si="35"/>
        <v>3.5716580220068416E-7</v>
      </c>
      <c r="BB26" s="38">
        <f>(MPM!$Q27^2)/(9.81*MPM!$F27*(AZ26^2))</f>
        <v>0.56074785410646655</v>
      </c>
      <c r="BC26" s="36">
        <f>8.1*((BB26/MPM!$AE27)^(1/6))</f>
        <v>11.846421618067325</v>
      </c>
      <c r="BD26" s="43">
        <f t="shared" si="36"/>
        <v>1.1905526254367591E-7</v>
      </c>
      <c r="BE26" s="38">
        <f>(MPM!$Q27^2)/(9.81*MPM!$F27*(BC26^2))</f>
        <v>0.56074785544166617</v>
      </c>
      <c r="BF26" s="36">
        <f>8.1*((BE26/MPM!$AE27)^(1/6))</f>
        <v>11.846421622768588</v>
      </c>
      <c r="BG26" s="43">
        <f t="shared" si="37"/>
        <v>3.9685092497103279E-8</v>
      </c>
      <c r="BH26" s="38">
        <f>(MPM!$Q27^2)/(9.81*MPM!$F27*(BF26^2))</f>
        <v>0.56074785499659952</v>
      </c>
      <c r="BI26" s="36">
        <f>8.1*((BH26/MPM!$AE27)^(1/6))</f>
        <v>11.846421621201499</v>
      </c>
      <c r="BJ26" s="43">
        <f t="shared" si="38"/>
        <v>1.3228379162332113E-8</v>
      </c>
      <c r="BK26" s="38">
        <f>(MPM!$Q27^2)/(9.81*MPM!$F27*(BI26^2))</f>
        <v>0.56074785514495529</v>
      </c>
      <c r="BL26" s="36">
        <f>8.1*((BK26/MPM!$AE27)^(1/6))</f>
        <v>11.846421621723863</v>
      </c>
      <c r="BM26" s="43">
        <f t="shared" si="39"/>
        <v>4.4094697171703521E-9</v>
      </c>
      <c r="BN26" s="43">
        <f t="shared" si="40"/>
        <v>2.6456770320277963E-8</v>
      </c>
    </row>
    <row r="27" spans="1:66">
      <c r="A27" s="36">
        <f>MPM!B28</f>
        <v>23</v>
      </c>
      <c r="B27" s="41">
        <f>1/(MPM!AC28^0.5)</f>
        <v>11.314095871188325</v>
      </c>
      <c r="C27" s="38">
        <f>(MPM!$Q28^2)/(9.81*MPM!$F28*(Sheet1!B27^2))</f>
        <v>0.76160910564814022</v>
      </c>
      <c r="D27" s="36">
        <f>8.1*((C27/MPM!$AE28)^(1/6))</f>
        <v>12.466597458546589</v>
      </c>
      <c r="E27" s="41">
        <f t="shared" si="19"/>
        <v>9.2447164608508015</v>
      </c>
      <c r="F27" s="38">
        <f>(MPM!$Q28^2)/(9.81*MPM!$F28*(D27^2))</f>
        <v>0.62730097658572614</v>
      </c>
      <c r="G27" s="36">
        <f>8.1*((F27/MPM!$AE28)^(1/6))</f>
        <v>12.069943648525477</v>
      </c>
      <c r="H27" s="43">
        <f t="shared" si="20"/>
        <v>3.2862938019563104</v>
      </c>
      <c r="I27" s="38">
        <f>(MPM!$Q28^2)/(9.81*MPM!$F28*(G27^2))</f>
        <v>0.66920835073845597</v>
      </c>
      <c r="J27" s="36">
        <f>8.1*((I27/MPM!$AE28)^(1/6))</f>
        <v>12.20073910578453</v>
      </c>
      <c r="K27" s="43">
        <f t="shared" si="21"/>
        <v>1.0720289658274964</v>
      </c>
      <c r="L27" s="38">
        <f>(MPM!$Q28^2)/(9.81*MPM!$F28*(J27^2))</f>
        <v>0.65493704452410695</v>
      </c>
      <c r="M27" s="36">
        <f>8.1*((L27/MPM!$AE28)^(1/6))</f>
        <v>12.156983889337958</v>
      </c>
      <c r="N27" s="43">
        <f t="shared" si="22"/>
        <v>0.3599183551188746</v>
      </c>
      <c r="O27" s="38">
        <f>(MPM!$Q28^2)/(9.81*MPM!$F28*(M27^2))</f>
        <v>0.65966000593406882</v>
      </c>
      <c r="P27" s="36">
        <f>8.1*((O27/MPM!$AE28)^(1/6))</f>
        <v>12.171551498274127</v>
      </c>
      <c r="Q27" s="43">
        <f t="shared" si="23"/>
        <v>0.11968571909862288</v>
      </c>
      <c r="R27" s="38">
        <f>(MPM!$Q28^2)/(9.81*MPM!$F28*(P27^2))</f>
        <v>0.65808191323193144</v>
      </c>
      <c r="S27" s="36">
        <f>8.1*((R27/MPM!$AE28)^(1/6))</f>
        <v>12.166693690078747</v>
      </c>
      <c r="T27" s="43">
        <f t="shared" si="24"/>
        <v>3.9927101964780748E-2</v>
      </c>
      <c r="U27" s="38">
        <f>(MPM!$Q28^2)/(9.81*MPM!$F28*(S27^2))</f>
        <v>0.6586075242146201</v>
      </c>
      <c r="V27" s="36">
        <f>8.1*((U27/MPM!$AE28)^(1/6))</f>
        <v>12.168312744015884</v>
      </c>
      <c r="W27" s="43">
        <f t="shared" si="25"/>
        <v>1.330549248032316E-2</v>
      </c>
      <c r="X27" s="38">
        <f>(MPM!$Q28^2)/(9.81*MPM!$F28*(V27^2))</f>
        <v>0.65843227392513448</v>
      </c>
      <c r="Y27" s="36">
        <f>8.1*((X27/MPM!$AE28)^(1/6))</f>
        <v>12.167773035432502</v>
      </c>
      <c r="Z27" s="43">
        <f t="shared" si="26"/>
        <v>4.4355576144493158E-3</v>
      </c>
      <c r="AA27" s="38">
        <f>(MPM!$Q28^2)/(9.81*MPM!$F28*(Y27^2))</f>
        <v>0.65849068550626944</v>
      </c>
      <c r="AB27" s="36">
        <f>8.1*((AA27/MPM!$AE28)^(1/6))</f>
        <v>12.167952935633798</v>
      </c>
      <c r="AC27" s="43">
        <f t="shared" si="27"/>
        <v>1.4784754859549342E-3</v>
      </c>
      <c r="AD27" s="38">
        <f>(MPM!$Q28^2)/(9.81*MPM!$F28*(AB27^2))</f>
        <v>0.65847121440348333</v>
      </c>
      <c r="AE27" s="36">
        <f>8.1*((AD27/MPM!$AE28)^(1/6))</f>
        <v>12.167892968604498</v>
      </c>
      <c r="AF27" s="43">
        <f t="shared" si="28"/>
        <v>4.9283001957925942E-4</v>
      </c>
      <c r="AG27" s="38">
        <f>(MPM!$Q28^2)/(9.81*MPM!$F28*(AE27^2))</f>
        <v>0.6584777047071062</v>
      </c>
      <c r="AH27" s="36">
        <f>8.1*((AG27/MPM!$AE28)^(1/6))</f>
        <v>12.167912957581429</v>
      </c>
      <c r="AI27" s="43">
        <f t="shared" si="29"/>
        <v>1.6427613346879102E-4</v>
      </c>
      <c r="AJ27" s="38">
        <f>(MPM!$Q28^2)/(9.81*MPM!$F28*(AH27^2))</f>
        <v>0.65847554126545704</v>
      </c>
      <c r="AK27" s="36">
        <f>8.1*((AJ27/MPM!$AE28)^(1/6))</f>
        <v>12.167906294585469</v>
      </c>
      <c r="AL27" s="43">
        <f t="shared" si="30"/>
        <v>5.4758771132068898E-5</v>
      </c>
      <c r="AM27" s="38">
        <f>(MPM!$Q28^2)/(9.81*MPM!$F28*(AK27^2))</f>
        <v>0.65847626241188362</v>
      </c>
      <c r="AN27" s="36">
        <f>8.1*((AM27/MPM!$AE28)^(1/6))</f>
        <v>12.167908515583717</v>
      </c>
      <c r="AO27" s="43">
        <f t="shared" si="31"/>
        <v>1.8252917045628065E-5</v>
      </c>
      <c r="AP27" s="38">
        <f>(MPM!$Q28^2)/(9.81*MPM!$F28*(AN27^2))</f>
        <v>0.65847602202965372</v>
      </c>
      <c r="AQ27" s="36">
        <f>8.1*((AP27/MPM!$AE28)^(1/6))</f>
        <v>12.167907775250923</v>
      </c>
      <c r="AR27" s="43">
        <f t="shared" si="32"/>
        <v>6.0843064218976574E-6</v>
      </c>
      <c r="AS27" s="38">
        <f>(MPM!$Q28^2)/(9.81*MPM!$F28*(AQ27^2))</f>
        <v>0.65847610215705388</v>
      </c>
      <c r="AT27" s="36">
        <f>8.1*((AS27/MPM!$AE28)^(1/6))</f>
        <v>12.167908022028517</v>
      </c>
      <c r="AU27" s="43">
        <f t="shared" si="33"/>
        <v>2.0281020654369291E-6</v>
      </c>
      <c r="AV27" s="38">
        <f>(MPM!$Q28^2)/(9.81*MPM!$F28*(AT27^2))</f>
        <v>0.65847607544791931</v>
      </c>
      <c r="AW27" s="36">
        <f>8.1*((AV27/MPM!$AE28)^(1/6))</f>
        <v>12.167907939769316</v>
      </c>
      <c r="AX27" s="43">
        <f t="shared" si="34"/>
        <v>6.7603404584746822E-7</v>
      </c>
      <c r="AY27" s="38">
        <f>(MPM!$Q28^2)/(9.81*MPM!$F28*(AW27^2))</f>
        <v>0.65847608435096427</v>
      </c>
      <c r="AZ27" s="36">
        <f>8.1*((AY27/MPM!$AE28)^(1/6))</f>
        <v>12.167907967189052</v>
      </c>
      <c r="BA27" s="43">
        <f t="shared" si="35"/>
        <v>2.2534470090629215E-7</v>
      </c>
      <c r="BB27" s="38">
        <f>(MPM!$Q28^2)/(9.81*MPM!$F28*(AZ27^2))</f>
        <v>0.65847608138328229</v>
      </c>
      <c r="BC27" s="36">
        <f>8.1*((BB27/MPM!$AE28)^(1/6))</f>
        <v>12.167907958049138</v>
      </c>
      <c r="BD27" s="43">
        <f t="shared" si="36"/>
        <v>7.5114914957223662E-8</v>
      </c>
      <c r="BE27" s="38">
        <f>(MPM!$Q28^2)/(9.81*MPM!$F28*(BC27^2))</f>
        <v>0.65847608237250987</v>
      </c>
      <c r="BF27" s="36">
        <f>8.1*((BE27/MPM!$AE28)^(1/6))</f>
        <v>12.167907961095777</v>
      </c>
      <c r="BG27" s="43">
        <f t="shared" si="37"/>
        <v>2.5038309845706644E-8</v>
      </c>
      <c r="BH27" s="38">
        <f>(MPM!$Q28^2)/(9.81*MPM!$F28*(BF27^2))</f>
        <v>0.65847608204276742</v>
      </c>
      <c r="BI27" s="36">
        <f>8.1*((BH27/MPM!$AE28)^(1/6))</f>
        <v>12.16790796008023</v>
      </c>
      <c r="BJ27" s="43">
        <f t="shared" si="38"/>
        <v>8.3461081488333838E-9</v>
      </c>
      <c r="BK27" s="38">
        <f>(MPM!$Q28^2)/(9.81*MPM!$F28*(BI27^2))</f>
        <v>0.65847608215268161</v>
      </c>
      <c r="BL27" s="36">
        <f>8.1*((BK27/MPM!$AE28)^(1/6))</f>
        <v>12.167907960418747</v>
      </c>
      <c r="BM27" s="43">
        <f t="shared" si="39"/>
        <v>2.7820457820029171E-9</v>
      </c>
      <c r="BN27" s="43">
        <f t="shared" si="40"/>
        <v>1.6692206724093488E-8</v>
      </c>
    </row>
    <row r="28" spans="1:66">
      <c r="A28" s="36">
        <f>MPM!B29</f>
        <v>24</v>
      </c>
      <c r="B28" s="41">
        <f>1/(MPM!AC29^0.5)</f>
        <v>11.456241240756878</v>
      </c>
      <c r="C28" s="38">
        <f>(MPM!$Q29^2)/(9.81*MPM!$F29*(Sheet1!B28^2))</f>
        <v>0.75270720982194794</v>
      </c>
      <c r="D28" s="36">
        <f>8.1*((C28/MPM!$AE29)^(1/6))</f>
        <v>12.442192832587574</v>
      </c>
      <c r="E28" s="41">
        <f t="shared" si="19"/>
        <v>7.9242590522176499</v>
      </c>
      <c r="F28" s="38">
        <f>(MPM!$Q29^2)/(9.81*MPM!$F29*(D28^2))</f>
        <v>0.63814081213570828</v>
      </c>
      <c r="G28" s="36">
        <f>8.1*((F28/MPM!$AE29)^(1/6))</f>
        <v>12.10445765101117</v>
      </c>
      <c r="H28" s="43">
        <f t="shared" si="20"/>
        <v>2.7901719458549277</v>
      </c>
      <c r="I28" s="38">
        <f>(MPM!$Q29^2)/(9.81*MPM!$F29*(G28^2))</f>
        <v>0.67424806038461471</v>
      </c>
      <c r="J28" s="36">
        <f>8.1*((I28/MPM!$AE29)^(1/6))</f>
        <v>12.216004935604539</v>
      </c>
      <c r="K28" s="43">
        <f t="shared" si="21"/>
        <v>0.9131240956546729</v>
      </c>
      <c r="L28" s="38">
        <f>(MPM!$Q29^2)/(9.81*MPM!$F29*(J28^2))</f>
        <v>0.66199083588445651</v>
      </c>
      <c r="M28" s="36">
        <f>8.1*((L28/MPM!$AE29)^(1/6))</f>
        <v>12.178708755863266</v>
      </c>
      <c r="N28" s="43">
        <f t="shared" si="22"/>
        <v>0.30624083791574497</v>
      </c>
      <c r="O28" s="38">
        <f>(MPM!$Q29^2)/(9.81*MPM!$F29*(M28^2))</f>
        <v>0.66605161682843161</v>
      </c>
      <c r="P28" s="36">
        <f>8.1*((O28/MPM!$AE29)^(1/6))</f>
        <v>12.191128146642697</v>
      </c>
      <c r="Q28" s="43">
        <f t="shared" si="23"/>
        <v>0.10187236677396097</v>
      </c>
      <c r="R28" s="38">
        <f>(MPM!$Q29^2)/(9.81*MPM!$F29*(P28^2))</f>
        <v>0.66469526296340964</v>
      </c>
      <c r="S28" s="36">
        <f>8.1*((R28/MPM!$AE29)^(1/6))</f>
        <v>12.186986943150369</v>
      </c>
      <c r="T28" s="43">
        <f t="shared" si="24"/>
        <v>3.3980536055756967E-2</v>
      </c>
      <c r="U28" s="38">
        <f>(MPM!$Q29^2)/(9.81*MPM!$F29*(S28^2))</f>
        <v>0.66514707374121584</v>
      </c>
      <c r="V28" s="36">
        <f>8.1*((U28/MPM!$AE29)^(1/6))</f>
        <v>12.188367187988085</v>
      </c>
      <c r="W28" s="43">
        <f t="shared" si="25"/>
        <v>1.1324280081386594E-2</v>
      </c>
      <c r="X28" s="38">
        <f>(MPM!$Q29^2)/(9.81*MPM!$F29*(V28^2))</f>
        <v>0.66499643603584957</v>
      </c>
      <c r="Y28" s="36">
        <f>8.1*((X28/MPM!$AE29)^(1/6))</f>
        <v>12.187907089007442</v>
      </c>
      <c r="Z28" s="43">
        <f t="shared" si="26"/>
        <v>3.7750450285075773E-3</v>
      </c>
      <c r="AA28" s="38">
        <f>(MPM!$Q29^2)/(9.81*MPM!$F29*(Y28^2))</f>
        <v>0.66504664481333031</v>
      </c>
      <c r="AB28" s="36">
        <f>8.1*((AA28/MPM!$AE29)^(1/6))</f>
        <v>12.18806045340448</v>
      </c>
      <c r="AC28" s="43">
        <f t="shared" si="27"/>
        <v>1.2583166749481301E-3</v>
      </c>
      <c r="AD28" s="38">
        <f>(MPM!$Q29^2)/(9.81*MPM!$F29*(AB28^2))</f>
        <v>0.66502990813297536</v>
      </c>
      <c r="AE28" s="36">
        <f>8.1*((AD28/MPM!$AE29)^(1/6))</f>
        <v>12.188009331724377</v>
      </c>
      <c r="AF28" s="43">
        <f t="shared" si="28"/>
        <v>4.1944241025713969E-4</v>
      </c>
      <c r="AG28" s="38">
        <f>(MPM!$Q29^2)/(9.81*MPM!$F29*(AE28^2))</f>
        <v>0.66503548697962667</v>
      </c>
      <c r="AH28" s="36">
        <f>8.1*((AG28/MPM!$AE29)^(1/6))</f>
        <v>12.188026372260587</v>
      </c>
      <c r="AI28" s="43">
        <f t="shared" si="29"/>
        <v>1.3981374580323885E-4</v>
      </c>
      <c r="AJ28" s="38">
        <f>(MPM!$Q29^2)/(9.81*MPM!$F29*(AH28^2))</f>
        <v>0.66503362735887606</v>
      </c>
      <c r="AK28" s="36">
        <f>8.1*((AJ28/MPM!$AE29)^(1/6))</f>
        <v>12.188020692079203</v>
      </c>
      <c r="AL28" s="43">
        <f t="shared" si="30"/>
        <v>4.6604625380193441E-5</v>
      </c>
      <c r="AM28" s="38">
        <f>(MPM!$Q29^2)/(9.81*MPM!$F29*(AK28^2))</f>
        <v>0.66503424723188187</v>
      </c>
      <c r="AN28" s="36">
        <f>8.1*((AM28/MPM!$AE29)^(1/6))</f>
        <v>12.188022585472703</v>
      </c>
      <c r="AO28" s="43">
        <f t="shared" si="31"/>
        <v>1.5534870298881278E-5</v>
      </c>
      <c r="AP28" s="38">
        <f>(MPM!$Q29^2)/(9.81*MPM!$F29*(AN28^2))</f>
        <v>0.6650340406074825</v>
      </c>
      <c r="AQ28" s="36">
        <f>8.1*((AP28/MPM!$AE29)^(1/6))</f>
        <v>12.188021954341504</v>
      </c>
      <c r="AR28" s="43">
        <f t="shared" si="32"/>
        <v>5.1782906301170101E-6</v>
      </c>
      <c r="AS28" s="38">
        <f>(MPM!$Q29^2)/(9.81*MPM!$F29*(AQ28^2))</f>
        <v>0.66503410948227504</v>
      </c>
      <c r="AT28" s="36">
        <f>8.1*((AS28/MPM!$AE29)^(1/6))</f>
        <v>12.188022164718566</v>
      </c>
      <c r="AU28" s="43">
        <f t="shared" si="33"/>
        <v>1.7260968080459371E-6</v>
      </c>
      <c r="AV28" s="38">
        <f>(MPM!$Q29^2)/(9.81*MPM!$F29*(AT28^2))</f>
        <v>0.66503408652401019</v>
      </c>
      <c r="AW28" s="36">
        <f>8.1*((AV28/MPM!$AE29)^(1/6))</f>
        <v>12.188022094592879</v>
      </c>
      <c r="AX28" s="43">
        <f t="shared" si="34"/>
        <v>5.7536560113423098E-7</v>
      </c>
      <c r="AY28" s="38">
        <f>(MPM!$Q29^2)/(9.81*MPM!$F29*(AW28^2))</f>
        <v>0.66503409417676496</v>
      </c>
      <c r="AZ28" s="36">
        <f>8.1*((AY28/MPM!$AE29)^(1/6))</f>
        <v>12.188022117968107</v>
      </c>
      <c r="BA28" s="43">
        <f t="shared" si="35"/>
        <v>1.9178851876897073E-7</v>
      </c>
      <c r="BB28" s="38">
        <f>(MPM!$Q29^2)/(9.81*MPM!$F29*(AZ28^2))</f>
        <v>0.66503409162584692</v>
      </c>
      <c r="BC28" s="36">
        <f>8.1*((BB28/MPM!$AE29)^(1/6))</f>
        <v>12.188022110176366</v>
      </c>
      <c r="BD28" s="43">
        <f t="shared" si="36"/>
        <v>6.3929491722582152E-8</v>
      </c>
      <c r="BE28" s="38">
        <f>(MPM!$Q29^2)/(9.81*MPM!$F29*(BC28^2))</f>
        <v>0.66503409247615275</v>
      </c>
      <c r="BF28" s="36">
        <f>8.1*((BE28/MPM!$AE29)^(1/6))</f>
        <v>12.188022112773613</v>
      </c>
      <c r="BG28" s="43">
        <f t="shared" si="37"/>
        <v>2.1309830569652963E-8</v>
      </c>
      <c r="BH28" s="38">
        <f>(MPM!$Q29^2)/(9.81*MPM!$F29*(BF28^2))</f>
        <v>0.66503409219271736</v>
      </c>
      <c r="BI28" s="36">
        <f>8.1*((BH28/MPM!$AE29)^(1/6))</f>
        <v>12.188022111907863</v>
      </c>
      <c r="BJ28" s="43">
        <f t="shared" si="38"/>
        <v>7.1032865734630404E-9</v>
      </c>
      <c r="BK28" s="38">
        <f>(MPM!$Q29^2)/(9.81*MPM!$F29*(BI28^2))</f>
        <v>0.6650340922871959</v>
      </c>
      <c r="BL28" s="36">
        <f>8.1*((BK28/MPM!$AE29)^(1/6))</f>
        <v>12.188022112196446</v>
      </c>
      <c r="BM28" s="43">
        <f t="shared" si="39"/>
        <v>2.3677621910982838E-9</v>
      </c>
      <c r="BN28" s="43">
        <f t="shared" si="40"/>
        <v>1.4206570339986137E-8</v>
      </c>
    </row>
    <row r="29" spans="1:66">
      <c r="A29" s="36">
        <f>MPM!B30</f>
        <v>25</v>
      </c>
      <c r="B29" s="41">
        <f>1/(MPM!AC30^0.5)</f>
        <v>11.928668593153256</v>
      </c>
      <c r="C29" s="38">
        <f>(MPM!$Q30^2)/(9.81*MPM!$F30*(Sheet1!B29^2))</f>
        <v>0.78938202759178744</v>
      </c>
      <c r="D29" s="36">
        <f>8.1*((C29/MPM!$AE30)^(1/6))</f>
        <v>12.54123928684615</v>
      </c>
      <c r="E29" s="41">
        <f t="shared" si="19"/>
        <v>4.884451047317043</v>
      </c>
      <c r="F29" s="38">
        <f>(MPM!$Q30^2)/(9.81*MPM!$F30*(D29^2))</f>
        <v>0.71415136691432002</v>
      </c>
      <c r="G29" s="36">
        <f>8.1*((F29/MPM!$AE30)^(1/6))</f>
        <v>12.333631270888008</v>
      </c>
      <c r="H29" s="43">
        <f t="shared" si="20"/>
        <v>1.6832675746369576</v>
      </c>
      <c r="I29" s="38">
        <f>(MPM!$Q30^2)/(9.81*MPM!$F30*(G29^2))</f>
        <v>0.73839587061522327</v>
      </c>
      <c r="J29" s="36">
        <f>8.1*((I29/MPM!$AE30)^(1/6))</f>
        <v>12.402449244987272</v>
      </c>
      <c r="K29" s="43">
        <f t="shared" si="21"/>
        <v>0.55487406350063329</v>
      </c>
      <c r="L29" s="38">
        <f>(MPM!$Q30^2)/(9.81*MPM!$F30*(J29^2))</f>
        <v>0.73022427038919202</v>
      </c>
      <c r="M29" s="36">
        <f>8.1*((L29/MPM!$AE30)^(1/6))</f>
        <v>12.379467360890338</v>
      </c>
      <c r="N29" s="43">
        <f t="shared" si="22"/>
        <v>0.18564517702546093</v>
      </c>
      <c r="O29" s="38">
        <f>(MPM!$Q30^2)/(9.81*MPM!$F30*(M29^2))</f>
        <v>0.73293803932263213</v>
      </c>
      <c r="P29" s="36">
        <f>8.1*((O29/MPM!$AE30)^(1/6))</f>
        <v>12.387123253276986</v>
      </c>
      <c r="Q29" s="43">
        <f t="shared" si="23"/>
        <v>6.1805249129353167E-2</v>
      </c>
      <c r="R29" s="38">
        <f>(MPM!$Q30^2)/(9.81*MPM!$F30*(P29^2))</f>
        <v>0.73203233093447995</v>
      </c>
      <c r="S29" s="36">
        <f>8.1*((R29/MPM!$AE30)^(1/6))</f>
        <v>12.384570763218241</v>
      </c>
      <c r="T29" s="43">
        <f t="shared" si="24"/>
        <v>2.0610242434288148E-2</v>
      </c>
      <c r="U29" s="38">
        <f>(MPM!$Q30^2)/(9.81*MPM!$F30*(S29^2))</f>
        <v>0.73233410930610854</v>
      </c>
      <c r="V29" s="36">
        <f>8.1*((U29/MPM!$AE30)^(1/6))</f>
        <v>12.385421534791806</v>
      </c>
      <c r="W29" s="43">
        <f t="shared" si="25"/>
        <v>6.8691370025301601E-3</v>
      </c>
      <c r="X29" s="38">
        <f>(MPM!$Q30^2)/(9.81*MPM!$F30*(V29^2))</f>
        <v>0.73223350269506116</v>
      </c>
      <c r="Y29" s="36">
        <f>8.1*((X29/MPM!$AE30)^(1/6))</f>
        <v>12.385137937773628</v>
      </c>
      <c r="Z29" s="43">
        <f t="shared" si="26"/>
        <v>2.2898171954430641E-3</v>
      </c>
      <c r="AA29" s="38">
        <f>(MPM!$Q30^2)/(9.81*MPM!$F30*(Y29^2))</f>
        <v>0.73226703669630133</v>
      </c>
      <c r="AB29" s="36">
        <f>8.1*((AA29/MPM!$AE30)^(1/6))</f>
        <v>12.385232469391491</v>
      </c>
      <c r="AC29" s="43">
        <f t="shared" si="27"/>
        <v>7.6326074699806885E-4</v>
      </c>
      <c r="AD29" s="38">
        <f>(MPM!$Q30^2)/(9.81*MPM!$F30*(AB29^2))</f>
        <v>0.73225585852525221</v>
      </c>
      <c r="AE29" s="36">
        <f>8.1*((AD29/MPM!$AE30)^(1/6))</f>
        <v>12.385200958772034</v>
      </c>
      <c r="AF29" s="43">
        <f t="shared" si="28"/>
        <v>2.544215436036326E-4</v>
      </c>
      <c r="AG29" s="38">
        <f>(MPM!$Q30^2)/(9.81*MPM!$F30*(AE29^2))</f>
        <v>0.73225958456330897</v>
      </c>
      <c r="AH29" s="36">
        <f>8.1*((AG29/MPM!$AE30)^(1/6))</f>
        <v>12.385211462302946</v>
      </c>
      <c r="AI29" s="43">
        <f t="shared" si="29"/>
        <v>8.4807037365138791E-5</v>
      </c>
      <c r="AJ29" s="38">
        <f>(MPM!$Q30^2)/(9.81*MPM!$F30*(AH29^2))</f>
        <v>0.73225834254851663</v>
      </c>
      <c r="AK29" s="36">
        <f>8.1*((AJ29/MPM!$AE30)^(1/6))</f>
        <v>12.385207961124985</v>
      </c>
      <c r="AL29" s="43">
        <f t="shared" si="30"/>
        <v>2.8269028440012511E-5</v>
      </c>
      <c r="AM29" s="38">
        <f>(MPM!$Q30^2)/(9.81*MPM!$F30*(AK29^2))</f>
        <v>0.73225875655321337</v>
      </c>
      <c r="AN29" s="36">
        <f>8.1*((AM29/MPM!$AE30)^(1/6))</f>
        <v>12.385209128184195</v>
      </c>
      <c r="AO29" s="43">
        <f t="shared" si="31"/>
        <v>9.4230077028341466E-6</v>
      </c>
      <c r="AP29" s="38">
        <f>(MPM!$Q30^2)/(9.81*MPM!$F30*(AN29^2))</f>
        <v>0.73225861855162178</v>
      </c>
      <c r="AQ29" s="36">
        <f>8.1*((AP29/MPM!$AE30)^(1/6))</f>
        <v>12.385208739164447</v>
      </c>
      <c r="AR29" s="43">
        <f t="shared" si="32"/>
        <v>3.1410027571066158E-6</v>
      </c>
      <c r="AS29" s="38">
        <f>(MPM!$Q30^2)/(9.81*MPM!$F30*(AQ29^2))</f>
        <v>0.73225866455214939</v>
      </c>
      <c r="AT29" s="36">
        <f>8.1*((AS29/MPM!$AE30)^(1/6))</f>
        <v>12.385208868837696</v>
      </c>
      <c r="AU29" s="43">
        <f t="shared" si="33"/>
        <v>1.0470008985117184E-6</v>
      </c>
      <c r="AV29" s="38">
        <f>(MPM!$Q30^2)/(9.81*MPM!$F30*(AT29^2))</f>
        <v>0.73225864921863981</v>
      </c>
      <c r="AW29" s="36">
        <f>8.1*((AV29/MPM!$AE30)^(1/6))</f>
        <v>12.38520882561328</v>
      </c>
      <c r="AX29" s="43">
        <f t="shared" si="34"/>
        <v>3.4900030072191823E-7</v>
      </c>
      <c r="AY29" s="38">
        <f>(MPM!$Q30^2)/(9.81*MPM!$F30*(AW29^2))</f>
        <v>0.73225865432980963</v>
      </c>
      <c r="AZ29" s="36">
        <f>8.1*((AY29/MPM!$AE30)^(1/6))</f>
        <v>12.385208840021418</v>
      </c>
      <c r="BA29" s="43">
        <f t="shared" si="35"/>
        <v>1.1633343343863807E-7</v>
      </c>
      <c r="BB29" s="38">
        <f>(MPM!$Q30^2)/(9.81*MPM!$F30*(AZ29^2))</f>
        <v>0.73225865262608636</v>
      </c>
      <c r="BC29" s="36">
        <f>8.1*((BB29/MPM!$AE30)^(1/6))</f>
        <v>12.385208835218705</v>
      </c>
      <c r="BD29" s="43">
        <f t="shared" si="36"/>
        <v>3.8777811161249875E-8</v>
      </c>
      <c r="BE29" s="38">
        <f>(MPM!$Q30^2)/(9.81*MPM!$F30*(BC29^2))</f>
        <v>0.73225865319399408</v>
      </c>
      <c r="BF29" s="36">
        <f>8.1*((BE29/MPM!$AE30)^(1/6))</f>
        <v>12.385208836819608</v>
      </c>
      <c r="BG29" s="43">
        <f t="shared" si="37"/>
        <v>1.2925922709512454E-8</v>
      </c>
      <c r="BH29" s="38">
        <f>(MPM!$Q30^2)/(9.81*MPM!$F30*(BF29^2))</f>
        <v>0.73225865300469173</v>
      </c>
      <c r="BI29" s="36">
        <f>8.1*((BH29/MPM!$AE30)^(1/6))</f>
        <v>12.385208836285974</v>
      </c>
      <c r="BJ29" s="43">
        <f t="shared" si="38"/>
        <v>4.3086361225008923E-9</v>
      </c>
      <c r="BK29" s="38">
        <f>(MPM!$Q30^2)/(9.81*MPM!$F30*(BI29^2))</f>
        <v>0.73225865306779236</v>
      </c>
      <c r="BL29" s="36">
        <f>8.1*((BK29/MPM!$AE30)^(1/6))</f>
        <v>12.385208836463852</v>
      </c>
      <c r="BM29" s="43">
        <f t="shared" si="39"/>
        <v>1.4362072599574341E-9</v>
      </c>
      <c r="BN29" s="43">
        <f t="shared" si="40"/>
        <v>8.6172605217071506E-9</v>
      </c>
    </row>
    <row r="30" spans="1:66">
      <c r="A30" s="36">
        <f>MPM!B31</f>
        <v>26</v>
      </c>
      <c r="B30" s="41">
        <f>1/(MPM!AC31^0.5)</f>
        <v>11.68545124664274</v>
      </c>
      <c r="C30" s="38">
        <f>(MPM!$Q31^2)/(9.81*MPM!$F31*(Sheet1!B30^2))</f>
        <v>0.80582758818648781</v>
      </c>
      <c r="D30" s="36">
        <f>8.1*((C30/MPM!$AE31)^(1/6))</f>
        <v>12.584412260689597</v>
      </c>
      <c r="E30" s="41">
        <f t="shared" si="19"/>
        <v>7.1434485411366762</v>
      </c>
      <c r="F30" s="38">
        <f>(MPM!$Q31^2)/(9.81*MPM!$F31*(D30^2))</f>
        <v>0.69481187608296546</v>
      </c>
      <c r="G30" s="36">
        <f>8.1*((F30/MPM!$AE31)^(1/6))</f>
        <v>12.277325987705323</v>
      </c>
      <c r="H30" s="43">
        <f t="shared" si="20"/>
        <v>2.5012472039252982</v>
      </c>
      <c r="I30" s="38">
        <f>(MPM!$Q31^2)/(9.81*MPM!$F31*(G30^2))</f>
        <v>0.73000449214577812</v>
      </c>
      <c r="J30" s="36">
        <f>8.1*((I30/MPM!$AE31)^(1/6))</f>
        <v>12.378846300813313</v>
      </c>
      <c r="K30" s="43">
        <f t="shared" si="21"/>
        <v>0.82011126595311201</v>
      </c>
      <c r="L30" s="38">
        <f>(MPM!$Q31^2)/(9.81*MPM!$F31*(J30^2))</f>
        <v>0.71807989280547302</v>
      </c>
      <c r="M30" s="36">
        <f>8.1*((L30/MPM!$AE31)^(1/6))</f>
        <v>12.344913263803155</v>
      </c>
      <c r="N30" s="43">
        <f t="shared" si="22"/>
        <v>0.27487464905609155</v>
      </c>
      <c r="O30" s="38">
        <f>(MPM!$Q31^2)/(9.81*MPM!$F31*(M30^2))</f>
        <v>0.72203295750571395</v>
      </c>
      <c r="P30" s="36">
        <f>8.1*((O30/MPM!$AE31)^(1/6))</f>
        <v>12.356213928235327</v>
      </c>
      <c r="Q30" s="43">
        <f t="shared" si="23"/>
        <v>9.1457338775500926E-2</v>
      </c>
      <c r="R30" s="38">
        <f>(MPM!$Q31^2)/(9.81*MPM!$F31*(P30^2))</f>
        <v>0.7207128571901632</v>
      </c>
      <c r="S30" s="36">
        <f>8.1*((R30/MPM!$AE31)^(1/6))</f>
        <v>12.352445891142217</v>
      </c>
      <c r="T30" s="43">
        <f t="shared" si="24"/>
        <v>3.050438047910756E-2</v>
      </c>
      <c r="U30" s="38">
        <f>(MPM!$Q31^2)/(9.81*MPM!$F31*(S30^2))</f>
        <v>0.72115262223797449</v>
      </c>
      <c r="V30" s="36">
        <f>8.1*((U30/MPM!$AE31)^(1/6))</f>
        <v>12.353701775815296</v>
      </c>
      <c r="W30" s="43">
        <f t="shared" si="25"/>
        <v>1.0166059500780464E-2</v>
      </c>
      <c r="X30" s="38">
        <f>(MPM!$Q31^2)/(9.81*MPM!$F31*(V30^2))</f>
        <v>0.7210060040816616</v>
      </c>
      <c r="Y30" s="36">
        <f>8.1*((X30/MPM!$AE31)^(1/6))</f>
        <v>12.353283133404137</v>
      </c>
      <c r="Z30" s="43">
        <f t="shared" si="26"/>
        <v>3.3889161823443081E-3</v>
      </c>
      <c r="AA30" s="38">
        <f>(MPM!$Q31^2)/(9.81*MPM!$F31*(Y30^2))</f>
        <v>0.72105487348801522</v>
      </c>
      <c r="AB30" s="36">
        <f>8.1*((AA30/MPM!$AE31)^(1/6))</f>
        <v>12.35342267929817</v>
      </c>
      <c r="AC30" s="43">
        <f t="shared" si="27"/>
        <v>1.1296132064421956E-3</v>
      </c>
      <c r="AD30" s="38">
        <f>(MPM!$Q31^2)/(9.81*MPM!$F31*(AB30^2))</f>
        <v>0.72103858331787041</v>
      </c>
      <c r="AE30" s="36">
        <f>8.1*((AD30/MPM!$AE31)^(1/6))</f>
        <v>12.353376163825011</v>
      </c>
      <c r="AF30" s="43">
        <f t="shared" si="28"/>
        <v>3.7654057110967059E-4</v>
      </c>
      <c r="AG30" s="38">
        <f>(MPM!$Q31^2)/(9.81*MPM!$F31*(AE30^2))</f>
        <v>0.72104401333369261</v>
      </c>
      <c r="AH30" s="36">
        <f>8.1*((AG30/MPM!$AE31)^(1/6))</f>
        <v>12.353391668963269</v>
      </c>
      <c r="AI30" s="43">
        <f t="shared" si="29"/>
        <v>1.2551320862529223E-4</v>
      </c>
      <c r="AJ30" s="38">
        <f>(MPM!$Q31^2)/(9.81*MPM!$F31*(AH30^2))</f>
        <v>0.72104220332387492</v>
      </c>
      <c r="AK30" s="36">
        <f>8.1*((AJ30/MPM!$AE31)^(1/6))</f>
        <v>12.353386500581689</v>
      </c>
      <c r="AL30" s="43">
        <f t="shared" si="30"/>
        <v>4.1837771207481461E-5</v>
      </c>
      <c r="AM30" s="38">
        <f>(MPM!$Q31^2)/(9.81*MPM!$F31*(AK30^2))</f>
        <v>0.72104280665997578</v>
      </c>
      <c r="AN30" s="36">
        <f>8.1*((AM30/MPM!$AE31)^(1/6))</f>
        <v>12.353388223375307</v>
      </c>
      <c r="AO30" s="43">
        <f t="shared" si="31"/>
        <v>1.394591983053312E-5</v>
      </c>
      <c r="AP30" s="38">
        <f>(MPM!$Q31^2)/(9.81*MPM!$F31*(AN30^2))</f>
        <v>0.72104260554788646</v>
      </c>
      <c r="AQ30" s="36">
        <f>8.1*((AP30/MPM!$AE31)^(1/6))</f>
        <v>12.353387649110742</v>
      </c>
      <c r="AR30" s="43">
        <f t="shared" si="32"/>
        <v>4.6486403657159297E-6</v>
      </c>
      <c r="AS30" s="38">
        <f>(MPM!$Q31^2)/(9.81*MPM!$F31*(AQ30^2))</f>
        <v>0.72104267258524313</v>
      </c>
      <c r="AT30" s="36">
        <f>8.1*((AS30/MPM!$AE31)^(1/6))</f>
        <v>12.35338784053226</v>
      </c>
      <c r="AU30" s="43">
        <f t="shared" si="33"/>
        <v>1.549546740595172E-6</v>
      </c>
      <c r="AV30" s="38">
        <f>(MPM!$Q31^2)/(9.81*MPM!$F31*(AT30^2))</f>
        <v>0.72104265023945679</v>
      </c>
      <c r="AW30" s="36">
        <f>8.1*((AV30/MPM!$AE31)^(1/6))</f>
        <v>12.353387776725087</v>
      </c>
      <c r="AX30" s="43">
        <f t="shared" si="34"/>
        <v>5.1651558286627418E-7</v>
      </c>
      <c r="AY30" s="38">
        <f>(MPM!$Q31^2)/(9.81*MPM!$F31*(AW30^2))</f>
        <v>0.7210426576880522</v>
      </c>
      <c r="AZ30" s="36">
        <f>8.1*((AY30/MPM!$AE31)^(1/6))</f>
        <v>12.353387797994145</v>
      </c>
      <c r="BA30" s="43">
        <f t="shared" si="35"/>
        <v>1.721718606589932E-7</v>
      </c>
      <c r="BB30" s="38">
        <f>(MPM!$Q31^2)/(9.81*MPM!$F31*(AZ30^2))</f>
        <v>0.72104265520518707</v>
      </c>
      <c r="BC30" s="36">
        <f>8.1*((BB30/MPM!$AE31)^(1/6))</f>
        <v>12.353387790904458</v>
      </c>
      <c r="BD30" s="43">
        <f t="shared" si="36"/>
        <v>5.7390629838942358E-8</v>
      </c>
      <c r="BE30" s="38">
        <f>(MPM!$Q31^2)/(9.81*MPM!$F31*(BC30^2))</f>
        <v>0.72104265603280882</v>
      </c>
      <c r="BF30" s="36">
        <f>8.1*((BE30/MPM!$AE31)^(1/6))</f>
        <v>12.353387793267688</v>
      </c>
      <c r="BG30" s="43">
        <f t="shared" si="37"/>
        <v>1.9130214735825027E-8</v>
      </c>
      <c r="BH30" s="38">
        <f>(MPM!$Q31^2)/(9.81*MPM!$F31*(BF30^2))</f>
        <v>0.72104265575693494</v>
      </c>
      <c r="BI30" s="36">
        <f>8.1*((BH30/MPM!$AE31)^(1/6))</f>
        <v>12.353387792479944</v>
      </c>
      <c r="BJ30" s="43">
        <f t="shared" si="38"/>
        <v>6.3767382456816365E-9</v>
      </c>
      <c r="BK30" s="38">
        <f>(MPM!$Q31^2)/(9.81*MPM!$F31*(BI30^2))</f>
        <v>0.72104265584889293</v>
      </c>
      <c r="BL30" s="36">
        <f>8.1*((BK30/MPM!$AE31)^(1/6))</f>
        <v>12.353387792742526</v>
      </c>
      <c r="BM30" s="43">
        <f t="shared" si="39"/>
        <v>2.1255794151820314E-9</v>
      </c>
      <c r="BN30" s="43">
        <f t="shared" si="40"/>
        <v>1.275347526625855E-8</v>
      </c>
    </row>
    <row r="31" spans="1:66">
      <c r="A31" s="36">
        <f>MPM!B32</f>
        <v>27</v>
      </c>
      <c r="B31" s="41">
        <f>1/(MPM!AC32^0.5)</f>
        <v>11.91068895698702</v>
      </c>
      <c r="C31" s="38">
        <f>(MPM!$Q32^2)/(9.81*MPM!$F32*(Sheet1!B31^2))</f>
        <v>0.8382078117912416</v>
      </c>
      <c r="D31" s="36">
        <f>8.1*((C31/MPM!$AE32)^(1/6))</f>
        <v>12.66731389744942</v>
      </c>
      <c r="E31" s="41">
        <f t="shared" si="19"/>
        <v>5.9730495872115981</v>
      </c>
      <c r="F31" s="38">
        <f>(MPM!$Q32^2)/(9.81*MPM!$F32*(D31^2))</f>
        <v>0.74106517625461743</v>
      </c>
      <c r="G31" s="36">
        <f>8.1*((F31/MPM!$AE32)^(1/6))</f>
        <v>12.409910502789362</v>
      </c>
      <c r="H31" s="43">
        <f t="shared" si="20"/>
        <v>2.0741760756630865</v>
      </c>
      <c r="I31" s="38">
        <f>(MPM!$Q32^2)/(9.81*MPM!$F32*(G31^2))</f>
        <v>0.77212599097038526</v>
      </c>
      <c r="J31" s="36">
        <f>8.1*((I31/MPM!$AE32)^(1/6))</f>
        <v>12.495125154870058</v>
      </c>
      <c r="K31" s="43">
        <f t="shared" si="21"/>
        <v>0.68198318163690264</v>
      </c>
      <c r="L31" s="38">
        <f>(MPM!$Q32^2)/(9.81*MPM!$F32*(J31^2))</f>
        <v>0.76163036383314286</v>
      </c>
      <c r="M31" s="36">
        <f>8.1*((L31/MPM!$AE32)^(1/6))</f>
        <v>12.4666554528972</v>
      </c>
      <c r="N31" s="43">
        <f t="shared" si="22"/>
        <v>0.22836679878115726</v>
      </c>
      <c r="O31" s="38">
        <f>(MPM!$Q32^2)/(9.81*MPM!$F32*(M31^2))</f>
        <v>0.76511295760258335</v>
      </c>
      <c r="P31" s="36">
        <f>8.1*((O31/MPM!$AE32)^(1/6))</f>
        <v>12.476138138778472</v>
      </c>
      <c r="Q31" s="43">
        <f t="shared" si="23"/>
        <v>7.6006579726764972E-2</v>
      </c>
      <c r="R31" s="38">
        <f>(MPM!$Q32^2)/(9.81*MPM!$F32*(P31^2))</f>
        <v>0.7639503272281114</v>
      </c>
      <c r="S31" s="36">
        <f>8.1*((R31/MPM!$AE32)^(1/6))</f>
        <v>12.472976442316918</v>
      </c>
      <c r="T31" s="43">
        <f t="shared" si="24"/>
        <v>2.5348371947750029E-2</v>
      </c>
      <c r="U31" s="38">
        <f>(MPM!$Q32^2)/(9.81*MPM!$F32*(S31^2))</f>
        <v>0.7643376742558563</v>
      </c>
      <c r="V31" s="36">
        <f>8.1*((U31/MPM!$AE32)^(1/6))</f>
        <v>12.474030252101244</v>
      </c>
      <c r="W31" s="43">
        <f t="shared" si="25"/>
        <v>8.4480297307925143E-3</v>
      </c>
      <c r="X31" s="38">
        <f>(MPM!$Q32^2)/(9.81*MPM!$F32*(V31^2))</f>
        <v>0.76420853676294409</v>
      </c>
      <c r="Y31" s="36">
        <f>8.1*((X31/MPM!$AE32)^(1/6))</f>
        <v>12.473678972280874</v>
      </c>
      <c r="Z31" s="43">
        <f t="shared" si="26"/>
        <v>2.8161685189299129E-3</v>
      </c>
      <c r="AA31" s="38">
        <f>(MPM!$Q32^2)/(9.81*MPM!$F32*(Y31^2))</f>
        <v>0.76425158016948558</v>
      </c>
      <c r="AB31" s="36">
        <f>8.1*((AA31/MPM!$AE32)^(1/6))</f>
        <v>12.473796064455167</v>
      </c>
      <c r="AC31" s="43">
        <f t="shared" si="27"/>
        <v>9.3870521601861756E-4</v>
      </c>
      <c r="AD31" s="38">
        <f>(MPM!$Q32^2)/(9.81*MPM!$F32*(AB31^2))</f>
        <v>0.76423723209793581</v>
      </c>
      <c r="AE31" s="36">
        <f>8.1*((AD31/MPM!$AE32)^(1/6))</f>
        <v>12.473757033608274</v>
      </c>
      <c r="AF31" s="43">
        <f t="shared" si="28"/>
        <v>3.1290369683418119E-4</v>
      </c>
      <c r="AG31" s="38">
        <f>(MPM!$Q32^2)/(9.81*MPM!$F32*(AE31^2))</f>
        <v>0.76424201475852194</v>
      </c>
      <c r="AH31" s="36">
        <f>8.1*((AG31/MPM!$AE32)^(1/6))</f>
        <v>12.473770043877002</v>
      </c>
      <c r="AI31" s="43">
        <f t="shared" si="29"/>
        <v>1.0430101470107665E-4</v>
      </c>
      <c r="AJ31" s="38">
        <f>(MPM!$Q32^2)/(9.81*MPM!$F32*(AH31^2))</f>
        <v>0.76424042053500107</v>
      </c>
      <c r="AK31" s="36">
        <f>8.1*((AJ31/MPM!$AE32)^(1/6))</f>
        <v>12.473765707119252</v>
      </c>
      <c r="AL31" s="43">
        <f t="shared" si="30"/>
        <v>3.4767029068710032E-5</v>
      </c>
      <c r="AM31" s="38">
        <f>(MPM!$Q32^2)/(9.81*MPM!$F32*(AK31^2))</f>
        <v>0.76424095194247177</v>
      </c>
      <c r="AN31" s="36">
        <f>8.1*((AM31/MPM!$AE32)^(1/6))</f>
        <v>12.473767152705001</v>
      </c>
      <c r="AO31" s="43">
        <f t="shared" si="31"/>
        <v>1.1589007003142326E-5</v>
      </c>
      <c r="AP31" s="38">
        <f>(MPM!$Q32^2)/(9.81*MPM!$F32*(AN31^2))</f>
        <v>0.76424077480660702</v>
      </c>
      <c r="AQ31" s="36">
        <f>8.1*((AP31/MPM!$AE32)^(1/6))</f>
        <v>12.473766670843066</v>
      </c>
      <c r="AR31" s="43">
        <f t="shared" si="32"/>
        <v>3.8630026355098974E-6</v>
      </c>
      <c r="AS31" s="38">
        <f>(MPM!$Q32^2)/(9.81*MPM!$F32*(AQ31^2))</f>
        <v>0.7642408338518909</v>
      </c>
      <c r="AT31" s="36">
        <f>8.1*((AS31/MPM!$AE32)^(1/6))</f>
        <v>12.47376683146371</v>
      </c>
      <c r="AU31" s="43">
        <f t="shared" si="33"/>
        <v>1.2876675190952615E-6</v>
      </c>
      <c r="AV31" s="38">
        <f>(MPM!$Q32^2)/(9.81*MPM!$F32*(AT31^2))</f>
        <v>0.76424081417012901</v>
      </c>
      <c r="AW31" s="36">
        <f>8.1*((AV31/MPM!$AE32)^(1/6))</f>
        <v>12.473766777923494</v>
      </c>
      <c r="AX31" s="43">
        <f t="shared" si="34"/>
        <v>4.2922251770123428E-7</v>
      </c>
      <c r="AY31" s="38">
        <f>(MPM!$Q32^2)/(9.81*MPM!$F32*(AW31^2))</f>
        <v>0.76424082073071631</v>
      </c>
      <c r="AZ31" s="36">
        <f>8.1*((AY31/MPM!$AE32)^(1/6))</f>
        <v>12.473766795770233</v>
      </c>
      <c r="BA31" s="43">
        <f t="shared" si="35"/>
        <v>1.4307417710928963E-7</v>
      </c>
      <c r="BB31" s="38">
        <f>(MPM!$Q32^2)/(9.81*MPM!$F32*(AZ31^2))</f>
        <v>0.76424081854385373</v>
      </c>
      <c r="BC31" s="36">
        <f>8.1*((BB31/MPM!$AE32)^(1/6))</f>
        <v>12.473766789821321</v>
      </c>
      <c r="BD31" s="43">
        <f t="shared" si="36"/>
        <v>4.769138764559418E-8</v>
      </c>
      <c r="BE31" s="38">
        <f>(MPM!$Q32^2)/(9.81*MPM!$F32*(BC31^2))</f>
        <v>0.76424081927280785</v>
      </c>
      <c r="BF31" s="36">
        <f>8.1*((BE31/MPM!$AE32)^(1/6))</f>
        <v>12.473766791804291</v>
      </c>
      <c r="BG31" s="43">
        <f t="shared" si="37"/>
        <v>1.589712446575716E-8</v>
      </c>
      <c r="BH31" s="38">
        <f>(MPM!$Q32^2)/(9.81*MPM!$F32*(BF31^2))</f>
        <v>0.76424081902982322</v>
      </c>
      <c r="BI31" s="36">
        <f>8.1*((BH31/MPM!$AE32)^(1/6))</f>
        <v>12.4737667911433</v>
      </c>
      <c r="BJ31" s="43">
        <f t="shared" si="38"/>
        <v>5.299050982693947E-9</v>
      </c>
      <c r="BK31" s="38">
        <f>(MPM!$Q32^2)/(9.81*MPM!$F32*(BI31^2))</f>
        <v>0.76424081911081831</v>
      </c>
      <c r="BL31" s="36">
        <f>8.1*((BK31/MPM!$AE32)^(1/6))</f>
        <v>12.473766791363632</v>
      </c>
      <c r="BM31" s="43">
        <f t="shared" si="39"/>
        <v>1.7663645682745906E-9</v>
      </c>
      <c r="BN31" s="43">
        <f t="shared" si="40"/>
        <v>1.05981122037472E-8</v>
      </c>
    </row>
    <row r="32" spans="1:66">
      <c r="A32" s="36">
        <f>MPM!B33</f>
        <v>28</v>
      </c>
      <c r="B32" s="41">
        <f>1/(MPM!AC33^0.5)</f>
        <v>11.834274101043329</v>
      </c>
      <c r="C32" s="38">
        <f>(MPM!$Q33^2)/(9.81*MPM!$F33*(Sheet1!B32^2))</f>
        <v>0.83052540972249178</v>
      </c>
      <c r="D32" s="36">
        <f>8.1*((C32/MPM!$AE33)^(1/6))</f>
        <v>12.647889691337518</v>
      </c>
      <c r="E32" s="41">
        <f t="shared" si="19"/>
        <v>6.4328169374487096</v>
      </c>
      <c r="F32" s="38">
        <f>(MPM!$Q33^2)/(9.81*MPM!$F33*(D32^2))</f>
        <v>0.72710985957591467</v>
      </c>
      <c r="G32" s="36">
        <f>8.1*((F32/MPM!$AE33)^(1/6))</f>
        <v>12.370651931898411</v>
      </c>
      <c r="H32" s="43">
        <f t="shared" si="20"/>
        <v>2.2410925549059684</v>
      </c>
      <c r="I32" s="38">
        <f>(MPM!$Q33^2)/(9.81*MPM!$F33*(G32^2))</f>
        <v>0.76006546005827003</v>
      </c>
      <c r="J32" s="36">
        <f>8.1*((I32/MPM!$AE33)^(1/6))</f>
        <v>12.462382636721907</v>
      </c>
      <c r="K32" s="43">
        <f t="shared" si="21"/>
        <v>0.73606073170310238</v>
      </c>
      <c r="L32" s="38">
        <f>(MPM!$Q33^2)/(9.81*MPM!$F33*(J32^2))</f>
        <v>0.74891755252180292</v>
      </c>
      <c r="M32" s="36">
        <f>8.1*((L32/MPM!$AE33)^(1/6))</f>
        <v>12.43173040529863</v>
      </c>
      <c r="N32" s="43">
        <f t="shared" si="22"/>
        <v>0.24656447995535963</v>
      </c>
      <c r="O32" s="38">
        <f>(MPM!$Q33^2)/(9.81*MPM!$F33*(M32^2))</f>
        <v>0.75261523483171489</v>
      </c>
      <c r="P32" s="36">
        <f>8.1*((O32/MPM!$AE33)^(1/6))</f>
        <v>12.441939429755434</v>
      </c>
      <c r="Q32" s="43">
        <f t="shared" si="23"/>
        <v>8.2053320661479426E-2</v>
      </c>
      <c r="R32" s="38">
        <f>(MPM!$Q33^2)/(9.81*MPM!$F33*(P32^2))</f>
        <v>0.75138064996457654</v>
      </c>
      <c r="S32" s="36">
        <f>8.1*((R32/MPM!$AE33)^(1/6))</f>
        <v>12.438535490418248</v>
      </c>
      <c r="T32" s="43">
        <f t="shared" si="24"/>
        <v>2.7366078103072913E-2</v>
      </c>
      <c r="U32" s="38">
        <f>(MPM!$Q33^2)/(9.81*MPM!$F33*(S32^2))</f>
        <v>0.75179195306668234</v>
      </c>
      <c r="V32" s="36">
        <f>8.1*((U32/MPM!$AE33)^(1/6))</f>
        <v>12.439670033376967</v>
      </c>
      <c r="W32" s="43">
        <f t="shared" si="25"/>
        <v>9.1203621613298296E-3</v>
      </c>
      <c r="X32" s="38">
        <f>(MPM!$Q33^2)/(9.81*MPM!$F33*(V32^2))</f>
        <v>0.75165482702252462</v>
      </c>
      <c r="Y32" s="36">
        <f>8.1*((X32/MPM!$AE33)^(1/6))</f>
        <v>12.439291840892986</v>
      </c>
      <c r="Z32" s="43">
        <f t="shared" si="26"/>
        <v>3.0403055802343021E-3</v>
      </c>
      <c r="AA32" s="38">
        <f>(MPM!$Q33^2)/(9.81*MPM!$F33*(Y32^2))</f>
        <v>0.75170053292461381</v>
      </c>
      <c r="AB32" s="36">
        <f>8.1*((AA32/MPM!$AE33)^(1/6))</f>
        <v>12.439417903776755</v>
      </c>
      <c r="AC32" s="43">
        <f t="shared" si="27"/>
        <v>1.013414652874369E-3</v>
      </c>
      <c r="AD32" s="38">
        <f>(MPM!$Q33^2)/(9.81*MPM!$F33*(AB32^2))</f>
        <v>0.75168529731512124</v>
      </c>
      <c r="AE32" s="36">
        <f>8.1*((AD32/MPM!$AE33)^(1/6))</f>
        <v>12.439375882673549</v>
      </c>
      <c r="AF32" s="43">
        <f t="shared" si="28"/>
        <v>3.3780716655861458E-4</v>
      </c>
      <c r="AG32" s="38">
        <f>(MPM!$Q33^2)/(9.81*MPM!$F33*(AE32^2))</f>
        <v>0.75169037581730769</v>
      </c>
      <c r="AH32" s="36">
        <f>8.1*((AG32/MPM!$AE33)^(1/6))</f>
        <v>12.43938988969218</v>
      </c>
      <c r="AI32" s="43">
        <f t="shared" si="29"/>
        <v>1.1260213527672346E-4</v>
      </c>
      <c r="AJ32" s="38">
        <f>(MPM!$Q33^2)/(9.81*MPM!$F33*(AH32^2))</f>
        <v>0.75168868297943303</v>
      </c>
      <c r="AK32" s="36">
        <f>8.1*((AJ32/MPM!$AE33)^(1/6))</f>
        <v>12.439385220684217</v>
      </c>
      <c r="AL32" s="43">
        <f t="shared" si="30"/>
        <v>3.7534073265237278E-5</v>
      </c>
      <c r="AM32" s="38">
        <f>(MPM!$Q33^2)/(9.81*MPM!$F33*(AK32^2))</f>
        <v>0.75168924725830089</v>
      </c>
      <c r="AN32" s="36">
        <f>8.1*((AM32/MPM!$AE33)^(1/6))</f>
        <v>12.43938677702001</v>
      </c>
      <c r="AO32" s="43">
        <f t="shared" si="31"/>
        <v>1.2511354623687817E-5</v>
      </c>
      <c r="AP32" s="38">
        <f>(MPM!$Q33^2)/(9.81*MPM!$F33*(AN32^2))</f>
        <v>0.75168905916529782</v>
      </c>
      <c r="AQ32" s="36">
        <f>8.1*((AP32/MPM!$AE33)^(1/6))</f>
        <v>12.43938625824139</v>
      </c>
      <c r="AR32" s="43">
        <f t="shared" si="32"/>
        <v>4.1704518960372188E-6</v>
      </c>
      <c r="AS32" s="38">
        <f>(MPM!$Q33^2)/(9.81*MPM!$F33*(AQ32^2))</f>
        <v>0.75168912186296055</v>
      </c>
      <c r="AT32" s="36">
        <f>8.1*((AS32/MPM!$AE33)^(1/6))</f>
        <v>12.439386431167595</v>
      </c>
      <c r="AU32" s="43">
        <f t="shared" si="33"/>
        <v>1.3901505984071188E-6</v>
      </c>
      <c r="AV32" s="38">
        <f>(MPM!$Q33^2)/(9.81*MPM!$F33*(AT32^2))</f>
        <v>0.75168910096373898</v>
      </c>
      <c r="AW32" s="36">
        <f>8.1*((AV32/MPM!$AE33)^(1/6))</f>
        <v>12.439386373525526</v>
      </c>
      <c r="AX32" s="43">
        <f t="shared" si="34"/>
        <v>4.6338353970964938E-7</v>
      </c>
      <c r="AY32" s="38">
        <f>(MPM!$Q33^2)/(9.81*MPM!$F33*(AW32^2))</f>
        <v>0.75168910793014621</v>
      </c>
      <c r="AZ32" s="36">
        <f>8.1*((AY32/MPM!$AE33)^(1/6))</f>
        <v>12.43938639273955</v>
      </c>
      <c r="BA32" s="43">
        <f t="shared" si="35"/>
        <v>1.5446118918470066E-7</v>
      </c>
      <c r="BB32" s="38">
        <f>(MPM!$Q33^2)/(9.81*MPM!$F33*(AZ32^2))</f>
        <v>0.75168910560801017</v>
      </c>
      <c r="BC32" s="36">
        <f>8.1*((BB32/MPM!$AE33)^(1/6))</f>
        <v>12.439386386334874</v>
      </c>
      <c r="BD32" s="43">
        <f t="shared" si="36"/>
        <v>5.1487072608142868E-8</v>
      </c>
      <c r="BE32" s="38">
        <f>(MPM!$Q33^2)/(9.81*MPM!$F33*(BC32^2))</f>
        <v>0.75168910638205577</v>
      </c>
      <c r="BF32" s="36">
        <f>8.1*((BE32/MPM!$AE33)^(1/6))</f>
        <v>12.439386388469766</v>
      </c>
      <c r="BG32" s="43">
        <f t="shared" si="37"/>
        <v>1.7162352773068761E-8</v>
      </c>
      <c r="BH32" s="38">
        <f>(MPM!$Q33^2)/(9.81*MPM!$F33*(BF32^2))</f>
        <v>0.75168910612404061</v>
      </c>
      <c r="BI32" s="36">
        <f>8.1*((BH32/MPM!$AE33)^(1/6))</f>
        <v>12.439386387758136</v>
      </c>
      <c r="BJ32" s="43">
        <f t="shared" si="38"/>
        <v>5.7207794979834631E-9</v>
      </c>
      <c r="BK32" s="38">
        <f>(MPM!$Q33^2)/(9.81*MPM!$F33*(BI32^2))</f>
        <v>0.75168910621004559</v>
      </c>
      <c r="BL32" s="36">
        <f>8.1*((BK32/MPM!$AE33)^(1/6))</f>
        <v>12.439386387995345</v>
      </c>
      <c r="BM32" s="43">
        <f t="shared" si="39"/>
        <v>1.9069217392580605E-9</v>
      </c>
      <c r="BN32" s="43">
        <f t="shared" si="40"/>
        <v>1.1441562769008618E-8</v>
      </c>
    </row>
    <row r="33" spans="1:66">
      <c r="A33" s="36">
        <f>MPM!B34</f>
        <v>29</v>
      </c>
      <c r="B33" s="41">
        <f>1/(MPM!AC34^0.5)</f>
        <v>12.33323372756319</v>
      </c>
      <c r="C33" s="38">
        <f>(MPM!$Q34^2)/(9.81*MPM!$F34*(Sheet1!B33^2))</f>
        <v>0.86385728272971052</v>
      </c>
      <c r="D33" s="36">
        <f>8.1*((C33/MPM!$AE34)^(1/6))</f>
        <v>12.731109349164909</v>
      </c>
      <c r="E33" s="41">
        <f t="shared" si="19"/>
        <v>3.1252235032276823</v>
      </c>
      <c r="F33" s="38">
        <f>(MPM!$Q34^2)/(9.81*MPM!$F34*(D33^2))</f>
        <v>0.81070607236507242</v>
      </c>
      <c r="G33" s="36">
        <f>8.1*((F33/MPM!$AE34)^(1/6))</f>
        <v>12.597078031031725</v>
      </c>
      <c r="H33" s="43">
        <f t="shared" si="20"/>
        <v>1.0639873612198829</v>
      </c>
      <c r="I33" s="38">
        <f>(MPM!$Q34^2)/(9.81*MPM!$F34*(G33^2))</f>
        <v>0.8280494701880482</v>
      </c>
      <c r="J33" s="36">
        <f>8.1*((I33/MPM!$AE34)^(1/6))</f>
        <v>12.641597614184978</v>
      </c>
      <c r="K33" s="43">
        <f t="shared" si="21"/>
        <v>0.35216738035782857</v>
      </c>
      <c r="L33" s="38">
        <f>(MPM!$Q34^2)/(9.81*MPM!$F34*(J33^2))</f>
        <v>0.82222749955745211</v>
      </c>
      <c r="M33" s="36">
        <f>8.1*((L33/MPM!$AE34)^(1/6))</f>
        <v>12.626740298587636</v>
      </c>
      <c r="N33" s="43">
        <f t="shared" si="22"/>
        <v>0.11766548805160057</v>
      </c>
      <c r="O33" s="38">
        <f>(MPM!$Q34^2)/(9.81*MPM!$F34*(M33^2))</f>
        <v>0.82416359394566052</v>
      </c>
      <c r="P33" s="36">
        <f>8.1*((O33/MPM!$AE34)^(1/6))</f>
        <v>12.631690795951863</v>
      </c>
      <c r="Q33" s="43">
        <f t="shared" si="23"/>
        <v>3.919109044225224E-2</v>
      </c>
      <c r="R33" s="38">
        <f>(MPM!$Q34^2)/(9.81*MPM!$F34*(P33^2))</f>
        <v>0.82351772313338212</v>
      </c>
      <c r="S33" s="36">
        <f>8.1*((R33/MPM!$AE34)^(1/6))</f>
        <v>12.630040414544183</v>
      </c>
      <c r="T33" s="43">
        <f t="shared" si="24"/>
        <v>1.3067111058328463E-2</v>
      </c>
      <c r="U33" s="38">
        <f>(MPM!$Q34^2)/(9.81*MPM!$F34*(S33^2))</f>
        <v>0.82373295714583084</v>
      </c>
      <c r="V33" s="36">
        <f>8.1*((U33/MPM!$AE34)^(1/6))</f>
        <v>12.630590517719908</v>
      </c>
      <c r="W33" s="43">
        <f t="shared" si="25"/>
        <v>4.355324281574164E-3</v>
      </c>
      <c r="X33" s="38">
        <f>(MPM!$Q34^2)/(9.81*MPM!$F34*(V33^2))</f>
        <v>0.82366120622536165</v>
      </c>
      <c r="Y33" s="36">
        <f>8.1*((X33/MPM!$AE34)^(1/6))</f>
        <v>12.630407147332518</v>
      </c>
      <c r="Z33" s="43">
        <f t="shared" si="26"/>
        <v>1.4518169149332681E-3</v>
      </c>
      <c r="AA33" s="38">
        <f>(MPM!$Q34^2)/(9.81*MPM!$F34*(Y33^2))</f>
        <v>0.82368512250439818</v>
      </c>
      <c r="AB33" s="36">
        <f>8.1*((AA33/MPM!$AE34)^(1/6))</f>
        <v>12.630468270499183</v>
      </c>
      <c r="AC33" s="43">
        <f t="shared" si="27"/>
        <v>4.839342877549556E-4</v>
      </c>
      <c r="AD33" s="38">
        <f>(MPM!$Q34^2)/(9.81*MPM!$F34*(AB33^2))</f>
        <v>0.82367715033422628</v>
      </c>
      <c r="AE33" s="36">
        <f>8.1*((AD33/MPM!$AE34)^(1/6))</f>
        <v>12.630447896077426</v>
      </c>
      <c r="AF33" s="43">
        <f t="shared" si="28"/>
        <v>1.6131194969870328E-4</v>
      </c>
      <c r="AG33" s="38">
        <f>(MPM!$Q34^2)/(9.81*MPM!$F34*(AE33^2))</f>
        <v>0.82367980771571059</v>
      </c>
      <c r="AH33" s="36">
        <f>8.1*((AG33/MPM!$AE34)^(1/6))</f>
        <v>12.630454687547696</v>
      </c>
      <c r="AI33" s="43">
        <f t="shared" si="29"/>
        <v>5.3770592094469295E-5</v>
      </c>
      <c r="AJ33" s="38">
        <f>(MPM!$Q34^2)/(9.81*MPM!$F34*(AH33^2))</f>
        <v>0.82367892192092962</v>
      </c>
      <c r="AK33" s="36">
        <f>8.1*((AJ33/MPM!$AE34)^(1/6))</f>
        <v>12.630452423723865</v>
      </c>
      <c r="AL33" s="43">
        <f t="shared" si="30"/>
        <v>1.7923537136049287E-5</v>
      </c>
      <c r="AM33" s="38">
        <f>(MPM!$Q34^2)/(9.81*MPM!$F34*(AK33^2))</f>
        <v>0.82367921718575088</v>
      </c>
      <c r="AN33" s="36">
        <f>8.1*((AM33/MPM!$AE34)^(1/6))</f>
        <v>12.630453178331765</v>
      </c>
      <c r="AO33" s="43">
        <f t="shared" si="31"/>
        <v>5.9745116748212221E-6</v>
      </c>
      <c r="AP33" s="38">
        <f>(MPM!$Q34^2)/(9.81*MPM!$F34*(AN33^2))</f>
        <v>0.82367911876413191</v>
      </c>
      <c r="AQ33" s="36">
        <f>8.1*((AP33/MPM!$AE34)^(1/6))</f>
        <v>12.630452926795792</v>
      </c>
      <c r="AR33" s="43">
        <f t="shared" si="32"/>
        <v>1.9915039781482157E-6</v>
      </c>
      <c r="AS33" s="38">
        <f>(MPM!$Q34^2)/(9.81*MPM!$F34*(AQ33^2))</f>
        <v>0.82367915157133698</v>
      </c>
      <c r="AT33" s="36">
        <f>8.1*((AS33/MPM!$AE34)^(1/6))</f>
        <v>12.630453010641116</v>
      </c>
      <c r="AU33" s="43">
        <f t="shared" si="33"/>
        <v>6.6383465028794781E-7</v>
      </c>
      <c r="AV33" s="38">
        <f>(MPM!$Q34^2)/(9.81*MPM!$F34*(AT33^2))</f>
        <v>0.82367914063560177</v>
      </c>
      <c r="AW33" s="36">
        <f>8.1*((AV33/MPM!$AE34)^(1/6))</f>
        <v>12.630452982692674</v>
      </c>
      <c r="AX33" s="43">
        <f t="shared" si="34"/>
        <v>2.2127822194031598E-7</v>
      </c>
      <c r="AY33" s="38">
        <f>(MPM!$Q34^2)/(9.81*MPM!$F34*(AW33^2))</f>
        <v>0.82367914428084688</v>
      </c>
      <c r="AZ33" s="36">
        <f>8.1*((AY33/MPM!$AE34)^(1/6))</f>
        <v>12.63045299200882</v>
      </c>
      <c r="BA33" s="43">
        <f t="shared" si="35"/>
        <v>7.3759397882981757E-8</v>
      </c>
      <c r="BB33" s="38">
        <f>(MPM!$Q34^2)/(9.81*MPM!$F34*(AZ33^2))</f>
        <v>0.8236791430657654</v>
      </c>
      <c r="BC33" s="36">
        <f>8.1*((BB33/MPM!$AE34)^(1/6))</f>
        <v>12.630452988903439</v>
      </c>
      <c r="BD33" s="43">
        <f t="shared" si="36"/>
        <v>2.458645659098644E-8</v>
      </c>
      <c r="BE33" s="38">
        <f>(MPM!$Q34^2)/(9.81*MPM!$F34*(BC33^2))</f>
        <v>0.82367914347079252</v>
      </c>
      <c r="BF33" s="36">
        <f>8.1*((BE33/MPM!$AE34)^(1/6))</f>
        <v>12.630452989938567</v>
      </c>
      <c r="BG33" s="43">
        <f t="shared" si="37"/>
        <v>8.1954902176833619E-9</v>
      </c>
      <c r="BH33" s="38">
        <f>(MPM!$Q34^2)/(9.81*MPM!$F34*(BF33^2))</f>
        <v>0.8236791433357834</v>
      </c>
      <c r="BI33" s="36">
        <f>8.1*((BH33/MPM!$AE34)^(1/6))</f>
        <v>12.630452989593524</v>
      </c>
      <c r="BJ33" s="43">
        <f t="shared" si="38"/>
        <v>2.7318347606619589E-9</v>
      </c>
      <c r="BK33" s="38">
        <f>(MPM!$Q34^2)/(9.81*MPM!$F34*(BI33^2))</f>
        <v>0.82367914338078652</v>
      </c>
      <c r="BL33" s="36">
        <f>8.1*((BK33/MPM!$AE34)^(1/6))</f>
        <v>12.630452989708537</v>
      </c>
      <c r="BM33" s="43">
        <f t="shared" si="39"/>
        <v>9.1060689885281854E-10</v>
      </c>
      <c r="BN33" s="43">
        <f t="shared" si="40"/>
        <v>5.4636702543020109E-9</v>
      </c>
    </row>
    <row r="34" spans="1:66">
      <c r="A34" s="36">
        <f>MPM!B35</f>
        <v>30</v>
      </c>
      <c r="B34" s="41">
        <f>1/(MPM!AC35^0.5)</f>
        <v>12.107854611399603</v>
      </c>
      <c r="C34" s="38">
        <f>(MPM!$Q35^2)/(9.81*MPM!$F35*(Sheet1!B34^2))</f>
        <v>0.87356968989973649</v>
      </c>
      <c r="D34" s="36">
        <f>8.1*((C34/MPM!$AE35)^(1/6))</f>
        <v>12.754854478074597</v>
      </c>
      <c r="E34" s="41">
        <f t="shared" si="19"/>
        <v>5.0725774079757411</v>
      </c>
      <c r="F34" s="38">
        <f>(MPM!$Q35^2)/(9.81*MPM!$F35*(D34^2))</f>
        <v>0.78719247823380922</v>
      </c>
      <c r="G34" s="36">
        <f>8.1*((F34/MPM!$AE35)^(1/6))</f>
        <v>12.535434861925751</v>
      </c>
      <c r="H34" s="43">
        <f t="shared" si="20"/>
        <v>1.7503949289808503</v>
      </c>
      <c r="I34" s="38">
        <f>(MPM!$Q35^2)/(9.81*MPM!$F35*(G34^2))</f>
        <v>0.81499161919298579</v>
      </c>
      <c r="J34" s="36">
        <f>8.1*((I34/MPM!$AE35)^(1/6))</f>
        <v>12.608152090476876</v>
      </c>
      <c r="K34" s="43">
        <f t="shared" si="21"/>
        <v>0.57674771076127718</v>
      </c>
      <c r="L34" s="38">
        <f>(MPM!$Q35^2)/(9.81*MPM!$F35*(J34^2))</f>
        <v>0.80561783789165697</v>
      </c>
      <c r="M34" s="36">
        <f>8.1*((L34/MPM!$AE35)^(1/6))</f>
        <v>12.583866264965851</v>
      </c>
      <c r="N34" s="43">
        <f t="shared" si="22"/>
        <v>0.19299176421350467</v>
      </c>
      <c r="O34" s="38">
        <f>(MPM!$Q35^2)/(9.81*MPM!$F35*(M34^2))</f>
        <v>0.8087303906377713</v>
      </c>
      <c r="P34" s="36">
        <f>8.1*((O34/MPM!$AE35)^(1/6))</f>
        <v>12.591956337974509</v>
      </c>
      <c r="Q34" s="43">
        <f t="shared" si="23"/>
        <v>6.424794361984959E-2</v>
      </c>
      <c r="R34" s="38">
        <f>(MPM!$Q35^2)/(9.81*MPM!$F35*(P34^2))</f>
        <v>0.80769153917453418</v>
      </c>
      <c r="S34" s="36">
        <f>8.1*((R34/MPM!$AE35)^(1/6))</f>
        <v>12.58925906924256</v>
      </c>
      <c r="T34" s="43">
        <f t="shared" si="24"/>
        <v>2.1425158677829018E-2</v>
      </c>
      <c r="U34" s="38">
        <f>(MPM!$Q35^2)/(9.81*MPM!$F35*(S34^2))</f>
        <v>0.80803767463838971</v>
      </c>
      <c r="V34" s="36">
        <f>8.1*((U34/MPM!$AE35)^(1/6))</f>
        <v>12.590158094617061</v>
      </c>
      <c r="W34" s="43">
        <f t="shared" si="25"/>
        <v>7.1406996460634557E-3</v>
      </c>
      <c r="X34" s="38">
        <f>(MPM!$Q35^2)/(9.81*MPM!$F35*(V34^2))</f>
        <v>0.80792227967179475</v>
      </c>
      <c r="Y34" s="36">
        <f>8.1*((X34/MPM!$AE35)^(1/6))</f>
        <v>12.589858412358979</v>
      </c>
      <c r="Z34" s="43">
        <f t="shared" si="26"/>
        <v>2.3803465318464638E-3</v>
      </c>
      <c r="AA34" s="38">
        <f>(MPM!$Q35^2)/(9.81*MPM!$F35*(Y34^2))</f>
        <v>0.80796074282949593</v>
      </c>
      <c r="AB34" s="36">
        <f>8.1*((AA34/MPM!$AE35)^(1/6))</f>
        <v>12.589958305652408</v>
      </c>
      <c r="AC34" s="43">
        <f t="shared" si="27"/>
        <v>7.9343625295588249E-4</v>
      </c>
      <c r="AD34" s="38">
        <f>(MPM!$Q35^2)/(9.81*MPM!$F35*(AB34^2))</f>
        <v>0.80794792157347395</v>
      </c>
      <c r="AE34" s="36">
        <f>8.1*((AD34/MPM!$AE35)^(1/6))</f>
        <v>12.589925007799867</v>
      </c>
      <c r="AF34" s="43">
        <f t="shared" si="28"/>
        <v>2.6448014996432757E-4</v>
      </c>
      <c r="AG34" s="38">
        <f>(MPM!$Q35^2)/(9.81*MPM!$F35*(AE34^2))</f>
        <v>0.80795219530287465</v>
      </c>
      <c r="AH34" s="36">
        <f>8.1*((AG34/MPM!$AE35)^(1/6))</f>
        <v>12.58993610707426</v>
      </c>
      <c r="AI34" s="43">
        <f t="shared" si="29"/>
        <v>8.8159894533247179E-5</v>
      </c>
      <c r="AJ34" s="38">
        <f>(MPM!$Q35^2)/(9.81*MPM!$F35*(AH34^2))</f>
        <v>0.80795077072389609</v>
      </c>
      <c r="AK34" s="36">
        <f>8.1*((AJ34/MPM!$AE35)^(1/6))</f>
        <v>12.589932407315043</v>
      </c>
      <c r="AL34" s="43">
        <f t="shared" si="30"/>
        <v>2.938664877234072E-5</v>
      </c>
      <c r="AM34" s="38">
        <f>(MPM!$Q35^2)/(9.81*MPM!$F35*(AK34^2))</f>
        <v>0.80795124558327636</v>
      </c>
      <c r="AN34" s="36">
        <f>8.1*((AM34/MPM!$AE35)^(1/6))</f>
        <v>12.589933640567994</v>
      </c>
      <c r="AO34" s="43">
        <f t="shared" si="31"/>
        <v>9.7955476624110032E-6</v>
      </c>
      <c r="AP34" s="38">
        <f>(MPM!$Q35^2)/(9.81*MPM!$F35*(AN34^2))</f>
        <v>0.80795108729678544</v>
      </c>
      <c r="AQ34" s="36">
        <f>8.1*((AP34/MPM!$AE35)^(1/6))</f>
        <v>12.589933229483664</v>
      </c>
      <c r="AR34" s="43">
        <f t="shared" si="32"/>
        <v>3.2651827595165782E-6</v>
      </c>
      <c r="AS34" s="38">
        <f>(MPM!$Q35^2)/(9.81*MPM!$F35*(AQ34^2))</f>
        <v>0.80795114005894553</v>
      </c>
      <c r="AT34" s="36">
        <f>8.1*((AS34/MPM!$AE35)^(1/6))</f>
        <v>12.589933366511772</v>
      </c>
      <c r="AU34" s="43">
        <f t="shared" si="33"/>
        <v>1.0883942272168298E-6</v>
      </c>
      <c r="AV34" s="38">
        <f>(MPM!$Q35^2)/(9.81*MPM!$F35*(AT34^2))</f>
        <v>0.80795112247155842</v>
      </c>
      <c r="AW34" s="36">
        <f>8.1*((AV34/MPM!$AE35)^(1/6))</f>
        <v>12.589933320835735</v>
      </c>
      <c r="AX34" s="43">
        <f t="shared" si="34"/>
        <v>3.6279808646139625E-7</v>
      </c>
      <c r="AY34" s="38">
        <f>(MPM!$Q35^2)/(9.81*MPM!$F35*(AW34^2))</f>
        <v>0.80795112833402083</v>
      </c>
      <c r="AZ34" s="36">
        <f>8.1*((AY34/MPM!$AE35)^(1/6))</f>
        <v>12.589933336061081</v>
      </c>
      <c r="BA34" s="43">
        <f t="shared" si="35"/>
        <v>1.2093270004399914E-7</v>
      </c>
      <c r="BB34" s="38">
        <f>(MPM!$Q35^2)/(9.81*MPM!$F35*(AZ34^2))</f>
        <v>0.80795112637986666</v>
      </c>
      <c r="BC34" s="36">
        <f>8.1*((BB34/MPM!$AE35)^(1/6))</f>
        <v>12.589933330985966</v>
      </c>
      <c r="BD34" s="43">
        <f t="shared" si="36"/>
        <v>4.0310900030916065E-8</v>
      </c>
      <c r="BE34" s="38">
        <f>(MPM!$Q35^2)/(9.81*MPM!$F35*(BC34^2))</f>
        <v>0.80795112703125149</v>
      </c>
      <c r="BF34" s="36">
        <f>8.1*((BE34/MPM!$AE35)^(1/6))</f>
        <v>12.589933332677672</v>
      </c>
      <c r="BG34" s="43">
        <f t="shared" si="37"/>
        <v>1.3436976081394966E-8</v>
      </c>
      <c r="BH34" s="38">
        <f>(MPM!$Q35^2)/(9.81*MPM!$F35*(BF34^2))</f>
        <v>0.80795112681412296</v>
      </c>
      <c r="BI34" s="36">
        <f>8.1*((BH34/MPM!$AE35)^(1/6))</f>
        <v>12.589933332113768</v>
      </c>
      <c r="BJ34" s="43">
        <f t="shared" si="38"/>
        <v>4.4790108397892015E-9</v>
      </c>
      <c r="BK34" s="38">
        <f>(MPM!$Q35^2)/(9.81*MPM!$F35*(BI34^2))</f>
        <v>0.8079511268864995</v>
      </c>
      <c r="BL34" s="36">
        <f>8.1*((BK34/MPM!$AE35)^(1/6))</f>
        <v>12.589933332301738</v>
      </c>
      <c r="BM34" s="43">
        <f t="shared" si="39"/>
        <v>1.4930224256977081E-9</v>
      </c>
      <c r="BN34" s="43">
        <f t="shared" si="40"/>
        <v>8.9580355531215187E-9</v>
      </c>
    </row>
    <row r="35" spans="1:66">
      <c r="A35" s="36">
        <f>MPM!B36</f>
        <v>31</v>
      </c>
      <c r="B35" s="41">
        <f>1/(MPM!AC36^0.5)</f>
        <v>12.500407885284675</v>
      </c>
      <c r="C35" s="38">
        <f>(MPM!$Q36^2)/(9.81*MPM!$F36*(Sheet1!B35^2))</f>
        <v>0.91292217730730774</v>
      </c>
      <c r="D35" s="36">
        <f>8.1*((C35/MPM!$AE36)^(1/6))</f>
        <v>12.848868215050562</v>
      </c>
      <c r="E35" s="41">
        <f t="shared" si="19"/>
        <v>2.7119924022391073</v>
      </c>
      <c r="F35" s="38">
        <f>(MPM!$Q36^2)/(9.81*MPM!$F36*(D35^2))</f>
        <v>0.86407686252032256</v>
      </c>
      <c r="G35" s="36">
        <f>8.1*((F35/MPM!$AE36)^(1/6))</f>
        <v>12.731648635448023</v>
      </c>
      <c r="H35" s="43">
        <f t="shared" si="20"/>
        <v>0.92069442818403613</v>
      </c>
      <c r="I35" s="38">
        <f>(MPM!$Q36^2)/(9.81*MPM!$F36*(G35^2))</f>
        <v>0.88006112349177501</v>
      </c>
      <c r="J35" s="36">
        <f>8.1*((I35/MPM!$AE36)^(1/6))</f>
        <v>12.770602523366104</v>
      </c>
      <c r="K35" s="43">
        <f t="shared" si="21"/>
        <v>0.30502779995547119</v>
      </c>
      <c r="L35" s="38">
        <f>(MPM!$Q36^2)/(9.81*MPM!$F36*(J35^2))</f>
        <v>0.87470044958634874</v>
      </c>
      <c r="M35" s="36">
        <f>8.1*((L35/MPM!$AE36)^(1/6))</f>
        <v>12.75760466939894</v>
      </c>
      <c r="N35" s="43">
        <f t="shared" si="22"/>
        <v>0.10188318500212938</v>
      </c>
      <c r="O35" s="38">
        <f>(MPM!$Q36^2)/(9.81*MPM!$F36*(M35^2))</f>
        <v>0.87648370289598931</v>
      </c>
      <c r="P35" s="36">
        <f>8.1*((O35/MPM!$AE36)^(1/6))</f>
        <v>12.761935816817202</v>
      </c>
      <c r="Q35" s="43">
        <f t="shared" si="23"/>
        <v>3.3938012856590413E-2</v>
      </c>
      <c r="R35" s="38">
        <f>(MPM!$Q36^2)/(9.81*MPM!$F36*(P35^2))</f>
        <v>0.87588888154484368</v>
      </c>
      <c r="S35" s="36">
        <f>8.1*((R35/MPM!$AE36)^(1/6))</f>
        <v>12.760491937657495</v>
      </c>
      <c r="T35" s="43">
        <f t="shared" si="24"/>
        <v>1.1315231158493687E-2</v>
      </c>
      <c r="U35" s="38">
        <f>(MPM!$Q36^2)/(9.81*MPM!$F36*(S35^2))</f>
        <v>0.87608711046251608</v>
      </c>
      <c r="V35" s="36">
        <f>8.1*((U35/MPM!$AE36)^(1/6))</f>
        <v>12.760973212558731</v>
      </c>
      <c r="W35" s="43">
        <f t="shared" si="25"/>
        <v>3.7714592235251259E-3</v>
      </c>
      <c r="X35" s="38">
        <f>(MPM!$Q36^2)/(9.81*MPM!$F36*(V35^2))</f>
        <v>0.87602102917238667</v>
      </c>
      <c r="Y35" s="36">
        <f>8.1*((X35/MPM!$AE36)^(1/6))</f>
        <v>12.760812785574823</v>
      </c>
      <c r="Z35" s="43">
        <f t="shared" si="26"/>
        <v>1.257184684114994E-3</v>
      </c>
      <c r="AA35" s="38">
        <f>(MPM!$Q36^2)/(9.81*MPM!$F36*(Y35^2))</f>
        <v>0.87604305571525964</v>
      </c>
      <c r="AB35" s="36">
        <f>8.1*((AA35/MPM!$AE36)^(1/6))</f>
        <v>12.760866261012032</v>
      </c>
      <c r="AC35" s="43">
        <f t="shared" si="27"/>
        <v>4.1905804915766951E-4</v>
      </c>
      <c r="AD35" s="38">
        <f>(MPM!$Q36^2)/(9.81*MPM!$F36*(AB35^2))</f>
        <v>0.87603571347276576</v>
      </c>
      <c r="AE35" s="36">
        <f>8.1*((AD35/MPM!$AE36)^(1/6))</f>
        <v>12.760848435841398</v>
      </c>
      <c r="AF35" s="43">
        <f t="shared" si="28"/>
        <v>1.3968640661612009E-4</v>
      </c>
      <c r="AG35" s="38">
        <f>(MPM!$Q36^2)/(9.81*MPM!$F36*(AE35^2))</f>
        <v>0.87603816088009268</v>
      </c>
      <c r="AH35" s="36">
        <f>8.1*((AG35/MPM!$AE36)^(1/6))</f>
        <v>12.760854377562175</v>
      </c>
      <c r="AI35" s="43">
        <f t="shared" si="29"/>
        <v>4.6562092175121823E-5</v>
      </c>
      <c r="AJ35" s="38">
        <f>(MPM!$Q36^2)/(9.81*MPM!$F36*(AH35^2))</f>
        <v>0.87603734507689091</v>
      </c>
      <c r="AK35" s="36">
        <f>8.1*((AJ35/MPM!$AE36)^(1/6))</f>
        <v>12.760852396988275</v>
      </c>
      <c r="AL35" s="43">
        <f t="shared" si="30"/>
        <v>1.5520702213491233E-5</v>
      </c>
      <c r="AM35" s="38">
        <f>(MPM!$Q36^2)/(9.81*MPM!$F36*(AK35^2))</f>
        <v>0.87603761701120719</v>
      </c>
      <c r="AN35" s="36">
        <f>8.1*((AM35/MPM!$AE36)^(1/6))</f>
        <v>12.76085305717954</v>
      </c>
      <c r="AO35" s="43">
        <f t="shared" si="31"/>
        <v>5.1735668630720051E-6</v>
      </c>
      <c r="AP35" s="38">
        <f>(MPM!$Q36^2)/(9.81*MPM!$F36*(AN35^2))</f>
        <v>0.87603752636642573</v>
      </c>
      <c r="AQ35" s="36">
        <f>8.1*((AP35/MPM!$AE36)^(1/6))</f>
        <v>12.760852837115781</v>
      </c>
      <c r="AR35" s="43">
        <f t="shared" si="32"/>
        <v>1.724522349911284E-6</v>
      </c>
      <c r="AS35" s="38">
        <f>(MPM!$Q36^2)/(9.81*MPM!$F36*(AQ35^2))</f>
        <v>0.87603755658135174</v>
      </c>
      <c r="AT35" s="36">
        <f>8.1*((AS35/MPM!$AE36)^(1/6))</f>
        <v>12.760852910470367</v>
      </c>
      <c r="AU35" s="43">
        <f t="shared" si="33"/>
        <v>5.7484077999934207E-7</v>
      </c>
      <c r="AV35" s="38">
        <f>(MPM!$Q36^2)/(9.81*MPM!$F36*(AT35^2))</f>
        <v>0.87603754650970955</v>
      </c>
      <c r="AW35" s="36">
        <f>8.1*((AV35/MPM!$AE36)^(1/6))</f>
        <v>12.760852886018839</v>
      </c>
      <c r="AX35" s="43">
        <f t="shared" si="34"/>
        <v>1.9161359370027172E-7</v>
      </c>
      <c r="AY35" s="38">
        <f>(MPM!$Q36^2)/(9.81*MPM!$F36*(AW35^2))</f>
        <v>0.87603754986692373</v>
      </c>
      <c r="AZ35" s="36">
        <f>8.1*((AY35/MPM!$AE36)^(1/6))</f>
        <v>12.760852894169348</v>
      </c>
      <c r="BA35" s="43">
        <f t="shared" si="35"/>
        <v>6.3871197859295274E-8</v>
      </c>
      <c r="BB35" s="38">
        <f>(MPM!$Q36^2)/(9.81*MPM!$F36*(AZ35^2))</f>
        <v>0.87603754874785233</v>
      </c>
      <c r="BC35" s="36">
        <f>8.1*((BB35/MPM!$AE36)^(1/6))</f>
        <v>12.760852891452512</v>
      </c>
      <c r="BD35" s="43">
        <f t="shared" si="36"/>
        <v>2.1290399290964568E-8</v>
      </c>
      <c r="BE35" s="38">
        <f>(MPM!$Q36^2)/(9.81*MPM!$F36*(BC35^2))</f>
        <v>0.87603754912087617</v>
      </c>
      <c r="BF35" s="36">
        <f>8.1*((BE35/MPM!$AE36)^(1/6))</f>
        <v>12.760852892358123</v>
      </c>
      <c r="BG35" s="43">
        <f t="shared" si="37"/>
        <v>7.0967951230307471E-9</v>
      </c>
      <c r="BH35" s="38">
        <f>(MPM!$Q36^2)/(9.81*MPM!$F36*(BF35^2))</f>
        <v>0.87603754899653485</v>
      </c>
      <c r="BI35" s="36">
        <f>8.1*((BH35/MPM!$AE36)^(1/6))</f>
        <v>12.760852892056253</v>
      </c>
      <c r="BJ35" s="43">
        <f t="shared" si="38"/>
        <v>2.3655983743995426E-9</v>
      </c>
      <c r="BK35" s="38">
        <f>(MPM!$Q36^2)/(9.81*MPM!$F36*(BI35^2))</f>
        <v>0.87603754903798192</v>
      </c>
      <c r="BL35" s="36">
        <f>8.1*((BK35/MPM!$AE36)^(1/6))</f>
        <v>12.760852892156876</v>
      </c>
      <c r="BM35" s="43">
        <f t="shared" si="39"/>
        <v>7.8853279146029647E-10</v>
      </c>
      <c r="BN35" s="43">
        <f t="shared" si="40"/>
        <v>4.7311976576148184E-9</v>
      </c>
    </row>
    <row r="36" spans="1:66">
      <c r="A36" s="36">
        <f>MPM!B37</f>
        <v>32</v>
      </c>
      <c r="B36" s="41">
        <f>1/(MPM!AC37^0.5)</f>
        <v>12.343682433835019</v>
      </c>
      <c r="C36" s="38">
        <f>(MPM!$Q37^2)/(9.81*MPM!$F37*(Sheet1!B36^2))</f>
        <v>0.91602409513800398</v>
      </c>
      <c r="D36" s="36">
        <f>8.1*((C36/MPM!$AE37)^(1/6))</f>
        <v>12.856134227630609</v>
      </c>
      <c r="E36" s="41">
        <f t="shared" si="19"/>
        <v>3.9860488753627052</v>
      </c>
      <c r="F36" s="38">
        <f>(MPM!$Q37^2)/(9.81*MPM!$F37*(D36^2))</f>
        <v>0.84445319158149978</v>
      </c>
      <c r="G36" s="36">
        <f>8.1*((F36/MPM!$AE37)^(1/6))</f>
        <v>12.682995707173541</v>
      </c>
      <c r="H36" s="43">
        <f t="shared" si="20"/>
        <v>1.3651232284115635</v>
      </c>
      <c r="I36" s="38">
        <f>(MPM!$Q37^2)/(9.81*MPM!$F37*(G36^2))</f>
        <v>0.86766621396380506</v>
      </c>
      <c r="J36" s="36">
        <f>8.1*((I36/MPM!$AE37)^(1/6))</f>
        <v>12.740447903943524</v>
      </c>
      <c r="K36" s="43">
        <f t="shared" si="21"/>
        <v>0.45094330437315294</v>
      </c>
      <c r="L36" s="38">
        <f>(MPM!$Q37^2)/(9.81*MPM!$F37*(J36^2))</f>
        <v>0.85985849255208924</v>
      </c>
      <c r="M36" s="36">
        <f>8.1*((L36/MPM!$AE37)^(1/6))</f>
        <v>12.721268313037745</v>
      </c>
      <c r="N36" s="43">
        <f t="shared" si="22"/>
        <v>0.1507679142819594</v>
      </c>
      <c r="O36" s="38">
        <f>(MPM!$Q37^2)/(9.81*MPM!$F37*(M36^2))</f>
        <v>0.86245322852332529</v>
      </c>
      <c r="P36" s="36">
        <f>8.1*((O36/MPM!$AE37)^(1/6))</f>
        <v>12.727658299731571</v>
      </c>
      <c r="Q36" s="43">
        <f t="shared" si="23"/>
        <v>5.0205517333542019E-2</v>
      </c>
      <c r="R36" s="38">
        <f>(MPM!$Q37^2)/(9.81*MPM!$F37*(P36^2))</f>
        <v>0.86158744770248619</v>
      </c>
      <c r="S36" s="36">
        <f>8.1*((R36/MPM!$AE37)^(1/6))</f>
        <v>12.725527947609075</v>
      </c>
      <c r="T36" s="43">
        <f t="shared" si="24"/>
        <v>1.6740775952608335E-2</v>
      </c>
      <c r="U36" s="38">
        <f>(MPM!$Q37^2)/(9.81*MPM!$F37*(S36^2))</f>
        <v>0.86187594469729412</v>
      </c>
      <c r="V36" s="36">
        <f>8.1*((U36/MPM!$AE37)^(1/6))</f>
        <v>12.726238025360539</v>
      </c>
      <c r="W36" s="43">
        <f t="shared" si="25"/>
        <v>5.5796359462134413E-3</v>
      </c>
      <c r="X36" s="38">
        <f>(MPM!$Q37^2)/(9.81*MPM!$F37*(V36^2))</f>
        <v>0.86177976830047109</v>
      </c>
      <c r="Y36" s="36">
        <f>8.1*((X36/MPM!$AE37)^(1/6))</f>
        <v>12.726001328374386</v>
      </c>
      <c r="Z36" s="43">
        <f t="shared" si="26"/>
        <v>1.8599478347186174E-3</v>
      </c>
      <c r="AA36" s="38">
        <f>(MPM!$Q37^2)/(9.81*MPM!$F37*(Y36^2))</f>
        <v>0.86181182590687688</v>
      </c>
      <c r="AB36" s="36">
        <f>8.1*((AA36/MPM!$AE37)^(1/6))</f>
        <v>12.726080226880615</v>
      </c>
      <c r="AC36" s="43">
        <f t="shared" si="27"/>
        <v>6.1997492411693382E-4</v>
      </c>
      <c r="AD36" s="38">
        <f>(MPM!$Q37^2)/(9.81*MPM!$F37*(AB36^2))</f>
        <v>0.86180113990557483</v>
      </c>
      <c r="AE36" s="36">
        <f>8.1*((AD36/MPM!$AE37)^(1/6))</f>
        <v>12.726053927324189</v>
      </c>
      <c r="AF36" s="43">
        <f t="shared" si="28"/>
        <v>2.0665916218931245E-4</v>
      </c>
      <c r="AG36" s="38">
        <f>(MPM!$Q37^2)/(9.81*MPM!$F37*(AE36^2))</f>
        <v>0.86180470189128644</v>
      </c>
      <c r="AH36" s="36">
        <f>8.1*((AG36/MPM!$AE37)^(1/6))</f>
        <v>12.726062693836958</v>
      </c>
      <c r="AI36" s="43">
        <f t="shared" si="29"/>
        <v>6.8886292484542951E-5</v>
      </c>
      <c r="AJ36" s="38">
        <f>(MPM!$Q37^2)/(9.81*MPM!$F37*(AH36^2))</f>
        <v>0.86180351456108018</v>
      </c>
      <c r="AK36" s="36">
        <f>8.1*((AJ36/MPM!$AE37)^(1/6))</f>
        <v>12.726059771665366</v>
      </c>
      <c r="AL36" s="43">
        <f t="shared" si="30"/>
        <v>2.2962108029753527E-5</v>
      </c>
      <c r="AM36" s="38">
        <f>(MPM!$Q37^2)/(9.81*MPM!$F37*(AK36^2))</f>
        <v>0.86180391033763359</v>
      </c>
      <c r="AN36" s="36">
        <f>8.1*((AM36/MPM!$AE37)^(1/6))</f>
        <v>12.726060745722489</v>
      </c>
      <c r="AO36" s="43">
        <f t="shared" si="31"/>
        <v>7.6540348378216753E-6</v>
      </c>
      <c r="AP36" s="38">
        <f>(MPM!$Q37^2)/(9.81*MPM!$F37*(AN36^2))</f>
        <v>0.86180377841209577</v>
      </c>
      <c r="AQ36" s="36">
        <f>8.1*((AP36/MPM!$AE37)^(1/6))</f>
        <v>12.726060421036772</v>
      </c>
      <c r="AR36" s="43">
        <f t="shared" si="32"/>
        <v>2.5513450808262672E-6</v>
      </c>
      <c r="AS36" s="38">
        <f>(MPM!$Q37^2)/(9.81*MPM!$F37*(AQ36^2))</f>
        <v>0.86180382238727282</v>
      </c>
      <c r="AT36" s="36">
        <f>8.1*((AS36/MPM!$AE37)^(1/6))</f>
        <v>12.726060529265343</v>
      </c>
      <c r="AU36" s="43">
        <f t="shared" si="33"/>
        <v>8.5044834373718587E-7</v>
      </c>
      <c r="AV36" s="38">
        <f>(MPM!$Q37^2)/(9.81*MPM!$F37*(AT36^2))</f>
        <v>0.86180380772888021</v>
      </c>
      <c r="AW36" s="36">
        <f>8.1*((AV36/MPM!$AE37)^(1/6))</f>
        <v>12.726060493189154</v>
      </c>
      <c r="AX36" s="43">
        <f t="shared" si="34"/>
        <v>2.8348277274374082E-7</v>
      </c>
      <c r="AY36" s="38">
        <f>(MPM!$Q37^2)/(9.81*MPM!$F37*(AW36^2))</f>
        <v>0.86180381261501093</v>
      </c>
      <c r="AZ36" s="36">
        <f>8.1*((AY36/MPM!$AE37)^(1/6))</f>
        <v>12.72606050521455</v>
      </c>
      <c r="BA36" s="43">
        <f t="shared" si="35"/>
        <v>9.4494252839148989E-8</v>
      </c>
      <c r="BB36" s="38">
        <f>(MPM!$Q37^2)/(9.81*MPM!$F37*(AZ36^2))</f>
        <v>0.86180381098630077</v>
      </c>
      <c r="BC36" s="36">
        <f>8.1*((BB36/MPM!$AE37)^(1/6))</f>
        <v>12.726060501206085</v>
      </c>
      <c r="BD36" s="43">
        <f t="shared" si="36"/>
        <v>3.1498079636831309E-8</v>
      </c>
      <c r="BE36" s="38">
        <f>(MPM!$Q37^2)/(9.81*MPM!$F37*(BC36^2))</f>
        <v>0.86180381152920393</v>
      </c>
      <c r="BF36" s="36">
        <f>8.1*((BE36/MPM!$AE37)^(1/6))</f>
        <v>12.726060502542238</v>
      </c>
      <c r="BG36" s="43">
        <f t="shared" si="37"/>
        <v>1.0499341266616153E-8</v>
      </c>
      <c r="BH36" s="38">
        <f>(MPM!$Q37^2)/(9.81*MPM!$F37*(BF36^2))</f>
        <v>0.86180381134823647</v>
      </c>
      <c r="BI36" s="36">
        <f>8.1*((BH36/MPM!$AE37)^(1/6))</f>
        <v>12.726060502096855</v>
      </c>
      <c r="BJ36" s="43">
        <f t="shared" si="38"/>
        <v>3.499766463908929E-9</v>
      </c>
      <c r="BK36" s="38">
        <f>(MPM!$Q37^2)/(9.81*MPM!$F37*(BI36^2))</f>
        <v>0.86180381140855888</v>
      </c>
      <c r="BL36" s="36">
        <f>8.1*((BK36/MPM!$AE37)^(1/6))</f>
        <v>12.726060502245316</v>
      </c>
      <c r="BM36" s="43">
        <f t="shared" si="39"/>
        <v>1.1665888212893671E-9</v>
      </c>
      <c r="BN36" s="43">
        <f t="shared" si="40"/>
        <v>6.9995529066157851E-9</v>
      </c>
    </row>
    <row r="37" spans="1:66">
      <c r="A37" s="36">
        <f>MPM!B38</f>
        <v>33</v>
      </c>
      <c r="B37" s="41">
        <f>1/(MPM!AC38^0.5)</f>
        <v>9.727182283963872</v>
      </c>
      <c r="C37" s="38">
        <f>(MPM!$Q38^2)/(9.81*MPM!$F38*(Sheet1!B37^2))</f>
        <v>0.33411341813461831</v>
      </c>
      <c r="D37" s="36">
        <f>8.1*((C37/MPM!$AE38)^(1/6))</f>
        <v>10.86696416151319</v>
      </c>
      <c r="E37" s="41">
        <f t="shared" si="19"/>
        <v>10.488503142266799</v>
      </c>
      <c r="F37" s="38">
        <f>(MPM!$Q38^2)/(9.81*MPM!$F38*(D37^2))</f>
        <v>0.26770196363190552</v>
      </c>
      <c r="G37" s="36">
        <f>8.1*((F37/MPM!$AE38)^(1/6))</f>
        <v>10.472921332877471</v>
      </c>
      <c r="H37" s="43">
        <f t="shared" si="20"/>
        <v>3.7624920126030807</v>
      </c>
      <c r="I37" s="38">
        <f>(MPM!$Q38^2)/(9.81*MPM!$F38*(G37^2))</f>
        <v>0.28822546179645397</v>
      </c>
      <c r="J37" s="36">
        <f>8.1*((I37/MPM!$AE38)^(1/6))</f>
        <v>10.602655220810133</v>
      </c>
      <c r="K37" s="43">
        <f t="shared" si="21"/>
        <v>1.223598100955221</v>
      </c>
      <c r="L37" s="38">
        <f>(MPM!$Q38^2)/(9.81*MPM!$F38*(J37^2))</f>
        <v>0.28121517213700381</v>
      </c>
      <c r="M37" s="36">
        <f>8.1*((L37/MPM!$AE38)^(1/6))</f>
        <v>10.559233002484511</v>
      </c>
      <c r="N37" s="43">
        <f t="shared" si="22"/>
        <v>0.41122511753841556</v>
      </c>
      <c r="O37" s="38">
        <f>(MPM!$Q38^2)/(9.81*MPM!$F38*(M37^2))</f>
        <v>0.28353278250134228</v>
      </c>
      <c r="P37" s="36">
        <f>8.1*((O37/MPM!$AE38)^(1/6))</f>
        <v>10.573687280121828</v>
      </c>
      <c r="Q37" s="43">
        <f t="shared" si="23"/>
        <v>0.13670044568548936</v>
      </c>
      <c r="R37" s="38">
        <f>(MPM!$Q38^2)/(9.81*MPM!$F38*(P37^2))</f>
        <v>0.28275813118470133</v>
      </c>
      <c r="S37" s="36">
        <f>8.1*((R37/MPM!$AE38)^(1/6))</f>
        <v>10.568866990455877</v>
      </c>
      <c r="T37" s="43">
        <f t="shared" si="24"/>
        <v>4.5608386124106809E-2</v>
      </c>
      <c r="U37" s="38">
        <f>(MPM!$Q38^2)/(9.81*MPM!$F38*(S37^2))</f>
        <v>0.28301611284245992</v>
      </c>
      <c r="V37" s="36">
        <f>8.1*((U37/MPM!$AE38)^(1/6))</f>
        <v>10.570473509466813</v>
      </c>
      <c r="W37" s="43">
        <f t="shared" si="25"/>
        <v>1.5198174514107075E-2</v>
      </c>
      <c r="X37" s="38">
        <f>(MPM!$Q38^2)/(9.81*MPM!$F38*(V37^2))</f>
        <v>0.28293009281422798</v>
      </c>
      <c r="Y37" s="36">
        <f>8.1*((X37/MPM!$AE38)^(1/6))</f>
        <v>10.56993797599848</v>
      </c>
      <c r="Z37" s="43">
        <f t="shared" si="26"/>
        <v>5.0665715309752652E-3</v>
      </c>
      <c r="AA37" s="38">
        <f>(MPM!$Q38^2)/(9.81*MPM!$F38*(Y37^2))</f>
        <v>0.28295876325158392</v>
      </c>
      <c r="AB37" s="36">
        <f>8.1*((AA37/MPM!$AE38)^(1/6))</f>
        <v>10.570116484139879</v>
      </c>
      <c r="AC37" s="43">
        <f t="shared" si="27"/>
        <v>1.6888001344832627E-3</v>
      </c>
      <c r="AD37" s="38">
        <f>(MPM!$Q38^2)/(9.81*MPM!$F38*(AB37^2))</f>
        <v>0.28294920611633639</v>
      </c>
      <c r="AE37" s="36">
        <f>8.1*((AD37/MPM!$AE38)^(1/6))</f>
        <v>10.570056981091113</v>
      </c>
      <c r="AF37" s="43">
        <f t="shared" si="28"/>
        <v>5.6293971614352776E-4</v>
      </c>
      <c r="AG37" s="38">
        <f>(MPM!$Q38^2)/(9.81*MPM!$F38*(AE37^2))</f>
        <v>0.28295239179221854</v>
      </c>
      <c r="AH37" s="36">
        <f>8.1*((AG37/MPM!$AE38)^(1/6))</f>
        <v>10.570076815403484</v>
      </c>
      <c r="AI37" s="43">
        <f t="shared" si="29"/>
        <v>1.8764586782745655E-4</v>
      </c>
      <c r="AJ37" s="38">
        <f>(MPM!$Q38^2)/(9.81*MPM!$F38*(AH37^2))</f>
        <v>0.28295132989627264</v>
      </c>
      <c r="AK37" s="36">
        <f>8.1*((AJ37/MPM!$AE38)^(1/6))</f>
        <v>10.57007020396189</v>
      </c>
      <c r="AL37" s="43">
        <f t="shared" si="30"/>
        <v>6.2548700866992031E-5</v>
      </c>
      <c r="AM37" s="38">
        <f>(MPM!$Q38^2)/(9.81*MPM!$F38*(AK37^2))</f>
        <v>0.28295168386114516</v>
      </c>
      <c r="AN37" s="36">
        <f>8.1*((AM37/MPM!$AE38)^(1/6))</f>
        <v>10.570072407775296</v>
      </c>
      <c r="AO37" s="43">
        <f t="shared" si="31"/>
        <v>2.084955826719245E-5</v>
      </c>
      <c r="AP37" s="38">
        <f>(MPM!$Q38^2)/(9.81*MPM!$F38*(AN37^2))</f>
        <v>0.28295156587280512</v>
      </c>
      <c r="AQ37" s="36">
        <f>8.1*((AP37/MPM!$AE38)^(1/6))</f>
        <v>10.570071673170776</v>
      </c>
      <c r="AR37" s="43">
        <f t="shared" si="32"/>
        <v>6.9498537204940176E-6</v>
      </c>
      <c r="AS37" s="38">
        <f>(MPM!$Q38^2)/(9.81*MPM!$F38*(AQ37^2))</f>
        <v>0.28295160520224633</v>
      </c>
      <c r="AT37" s="36">
        <f>8.1*((AS37/MPM!$AE38)^(1/6))</f>
        <v>10.570071918038945</v>
      </c>
      <c r="AU37" s="43">
        <f t="shared" si="33"/>
        <v>2.3166178083494034E-6</v>
      </c>
      <c r="AV37" s="38">
        <f>(MPM!$Q38^2)/(9.81*MPM!$F38*(AT37^2))</f>
        <v>0.28295159209243192</v>
      </c>
      <c r="AW37" s="36">
        <f>8.1*((AV37/MPM!$AE38)^(1/6))</f>
        <v>10.57007183641622</v>
      </c>
      <c r="AX37" s="43">
        <f t="shared" si="34"/>
        <v>7.7220595888502048E-7</v>
      </c>
      <c r="AY37" s="38">
        <f>(MPM!$Q38^2)/(9.81*MPM!$F38*(AW37^2))</f>
        <v>0.28295159646237006</v>
      </c>
      <c r="AZ37" s="36">
        <f>8.1*((AY37/MPM!$AE38)^(1/6))</f>
        <v>10.570071863623797</v>
      </c>
      <c r="BA37" s="43">
        <f t="shared" si="35"/>
        <v>2.5740200243798123E-7</v>
      </c>
      <c r="BB37" s="38">
        <f>(MPM!$Q38^2)/(9.81*MPM!$F38*(AZ37^2))</f>
        <v>0.28295159500572392</v>
      </c>
      <c r="BC37" s="36">
        <f>8.1*((BB37/MPM!$AE38)^(1/6))</f>
        <v>10.570071854554604</v>
      </c>
      <c r="BD37" s="43">
        <f t="shared" si="36"/>
        <v>8.5800678756632825E-8</v>
      </c>
      <c r="BE37" s="38">
        <f>(MPM!$Q38^2)/(9.81*MPM!$F38*(BC37^2))</f>
        <v>0.28295159549127269</v>
      </c>
      <c r="BF37" s="36">
        <f>8.1*((BE37/MPM!$AE38)^(1/6))</f>
        <v>10.570071857577668</v>
      </c>
      <c r="BG37" s="43">
        <f t="shared" si="37"/>
        <v>2.8600226244031215E-8</v>
      </c>
      <c r="BH37" s="38">
        <f>(MPM!$Q38^2)/(9.81*MPM!$F38*(BF37^2))</f>
        <v>0.28295159532942304</v>
      </c>
      <c r="BI37" s="36">
        <f>8.1*((BH37/MPM!$AE38)^(1/6))</f>
        <v>10.57007185656998</v>
      </c>
      <c r="BJ37" s="43">
        <f t="shared" si="38"/>
        <v>9.5334087489192642E-9</v>
      </c>
      <c r="BK37" s="38">
        <f>(MPM!$Q38^2)/(9.81*MPM!$F38*(BI37^2))</f>
        <v>0.28295159538337294</v>
      </c>
      <c r="BL37" s="36">
        <f>8.1*((BK37/MPM!$AE38)^(1/6))</f>
        <v>10.570071856905876</v>
      </c>
      <c r="BM37" s="43">
        <f t="shared" si="39"/>
        <v>3.1778085180495348E-9</v>
      </c>
      <c r="BN37" s="43">
        <f t="shared" si="40"/>
        <v>1.9066830151560598E-8</v>
      </c>
    </row>
    <row r="38" spans="1:66">
      <c r="A38" s="36">
        <f>MPM!B39</f>
        <v>34</v>
      </c>
      <c r="B38" s="41">
        <f>1/(MPM!AC39^0.5)</f>
        <v>12.01684255914487</v>
      </c>
      <c r="C38" s="38">
        <f>(MPM!$Q39^2)/(9.81*MPM!$F39*(Sheet1!B38^2))</f>
        <v>0.71654439798150305</v>
      </c>
      <c r="D38" s="36">
        <f>8.1*((C38/MPM!$AE39)^(1/6))</f>
        <v>12.340509746964186</v>
      </c>
      <c r="E38" s="41">
        <f t="shared" si="19"/>
        <v>2.6228024162368127</v>
      </c>
      <c r="F38" s="38">
        <f>(MPM!$Q39^2)/(9.81*MPM!$F39*(D38^2))</f>
        <v>0.67945022793462095</v>
      </c>
      <c r="G38" s="36">
        <f>8.1*((F38/MPM!$AE39)^(1/6))</f>
        <v>12.231663456286617</v>
      </c>
      <c r="H38" s="43">
        <f t="shared" si="20"/>
        <v>0.8898731645663942</v>
      </c>
      <c r="I38" s="38">
        <f>(MPM!$Q39^2)/(9.81*MPM!$F39*(G38^2))</f>
        <v>0.69159652233847058</v>
      </c>
      <c r="J38" s="36">
        <f>8.1*((I38/MPM!$AE39)^(1/6))</f>
        <v>12.2678384605482</v>
      </c>
      <c r="K38" s="43">
        <f t="shared" si="21"/>
        <v>0.29487675744930408</v>
      </c>
      <c r="L38" s="38">
        <f>(MPM!$Q39^2)/(9.81*MPM!$F39*(J38^2))</f>
        <v>0.68752382113003585</v>
      </c>
      <c r="M38" s="36">
        <f>8.1*((L38/MPM!$AE39)^(1/6))</f>
        <v>12.255768253930578</v>
      </c>
      <c r="N38" s="43">
        <f t="shared" si="22"/>
        <v>9.848592407702457E-2</v>
      </c>
      <c r="O38" s="38">
        <f>(MPM!$Q39^2)/(9.81*MPM!$F39*(M38^2))</f>
        <v>0.68887871636918063</v>
      </c>
      <c r="P38" s="36">
        <f>8.1*((O38/MPM!$AE39)^(1/6))</f>
        <v>12.259790336030381</v>
      </c>
      <c r="Q38" s="43">
        <f t="shared" si="23"/>
        <v>3.2807103462306739E-2</v>
      </c>
      <c r="R38" s="38">
        <f>(MPM!$Q39^2)/(9.81*MPM!$F39*(P38^2))</f>
        <v>0.68842678820719483</v>
      </c>
      <c r="S38" s="36">
        <f>8.1*((R38/MPM!$AE39)^(1/6))</f>
        <v>12.258449495356093</v>
      </c>
      <c r="T38" s="43">
        <f t="shared" si="24"/>
        <v>1.0938093555765405E-2</v>
      </c>
      <c r="U38" s="38">
        <f>(MPM!$Q39^2)/(9.81*MPM!$F39*(S38^2))</f>
        <v>0.68857739797597706</v>
      </c>
      <c r="V38" s="36">
        <f>8.1*((U38/MPM!$AE39)^(1/6))</f>
        <v>12.258896425952688</v>
      </c>
      <c r="W38" s="43">
        <f t="shared" si="25"/>
        <v>3.6457653369950426E-3</v>
      </c>
      <c r="X38" s="38">
        <f>(MPM!$Q39^2)/(9.81*MPM!$F39*(V38^2))</f>
        <v>0.68852719105901927</v>
      </c>
      <c r="Y38" s="36">
        <f>8.1*((X38/MPM!$AE39)^(1/6))</f>
        <v>12.25874744727667</v>
      </c>
      <c r="Z38" s="43">
        <f t="shared" si="26"/>
        <v>1.2152846500717764E-3</v>
      </c>
      <c r="AA38" s="38">
        <f>(MPM!$Q39^2)/(9.81*MPM!$F39*(Y38^2))</f>
        <v>0.68854392629123817</v>
      </c>
      <c r="AB38" s="36">
        <f>8.1*((AA38/MPM!$AE39)^(1/6))</f>
        <v>12.258797106634177</v>
      </c>
      <c r="AC38" s="43">
        <f t="shared" si="27"/>
        <v>4.0509160135492419E-4</v>
      </c>
      <c r="AD38" s="38">
        <f>(MPM!$Q39^2)/(9.81*MPM!$F39*(AB38^2))</f>
        <v>0.68853834783530299</v>
      </c>
      <c r="AE38" s="36">
        <f>8.1*((AD38/MPM!$AE39)^(1/6))</f>
        <v>12.258780553492658</v>
      </c>
      <c r="AF38" s="43">
        <f t="shared" si="28"/>
        <v>1.3503089843720835E-4</v>
      </c>
      <c r="AG38" s="38">
        <f>(MPM!$Q39^2)/(9.81*MPM!$F39*(AE38^2))</f>
        <v>0.68854020731559284</v>
      </c>
      <c r="AH38" s="36">
        <f>8.1*((AG38/MPM!$AE39)^(1/6))</f>
        <v>12.258786071204012</v>
      </c>
      <c r="AI38" s="43">
        <f t="shared" si="29"/>
        <v>4.5010258947636775E-5</v>
      </c>
      <c r="AJ38" s="38">
        <f>(MPM!$Q39^2)/(9.81*MPM!$F39*(AH38^2))</f>
        <v>0.68853958748827171</v>
      </c>
      <c r="AK38" s="36">
        <f>8.1*((AJ38/MPM!$AE39)^(1/6))</f>
        <v>12.258784231966619</v>
      </c>
      <c r="AL38" s="43">
        <f t="shared" si="30"/>
        <v>1.500342414626355E-5</v>
      </c>
      <c r="AM38" s="38">
        <f>(MPM!$Q39^2)/(9.81*MPM!$F39*(AK38^2))</f>
        <v>0.68853979409731669</v>
      </c>
      <c r="AN38" s="36">
        <f>8.1*((AM38/MPM!$AE39)^(1/6))</f>
        <v>12.258784845045719</v>
      </c>
      <c r="AO38" s="43">
        <f t="shared" si="31"/>
        <v>5.0011408808053931E-6</v>
      </c>
      <c r="AP38" s="38">
        <f>(MPM!$Q39^2)/(9.81*MPM!$F39*(AN38^2))</f>
        <v>0.68853972522762819</v>
      </c>
      <c r="AQ38" s="36">
        <f>8.1*((AP38/MPM!$AE39)^(1/6))</f>
        <v>12.258784640686015</v>
      </c>
      <c r="AR38" s="43">
        <f t="shared" si="32"/>
        <v>1.6670470218700431E-6</v>
      </c>
      <c r="AS38" s="38">
        <f>(MPM!$Q39^2)/(9.81*MPM!$F39*(AQ38^2))</f>
        <v>0.68853974818419039</v>
      </c>
      <c r="AT38" s="36">
        <f>8.1*((AS38/MPM!$AE39)^(1/6))</f>
        <v>12.258784708805916</v>
      </c>
      <c r="AU38" s="43">
        <f t="shared" si="33"/>
        <v>5.5568233270535885E-7</v>
      </c>
      <c r="AV38" s="38">
        <f>(MPM!$Q39^2)/(9.81*MPM!$F39*(AT38^2))</f>
        <v>0.68853974053200295</v>
      </c>
      <c r="AW38" s="36">
        <f>8.1*((AV38/MPM!$AE39)^(1/6))</f>
        <v>12.258784686099283</v>
      </c>
      <c r="AX38" s="43">
        <f t="shared" si="34"/>
        <v>1.8522743974805143E-7</v>
      </c>
      <c r="AY38" s="38">
        <f>(MPM!$Q39^2)/(9.81*MPM!$F39*(AW38^2))</f>
        <v>0.68853974308273191</v>
      </c>
      <c r="AZ38" s="36">
        <f>8.1*((AY38/MPM!$AE39)^(1/6))</f>
        <v>12.25878469366816</v>
      </c>
      <c r="BA38" s="43">
        <f t="shared" si="35"/>
        <v>6.1742475047735548E-8</v>
      </c>
      <c r="BB38" s="38">
        <f>(MPM!$Q39^2)/(9.81*MPM!$F39*(AZ38^2))</f>
        <v>0.68853974223248904</v>
      </c>
      <c r="BC38" s="36">
        <f>8.1*((BB38/MPM!$AE39)^(1/6))</f>
        <v>12.2587846911452</v>
      </c>
      <c r="BD38" s="43">
        <f t="shared" si="36"/>
        <v>2.0580829850307814E-8</v>
      </c>
      <c r="BE38" s="38">
        <f>(MPM!$Q39^2)/(9.81*MPM!$F39*(BC38^2))</f>
        <v>0.68853974251590333</v>
      </c>
      <c r="BF38" s="36">
        <f>8.1*((BE38/MPM!$AE39)^(1/6))</f>
        <v>12.258784691986186</v>
      </c>
      <c r="BG38" s="43">
        <f t="shared" si="37"/>
        <v>6.8602717861383783E-9</v>
      </c>
      <c r="BH38" s="38">
        <f>(MPM!$Q39^2)/(9.81*MPM!$F39*(BF38^2))</f>
        <v>0.68853974242143201</v>
      </c>
      <c r="BI38" s="36">
        <f>8.1*((BH38/MPM!$AE39)^(1/6))</f>
        <v>12.258784691705859</v>
      </c>
      <c r="BJ38" s="43">
        <f t="shared" si="38"/>
        <v>2.2867427716176398E-9</v>
      </c>
      <c r="BK38" s="38">
        <f>(MPM!$Q39^2)/(9.81*MPM!$F39*(BI38^2))</f>
        <v>0.68853974245292227</v>
      </c>
      <c r="BL38" s="36">
        <f>8.1*((BK38/MPM!$AE39)^(1/6))</f>
        <v>12.258784691799301</v>
      </c>
      <c r="BM38" s="43">
        <f t="shared" si="39"/>
        <v>7.622427603731438E-10</v>
      </c>
      <c r="BN38" s="43">
        <f t="shared" si="40"/>
        <v>4.5734839845237504E-9</v>
      </c>
    </row>
    <row r="39" spans="1:66">
      <c r="A39" s="36">
        <f>MPM!B40</f>
        <v>35</v>
      </c>
      <c r="B39" s="41">
        <f>1/(MPM!AC40^0.5)</f>
        <v>9.1635058408235075</v>
      </c>
      <c r="C39" s="38">
        <f>(MPM!$Q40^2)/(9.81*MPM!$F40*(Sheet1!B39^2))</f>
        <v>5.5820311576039068E-2</v>
      </c>
      <c r="D39" s="36">
        <f>8.1*((C39/MPM!$AE40)^(1/6))</f>
        <v>10.714513139469188</v>
      </c>
      <c r="E39" s="41">
        <f t="shared" si="19"/>
        <v>14.475760853120013</v>
      </c>
      <c r="F39" s="38">
        <f>(MPM!$Q40^2)/(9.81*MPM!$F40*(D39^2))</f>
        <v>4.082918347762271E-2</v>
      </c>
      <c r="G39" s="36">
        <f>8.1*((F39/MPM!$AE40)^(1/6))</f>
        <v>10.170341006520321</v>
      </c>
      <c r="H39" s="43">
        <f t="shared" si="20"/>
        <v>5.3505790277827723</v>
      </c>
      <c r="I39" s="38">
        <f>(MPM!$Q40^2)/(9.81*MPM!$F40*(G39^2))</f>
        <v>4.5315267562255485E-2</v>
      </c>
      <c r="J39" s="36">
        <f>8.1*((I39/MPM!$AE40)^(1/6))</f>
        <v>10.348589431602658</v>
      </c>
      <c r="K39" s="43">
        <f t="shared" si="21"/>
        <v>1.7224417517038595</v>
      </c>
      <c r="L39" s="38">
        <f>(MPM!$Q40^2)/(9.81*MPM!$F40*(J39^2))</f>
        <v>4.376765354438087E-2</v>
      </c>
      <c r="M39" s="36">
        <f>8.1*((L39/MPM!$AE40)^(1/6))</f>
        <v>10.288828851427105</v>
      </c>
      <c r="N39" s="43">
        <f t="shared" si="22"/>
        <v>0.580829762439519</v>
      </c>
      <c r="O39" s="38">
        <f>(MPM!$Q40^2)/(9.81*MPM!$F40*(M39^2))</f>
        <v>4.4277561220217469E-2</v>
      </c>
      <c r="P39" s="36">
        <f>8.1*((O39/MPM!$AE40)^(1/6))</f>
        <v>10.308710601319198</v>
      </c>
      <c r="Q39" s="43">
        <f t="shared" si="23"/>
        <v>0.19286359527397026</v>
      </c>
      <c r="R39" s="38">
        <f>(MPM!$Q40^2)/(9.81*MPM!$F40*(P39^2))</f>
        <v>4.4106935323718545E-2</v>
      </c>
      <c r="S39" s="36">
        <f>8.1*((R39/MPM!$AE40)^(1/6))</f>
        <v>10.302079086266781</v>
      </c>
      <c r="T39" s="43">
        <f t="shared" si="24"/>
        <v>6.4370647874926287E-2</v>
      </c>
      <c r="U39" s="38">
        <f>(MPM!$Q40^2)/(9.81*MPM!$F40*(S39^2))</f>
        <v>4.4163737439832713E-2</v>
      </c>
      <c r="V39" s="36">
        <f>8.1*((U39/MPM!$AE40)^(1/6))</f>
        <v>10.304289117148333</v>
      </c>
      <c r="W39" s="43">
        <f t="shared" si="25"/>
        <v>2.1447679276326223E-2</v>
      </c>
      <c r="X39" s="38">
        <f>(MPM!$Q40^2)/(9.81*MPM!$F40*(V39^2))</f>
        <v>4.4144795277852575E-2</v>
      </c>
      <c r="Y39" s="36">
        <f>8.1*((X39/MPM!$AE40)^(1/6))</f>
        <v>10.303552387514834</v>
      </c>
      <c r="Z39" s="43">
        <f t="shared" si="26"/>
        <v>7.1502488247750049E-3</v>
      </c>
      <c r="AA39" s="38">
        <f>(MPM!$Q40^2)/(9.81*MPM!$F40*(Y39^2))</f>
        <v>4.415110842895862E-2</v>
      </c>
      <c r="AB39" s="36">
        <f>8.1*((AA39/MPM!$AE40)^(1/6))</f>
        <v>10.303797958206456</v>
      </c>
      <c r="AC39" s="43">
        <f t="shared" si="27"/>
        <v>2.3833026677894183E-3</v>
      </c>
      <c r="AD39" s="38">
        <f>(MPM!$Q40^2)/(9.81*MPM!$F40*(AB39^2))</f>
        <v>4.4149003944946946E-2</v>
      </c>
      <c r="AE39" s="36">
        <f>8.1*((AD39/MPM!$AE40)^(1/6))</f>
        <v>10.30371610065894</v>
      </c>
      <c r="AF39" s="43">
        <f t="shared" si="28"/>
        <v>7.9444684534937305E-4</v>
      </c>
      <c r="AG39" s="38">
        <f>(MPM!$Q40^2)/(9.81*MPM!$F40*(AE39^2))</f>
        <v>4.4149705428471575E-2</v>
      </c>
      <c r="AH39" s="36">
        <f>8.1*((AG39/MPM!$AE40)^(1/6))</f>
        <v>10.303743386435855</v>
      </c>
      <c r="AI39" s="43">
        <f t="shared" si="29"/>
        <v>2.6481421257320881E-4</v>
      </c>
      <c r="AJ39" s="38">
        <f>(MPM!$Q40^2)/(9.81*MPM!$F40*(AH39^2))</f>
        <v>4.4149471599391615E-2</v>
      </c>
      <c r="AK39" s="36">
        <f>8.1*((AJ39/MPM!$AE40)^(1/6))</f>
        <v>10.303734291168855</v>
      </c>
      <c r="AL39" s="43">
        <f t="shared" si="30"/>
        <v>8.8271560028363509E-5</v>
      </c>
      <c r="AM39" s="38">
        <f>(MPM!$Q40^2)/(9.81*MPM!$F40*(AK39^2))</f>
        <v>4.4149549542280668E-2</v>
      </c>
      <c r="AN39" s="36">
        <f>8.1*((AM39/MPM!$AE40)^(1/6))</f>
        <v>10.303737322923631</v>
      </c>
      <c r="AO39" s="43">
        <f t="shared" si="31"/>
        <v>2.9423836042211175E-5</v>
      </c>
      <c r="AP39" s="38">
        <f>(MPM!$Q40^2)/(9.81*MPM!$F40*(AN39^2))</f>
        <v>4.4149523561302348E-2</v>
      </c>
      <c r="AQ39" s="36">
        <f>8.1*((AP39/MPM!$AE40)^(1/6))</f>
        <v>10.303736312338607</v>
      </c>
      <c r="AR39" s="43">
        <f t="shared" si="32"/>
        <v>9.8079472633045776E-6</v>
      </c>
      <c r="AS39" s="38">
        <f>(MPM!$Q40^2)/(9.81*MPM!$F40*(AQ39^2))</f>
        <v>4.414953222162675E-2</v>
      </c>
      <c r="AT39" s="36">
        <f>8.1*((AS39/MPM!$AE40)^(1/6))</f>
        <v>10.303736649200269</v>
      </c>
      <c r="AU39" s="43">
        <f t="shared" si="33"/>
        <v>3.2693155268711119E-6</v>
      </c>
      <c r="AV39" s="38">
        <f>(MPM!$Q40^2)/(9.81*MPM!$F40*(AT39^2))</f>
        <v>4.4149529334851771E-2</v>
      </c>
      <c r="AW39" s="36">
        <f>8.1*((AV39/MPM!$AE40)^(1/6))</f>
        <v>10.303736536913048</v>
      </c>
      <c r="AX39" s="43">
        <f t="shared" si="34"/>
        <v>1.0897718599130403E-6</v>
      </c>
      <c r="AY39" s="38">
        <f>(MPM!$Q40^2)/(9.81*MPM!$F40*(AW39^2))</f>
        <v>4.4149530297110072E-2</v>
      </c>
      <c r="AZ39" s="36">
        <f>8.1*((AY39/MPM!$AE40)^(1/6))</f>
        <v>10.303736574342121</v>
      </c>
      <c r="BA39" s="43">
        <f t="shared" si="35"/>
        <v>3.6325727957147869E-7</v>
      </c>
      <c r="BB39" s="38">
        <f>(MPM!$Q40^2)/(9.81*MPM!$F40*(AZ39^2))</f>
        <v>4.4149529976357307E-2</v>
      </c>
      <c r="BC39" s="36">
        <f>8.1*((BB39/MPM!$AE40)^(1/6))</f>
        <v>10.303736561865763</v>
      </c>
      <c r="BD39" s="43">
        <f t="shared" si="36"/>
        <v>1.2108576000377716E-7</v>
      </c>
      <c r="BE39" s="38">
        <f>(MPM!$Q40^2)/(9.81*MPM!$F40*(BC39^2))</f>
        <v>4.4149530083274893E-2</v>
      </c>
      <c r="BF39" s="36">
        <f>8.1*((BE39/MPM!$AE40)^(1/6))</f>
        <v>10.303736566024549</v>
      </c>
      <c r="BG39" s="43">
        <f t="shared" si="37"/>
        <v>4.0361914238325306E-8</v>
      </c>
      <c r="BH39" s="38">
        <f>(MPM!$Q40^2)/(9.81*MPM!$F40*(BF39^2))</f>
        <v>4.41495300476357E-2</v>
      </c>
      <c r="BI39" s="36">
        <f>8.1*((BH39/MPM!$AE40)^(1/6))</f>
        <v>10.303736564638287</v>
      </c>
      <c r="BJ39" s="43">
        <f t="shared" si="38"/>
        <v>1.3453971414585196E-8</v>
      </c>
      <c r="BK39" s="38">
        <f>(MPM!$Q40^2)/(9.81*MPM!$F40*(BI39^2))</f>
        <v>4.4149530059515434E-2</v>
      </c>
      <c r="BL39" s="36">
        <f>8.1*((BK39/MPM!$AE40)^(1/6))</f>
        <v>10.303736565100376</v>
      </c>
      <c r="BM39" s="43">
        <f t="shared" si="39"/>
        <v>4.4846743779226642E-9</v>
      </c>
      <c r="BN39" s="43">
        <f t="shared" si="40"/>
        <v>2.6907949625216818E-8</v>
      </c>
    </row>
    <row r="40" spans="1:66">
      <c r="A40" s="36">
        <f>MPM!B41</f>
        <v>36</v>
      </c>
      <c r="B40" s="41">
        <f>1/(MPM!AC41^0.5)</f>
        <v>11.163607156598671</v>
      </c>
      <c r="C40" s="38">
        <f>(MPM!$Q41^2)/(9.81*MPM!$F41*(Sheet1!B40^2))</f>
        <v>6.3247172381669062E-2</v>
      </c>
      <c r="D40" s="36">
        <f>8.1*((C40/MPM!$AE41)^(1/6))</f>
        <v>10.939914254370592</v>
      </c>
      <c r="E40" s="41">
        <f t="shared" si="19"/>
        <v>2.0447409095433393</v>
      </c>
      <c r="F40" s="38">
        <f>(MPM!$Q41^2)/(9.81*MPM!$F41*(D40^2))</f>
        <v>6.5860097421160169E-2</v>
      </c>
      <c r="G40" s="36">
        <f>8.1*((F40/MPM!$AE41)^(1/6))</f>
        <v>11.013976035152563</v>
      </c>
      <c r="H40" s="43">
        <f t="shared" si="20"/>
        <v>0.67243455538302455</v>
      </c>
      <c r="I40" s="38">
        <f>(MPM!$Q41^2)/(9.81*MPM!$F41*(G40^2))</f>
        <v>6.4977343298998805E-2</v>
      </c>
      <c r="J40" s="36">
        <f>8.1*((I40/MPM!$AE41)^(1/6))</f>
        <v>10.98923323201927</v>
      </c>
      <c r="K40" s="43">
        <f t="shared" si="21"/>
        <v>0.22515495495354534</v>
      </c>
      <c r="L40" s="38">
        <f>(MPM!$Q41^2)/(9.81*MPM!$F41*(J40^2))</f>
        <v>6.5270272116110278E-2</v>
      </c>
      <c r="M40" s="36">
        <f>8.1*((L40/MPM!$AE41)^(1/6))</f>
        <v>10.997474650834073</v>
      </c>
      <c r="N40" s="43">
        <f t="shared" si="22"/>
        <v>7.4939193555478456E-2</v>
      </c>
      <c r="O40" s="38">
        <f>(MPM!$Q41^2)/(9.81*MPM!$F41*(M40^2))</f>
        <v>6.5172482740019119E-2</v>
      </c>
      <c r="P40" s="36">
        <f>8.1*((O40/MPM!$AE41)^(1/6))</f>
        <v>10.99472682471521</v>
      </c>
      <c r="Q40" s="43">
        <f t="shared" si="23"/>
        <v>2.4992218203061609E-2</v>
      </c>
      <c r="R40" s="38">
        <f>(MPM!$Q41^2)/(9.81*MPM!$F41*(P40^2))</f>
        <v>6.5205062908953365E-2</v>
      </c>
      <c r="S40" s="36">
        <f>8.1*((R40/MPM!$AE41)^(1/6))</f>
        <v>10.995642690460679</v>
      </c>
      <c r="T40" s="43">
        <f t="shared" si="24"/>
        <v>8.3293516463903896E-3</v>
      </c>
      <c r="U40" s="38">
        <f>(MPM!$Q41^2)/(9.81*MPM!$F41*(S40^2))</f>
        <v>6.5194201043371813E-2</v>
      </c>
      <c r="V40" s="36">
        <f>8.1*((U40/MPM!$AE41)^(1/6))</f>
        <v>10.995337393402277</v>
      </c>
      <c r="W40" s="43">
        <f t="shared" si="25"/>
        <v>2.7766047323392667E-3</v>
      </c>
      <c r="X40" s="38">
        <f>(MPM!$Q41^2)/(9.81*MPM!$F41*(V40^2))</f>
        <v>6.519782146417627E-2</v>
      </c>
      <c r="Y40" s="36">
        <f>8.1*((X40/MPM!$AE41)^(1/6))</f>
        <v>10.995439158146549</v>
      </c>
      <c r="Z40" s="43">
        <f t="shared" si="26"/>
        <v>9.2551777885889496E-4</v>
      </c>
      <c r="AA40" s="38">
        <f>(MPM!$Q41^2)/(9.81*MPM!$F41*(Y40^2))</f>
        <v>6.5196614634902839E-2</v>
      </c>
      <c r="AB40" s="36">
        <f>8.1*((AA40/MPM!$AE41)^(1/6))</f>
        <v>10.995405236460474</v>
      </c>
      <c r="AC40" s="43">
        <f t="shared" si="27"/>
        <v>3.085078298224567E-4</v>
      </c>
      <c r="AD40" s="38">
        <f>(MPM!$Q41^2)/(9.81*MPM!$F41*(AB40^2))</f>
        <v>6.5197016908845218E-2</v>
      </c>
      <c r="AE40" s="36">
        <f>8.1*((AD40/MPM!$AE41)^(1/6))</f>
        <v>10.995416543677537</v>
      </c>
      <c r="AF40" s="43">
        <f t="shared" si="28"/>
        <v>1.0283573176322655E-4</v>
      </c>
      <c r="AG40" s="38">
        <f>(MPM!$Q41^2)/(9.81*MPM!$F41*(AE40^2))</f>
        <v>6.5196882817255317E-2</v>
      </c>
      <c r="AH40" s="36">
        <f>8.1*((AG40/MPM!$AE41)^(1/6))</f>
        <v>10.995412774603892</v>
      </c>
      <c r="AI40" s="43">
        <f t="shared" si="29"/>
        <v>3.4278600744242085E-5</v>
      </c>
      <c r="AJ40" s="38">
        <f>(MPM!$Q41^2)/(9.81*MPM!$F41*(AH40^2))</f>
        <v>6.5196927514421299E-2</v>
      </c>
      <c r="AK40" s="36">
        <f>8.1*((AJ40/MPM!$AE41)^(1/6))</f>
        <v>10.99541403096163</v>
      </c>
      <c r="AL40" s="43">
        <f t="shared" si="30"/>
        <v>1.1426197633910333E-5</v>
      </c>
      <c r="AM40" s="38">
        <f>(MPM!$Q41^2)/(9.81*MPM!$F41*(AK40^2))</f>
        <v>6.5196912615362576E-2</v>
      </c>
      <c r="AN40" s="36">
        <f>8.1*((AM40/MPM!$AE41)^(1/6))</f>
        <v>10.995413612175701</v>
      </c>
      <c r="AO40" s="43">
        <f t="shared" si="31"/>
        <v>3.8087328351001344E-6</v>
      </c>
      <c r="AP40" s="38">
        <f>(MPM!$Q41^2)/(9.81*MPM!$F41*(AN40^2))</f>
        <v>6.51969175817151E-2</v>
      </c>
      <c r="AQ40" s="36">
        <f>8.1*((AP40/MPM!$AE41)^(1/6))</f>
        <v>10.995413751771009</v>
      </c>
      <c r="AR40" s="43">
        <f t="shared" si="32"/>
        <v>1.2695775794263379E-6</v>
      </c>
      <c r="AS40" s="38">
        <f>(MPM!$Q41^2)/(9.81*MPM!$F41*(AQ40^2))</f>
        <v>6.5196915926264212E-2</v>
      </c>
      <c r="AT40" s="36">
        <f>8.1*((AS40/MPM!$AE41)^(1/6))</f>
        <v>10.99541370523924</v>
      </c>
      <c r="AU40" s="43">
        <f t="shared" si="33"/>
        <v>4.2319252288122032E-7</v>
      </c>
      <c r="AV40" s="38">
        <f>(MPM!$Q41^2)/(9.81*MPM!$F41*(AT40^2))</f>
        <v>6.5196916478081152E-2</v>
      </c>
      <c r="AW40" s="36">
        <f>8.1*((AV40/MPM!$AE41)^(1/6))</f>
        <v>10.995413720749829</v>
      </c>
      <c r="AX40" s="43">
        <f t="shared" si="34"/>
        <v>1.4106416332445958E-7</v>
      </c>
      <c r="AY40" s="38">
        <f>(MPM!$Q41^2)/(9.81*MPM!$F41*(AW40^2))</f>
        <v>6.519691629414219E-2</v>
      </c>
      <c r="AZ40" s="36">
        <f>8.1*((AY40/MPM!$AE41)^(1/6))</f>
        <v>10.995413715579634</v>
      </c>
      <c r="BA40" s="43">
        <f t="shared" si="35"/>
        <v>4.7021377026640423E-8</v>
      </c>
      <c r="BB40" s="38">
        <f>(MPM!$Q41^2)/(9.81*MPM!$F41*(AZ40^2))</f>
        <v>6.5196916355455173E-2</v>
      </c>
      <c r="BC40" s="36">
        <f>8.1*((BB40/MPM!$AE41)^(1/6))</f>
        <v>10.99541371730303</v>
      </c>
      <c r="BD40" s="43">
        <f t="shared" si="36"/>
        <v>1.5673776184322499E-8</v>
      </c>
      <c r="BE40" s="38">
        <f>(MPM!$Q41^2)/(9.81*MPM!$F41*(BC40^2))</f>
        <v>6.5196916335017535E-2</v>
      </c>
      <c r="BF40" s="36">
        <f>8.1*((BE40/MPM!$AE41)^(1/6))</f>
        <v>10.995413716728565</v>
      </c>
      <c r="BG40" s="43">
        <f t="shared" si="37"/>
        <v>5.2245866765690283E-9</v>
      </c>
      <c r="BH40" s="38">
        <f>(MPM!$Q41^2)/(9.81*MPM!$F41*(BF40^2))</f>
        <v>6.5196916341830072E-2</v>
      </c>
      <c r="BI40" s="36">
        <f>8.1*((BH40/MPM!$AE41)^(1/6))</f>
        <v>10.995413716920055</v>
      </c>
      <c r="BJ40" s="43">
        <f t="shared" si="38"/>
        <v>1.741539662448882E-9</v>
      </c>
      <c r="BK40" s="38">
        <f>(MPM!$Q41^2)/(9.81*MPM!$F41*(BI40^2))</f>
        <v>6.5196916339559208E-2</v>
      </c>
      <c r="BL40" s="36">
        <f>8.1*((BK40/MPM!$AE41)^(1/6))</f>
        <v>10.995413716856225</v>
      </c>
      <c r="BM40" s="43">
        <f t="shared" si="39"/>
        <v>5.8051322081966399E-10</v>
      </c>
      <c r="BN40" s="43">
        <f t="shared" si="40"/>
        <v>3.4830850596199475E-9</v>
      </c>
    </row>
    <row r="41" spans="1:66">
      <c r="A41" s="36">
        <f>MPM!B42</f>
        <v>37</v>
      </c>
      <c r="B41" s="41">
        <f>1/(MPM!AC42^0.5)</f>
        <v>11.525898579357474</v>
      </c>
      <c r="C41" s="38">
        <f>(MPM!$Q42^2)/(9.81*MPM!$F42*(Sheet1!B41^2))</f>
        <v>6.8288201192611697E-2</v>
      </c>
      <c r="D41" s="36">
        <f>8.1*((C41/MPM!$AE42)^(1/6))</f>
        <v>11.080635729067334</v>
      </c>
      <c r="E41" s="41">
        <f t="shared" si="19"/>
        <v>4.0183872223333008</v>
      </c>
      <c r="F41" s="38">
        <f>(MPM!$Q42^2)/(9.81*MPM!$F42*(D41^2))</f>
        <v>7.3886637829716093E-2</v>
      </c>
      <c r="G41" s="36">
        <f>8.1*((F41/MPM!$AE42)^(1/6))</f>
        <v>11.227111863163787</v>
      </c>
      <c r="H41" s="43">
        <f t="shared" si="20"/>
        <v>1.3046644219965586</v>
      </c>
      <c r="I41" s="38">
        <f>(MPM!$Q42^2)/(9.81*MPM!$F42*(G41^2))</f>
        <v>7.1971269085514988E-2</v>
      </c>
      <c r="J41" s="36">
        <f>8.1*((I41/MPM!$AE42)^(1/6))</f>
        <v>11.178072596798826</v>
      </c>
      <c r="K41" s="43">
        <f t="shared" si="21"/>
        <v>0.43870949969500705</v>
      </c>
      <c r="L41" s="38">
        <f>(MPM!$Q42^2)/(9.81*MPM!$F42*(J41^2))</f>
        <v>7.2604143876981816E-2</v>
      </c>
      <c r="M41" s="36">
        <f>8.1*((L41/MPM!$AE42)^(1/6))</f>
        <v>11.194395172576739</v>
      </c>
      <c r="N41" s="43">
        <f t="shared" si="22"/>
        <v>0.14581025170434397</v>
      </c>
      <c r="O41" s="38">
        <f>(MPM!$Q42^2)/(9.81*MPM!$F42*(M41^2))</f>
        <v>7.2392569668092516E-2</v>
      </c>
      <c r="P41" s="36">
        <f>8.1*((O41/MPM!$AE42)^(1/6))</f>
        <v>11.188951667396665</v>
      </c>
      <c r="Q41" s="43">
        <f t="shared" si="23"/>
        <v>4.8650716723847971E-2</v>
      </c>
      <c r="R41" s="38">
        <f>(MPM!$Q42^2)/(9.81*MPM!$F42*(P41^2))</f>
        <v>7.2463025810630313E-2</v>
      </c>
      <c r="S41" s="36">
        <f>8.1*((R41/MPM!$AE42)^(1/6))</f>
        <v>11.19076587494683</v>
      </c>
      <c r="T41" s="43">
        <f t="shared" si="24"/>
        <v>1.6211647803539241E-2</v>
      </c>
      <c r="U41" s="38">
        <f>(MPM!$Q42^2)/(9.81*MPM!$F42*(S41^2))</f>
        <v>7.2439532814021212E-2</v>
      </c>
      <c r="V41" s="36">
        <f>8.1*((U41/MPM!$AE42)^(1/6))</f>
        <v>11.190161106414617</v>
      </c>
      <c r="W41" s="43">
        <f t="shared" si="25"/>
        <v>5.4044667137665547E-3</v>
      </c>
      <c r="X41" s="38">
        <f>(MPM!$Q42^2)/(9.81*MPM!$F42*(V41^2))</f>
        <v>7.2447362966481563E-2</v>
      </c>
      <c r="Y41" s="36">
        <f>8.1*((X41/MPM!$AE42)^(1/6))</f>
        <v>11.190362692293851</v>
      </c>
      <c r="Z41" s="43">
        <f t="shared" si="26"/>
        <v>1.8014240000684733E-3</v>
      </c>
      <c r="AA41" s="38">
        <f>(MPM!$Q42^2)/(9.81*MPM!$F42*(Y41^2))</f>
        <v>7.2444752821623867E-2</v>
      </c>
      <c r="AB41" s="36">
        <f>8.1*((AA41/MPM!$AE42)^(1/6))</f>
        <v>11.190295496597278</v>
      </c>
      <c r="AC41" s="43">
        <f t="shared" si="27"/>
        <v>6.0048187819205156E-4</v>
      </c>
      <c r="AD41" s="38">
        <f>(MPM!$Q42^2)/(9.81*MPM!$F42*(AB41^2))</f>
        <v>7.2445622859460851E-2</v>
      </c>
      <c r="AE41" s="36">
        <f>8.1*((AD41/MPM!$AE42)^(1/6))</f>
        <v>11.190317895117969</v>
      </c>
      <c r="AF41" s="43">
        <f t="shared" si="28"/>
        <v>2.0015982478296121E-4</v>
      </c>
      <c r="AG41" s="38">
        <f>(MPM!$Q42^2)/(9.81*MPM!$F42*(AE41^2))</f>
        <v>7.2445332845687549E-2</v>
      </c>
      <c r="AH41" s="36">
        <f>8.1*((AG41/MPM!$AE42)^(1/6))</f>
        <v>11.190310428939425</v>
      </c>
      <c r="AI41" s="43">
        <f t="shared" si="29"/>
        <v>6.6720030620756322E-5</v>
      </c>
      <c r="AJ41" s="38">
        <f>(MPM!$Q42^2)/(9.81*MPM!$F42*(AH41^2))</f>
        <v>7.2445429516816318E-2</v>
      </c>
      <c r="AK41" s="36">
        <f>8.1*((AJ41/MPM!$AE42)^(1/6))</f>
        <v>11.190312917665052</v>
      </c>
      <c r="AL41" s="43">
        <f t="shared" si="30"/>
        <v>2.2240000308034123E-5</v>
      </c>
      <c r="AM41" s="38">
        <f>(MPM!$Q42^2)/(9.81*MPM!$F42*(AK41^2))</f>
        <v>7.2445397293092406E-2</v>
      </c>
      <c r="AN41" s="36">
        <f>8.1*((AM41/MPM!$AE42)^(1/6))</f>
        <v>11.190312088089781</v>
      </c>
      <c r="AO41" s="43">
        <f t="shared" si="31"/>
        <v>7.4133345358873249E-6</v>
      </c>
      <c r="AP41" s="38">
        <f>(MPM!$Q42^2)/(9.81*MPM!$F42*(AN41^2))</f>
        <v>7.2445408034332109E-2</v>
      </c>
      <c r="AQ41" s="36">
        <f>8.1*((AP41/MPM!$AE42)^(1/6))</f>
        <v>11.190312364614865</v>
      </c>
      <c r="AR41" s="43">
        <f t="shared" si="32"/>
        <v>2.4711113926936389E-6</v>
      </c>
      <c r="AS41" s="38">
        <f>(MPM!$Q42^2)/(9.81*MPM!$F42*(AQ41^2))</f>
        <v>7.2445404453918699E-2</v>
      </c>
      <c r="AT41" s="36">
        <f>8.1*((AS41/MPM!$AE42)^(1/6))</f>
        <v>11.190312272439838</v>
      </c>
      <c r="AU41" s="43">
        <f t="shared" si="33"/>
        <v>8.2370379376671923E-7</v>
      </c>
      <c r="AV41" s="38">
        <f>(MPM!$Q42^2)/(9.81*MPM!$F42*(AT41^2))</f>
        <v>7.2445405647389799E-2</v>
      </c>
      <c r="AW41" s="36">
        <f>8.1*((AV41/MPM!$AE42)^(1/6))</f>
        <v>11.190312303164845</v>
      </c>
      <c r="AX41" s="43">
        <f t="shared" si="34"/>
        <v>2.7456790933628493E-7</v>
      </c>
      <c r="AY41" s="38">
        <f>(MPM!$Q42^2)/(9.81*MPM!$F42*(AW41^2))</f>
        <v>7.2445405249566122E-2</v>
      </c>
      <c r="AZ41" s="36">
        <f>8.1*((AY41/MPM!$AE42)^(1/6))</f>
        <v>11.190312292923178</v>
      </c>
      <c r="BA41" s="43">
        <f t="shared" si="35"/>
        <v>9.1522620655132646E-8</v>
      </c>
      <c r="BB41" s="38">
        <f>(MPM!$Q42^2)/(9.81*MPM!$F42*(AZ41^2))</f>
        <v>7.2445405382173977E-2</v>
      </c>
      <c r="BC41" s="36">
        <f>8.1*((BB41/MPM!$AE42)^(1/6))</f>
        <v>11.190312296337066</v>
      </c>
      <c r="BD41" s="43">
        <f t="shared" si="36"/>
        <v>3.0507529626364079E-8</v>
      </c>
      <c r="BE41" s="38">
        <f>(MPM!$Q42^2)/(9.81*MPM!$F42*(BC41^2))</f>
        <v>7.2445405337971377E-2</v>
      </c>
      <c r="BF41" s="36">
        <f>8.1*((BE41/MPM!$AE42)^(1/6))</f>
        <v>11.190312295199103</v>
      </c>
      <c r="BG41" s="43">
        <f t="shared" si="37"/>
        <v>1.016917654315548E-8</v>
      </c>
      <c r="BH41" s="38">
        <f>(MPM!$Q42^2)/(9.81*MPM!$F42*(BF41^2))</f>
        <v>7.2445405352705577E-2</v>
      </c>
      <c r="BI41" s="36">
        <f>8.1*((BH41/MPM!$AE42)^(1/6))</f>
        <v>11.190312295578424</v>
      </c>
      <c r="BJ41" s="43">
        <f t="shared" si="38"/>
        <v>3.3897308056234462E-9</v>
      </c>
      <c r="BK41" s="38">
        <f>(MPM!$Q42^2)/(9.81*MPM!$F42*(BI41^2))</f>
        <v>7.2445405347794173E-2</v>
      </c>
      <c r="BL41" s="36">
        <f>8.1*((BK41/MPM!$AE42)^(1/6))</f>
        <v>11.190312295451983</v>
      </c>
      <c r="BM41" s="43">
        <f t="shared" si="39"/>
        <v>1.1299155599071043E-9</v>
      </c>
      <c r="BN41" s="43">
        <f t="shared" si="40"/>
        <v>6.7794563268135688E-9</v>
      </c>
    </row>
    <row r="42" spans="1:66">
      <c r="A42" s="36">
        <f>MPM!B43</f>
        <v>38</v>
      </c>
      <c r="B42" s="41">
        <f>1/(MPM!AC43^0.5)</f>
        <v>10.53993442421865</v>
      </c>
      <c r="C42" s="38">
        <f>(MPM!$Q43^2)/(9.81*MPM!$F43*(Sheet1!B42^2))</f>
        <v>6.0623624545810662E-2</v>
      </c>
      <c r="D42" s="36">
        <f>8.1*((C42/MPM!$AE43)^(1/6))</f>
        <v>10.862940033022733</v>
      </c>
      <c r="E42" s="41">
        <f t="shared" si="19"/>
        <v>2.973463977727612</v>
      </c>
      <c r="F42" s="38">
        <f>(MPM!$Q43^2)/(9.81*MPM!$F43*(D42^2))</f>
        <v>5.7071981575142199E-2</v>
      </c>
      <c r="G42" s="36">
        <f>8.1*((F42/MPM!$AE43)^(1/6))</f>
        <v>10.754186349079808</v>
      </c>
      <c r="H42" s="43">
        <f t="shared" si="20"/>
        <v>1.0112683601789281</v>
      </c>
      <c r="I42" s="38">
        <f>(MPM!$Q43^2)/(9.81*MPM!$F43*(G42^2))</f>
        <v>5.8232119903898601E-2</v>
      </c>
      <c r="J42" s="36">
        <f>8.1*((I42/MPM!$AE43)^(1/6))</f>
        <v>10.790316059933733</v>
      </c>
      <c r="K42" s="43">
        <f t="shared" si="21"/>
        <v>0.33483459291875167</v>
      </c>
      <c r="L42" s="38">
        <f>(MPM!$Q43^2)/(9.81*MPM!$F43*(J42^2))</f>
        <v>5.7842810205422854E-2</v>
      </c>
      <c r="M42" s="36">
        <f>8.1*((L42/MPM!$AE43)^(1/6))</f>
        <v>10.778259356281296</v>
      </c>
      <c r="N42" s="43">
        <f t="shared" si="22"/>
        <v>0.11186132430011261</v>
      </c>
      <c r="O42" s="38">
        <f>(MPM!$Q43^2)/(9.81*MPM!$F43*(M42^2))</f>
        <v>5.7972290050892397E-2</v>
      </c>
      <c r="P42" s="36">
        <f>8.1*((O42/MPM!$AE43)^(1/6))</f>
        <v>10.782276759897305</v>
      </c>
      <c r="Q42" s="43">
        <f t="shared" si="23"/>
        <v>3.7259325701517999E-2</v>
      </c>
      <c r="R42" s="38">
        <f>(MPM!$Q43^2)/(9.81*MPM!$F43*(P42^2))</f>
        <v>5.7929097930204801E-2</v>
      </c>
      <c r="S42" s="36">
        <f>8.1*((R42/MPM!$AE43)^(1/6))</f>
        <v>10.780937459006699</v>
      </c>
      <c r="T42" s="43">
        <f t="shared" si="24"/>
        <v>1.2422861144487207E-2</v>
      </c>
      <c r="U42" s="38">
        <f>(MPM!$Q43^2)/(9.81*MPM!$F43*(S42^2))</f>
        <v>5.7943491727006212E-2</v>
      </c>
      <c r="V42" s="36">
        <f>8.1*((U42/MPM!$AE43)^(1/6))</f>
        <v>10.781383874151569</v>
      </c>
      <c r="W42" s="43">
        <f t="shared" si="25"/>
        <v>4.1406107980260639E-3</v>
      </c>
      <c r="X42" s="38">
        <f>(MPM!$Q43^2)/(9.81*MPM!$F43*(V42^2))</f>
        <v>5.7938693397397947E-2</v>
      </c>
      <c r="Y42" s="36">
        <f>8.1*((X42/MPM!$AE43)^(1/6))</f>
        <v>10.781235067049419</v>
      </c>
      <c r="Z42" s="43">
        <f t="shared" si="26"/>
        <v>1.3802416998087246E-3</v>
      </c>
      <c r="AA42" s="38">
        <f>(MPM!$Q43^2)/(9.81*MPM!$F43*(Y42^2))</f>
        <v>5.7940292796448842E-2</v>
      </c>
      <c r="AB42" s="36">
        <f>8.1*((AA42/MPM!$AE43)^(1/6))</f>
        <v>10.781284669188594</v>
      </c>
      <c r="AC42" s="43">
        <f t="shared" si="27"/>
        <v>4.6007633317080688E-4</v>
      </c>
      <c r="AD42" s="38">
        <f>(MPM!$Q43^2)/(9.81*MPM!$F43*(AB42^2))</f>
        <v>5.793975965852622E-2</v>
      </c>
      <c r="AE42" s="36">
        <f>8.1*((AD42/MPM!$AE43)^(1/6))</f>
        <v>10.781268135116845</v>
      </c>
      <c r="AF42" s="43">
        <f t="shared" si="28"/>
        <v>1.5335924811301835E-4</v>
      </c>
      <c r="AG42" s="38">
        <f>(MPM!$Q43^2)/(9.81*MPM!$F43*(AE42^2))</f>
        <v>5.793993737062203E-2</v>
      </c>
      <c r="AH42" s="36">
        <f>8.1*((AG42/MPM!$AE43)^(1/6))</f>
        <v>10.781273646471277</v>
      </c>
      <c r="AI42" s="43">
        <f t="shared" si="29"/>
        <v>5.1119697107306067E-5</v>
      </c>
      <c r="AJ42" s="38">
        <f>(MPM!$Q43^2)/(9.81*MPM!$F43*(AH42^2))</f>
        <v>5.793987813319619E-2</v>
      </c>
      <c r="AK42" s="36">
        <f>8.1*((AJ42/MPM!$AE43)^(1/6))</f>
        <v>10.78127180935282</v>
      </c>
      <c r="AL42" s="43">
        <f t="shared" si="30"/>
        <v>1.7039904844675689E-5</v>
      </c>
      <c r="AM42" s="38">
        <f>(MPM!$Q43^2)/(9.81*MPM!$F43*(AK42^2))</f>
        <v>5.7939897878998073E-2</v>
      </c>
      <c r="AN42" s="36">
        <f>8.1*((AM42/MPM!$AE43)^(1/6))</f>
        <v>10.781272421725603</v>
      </c>
      <c r="AO42" s="43">
        <f t="shared" si="31"/>
        <v>5.6799676294118232E-6</v>
      </c>
      <c r="AP42" s="38">
        <f>(MPM!$Q43^2)/(9.81*MPM!$F43*(AN42^2))</f>
        <v>5.7939891297063381E-2</v>
      </c>
      <c r="AQ42" s="36">
        <f>8.1*((AP42/MPM!$AE43)^(1/6))</f>
        <v>10.781272217601339</v>
      </c>
      <c r="AR42" s="43">
        <f t="shared" si="32"/>
        <v>1.8933226064445104E-6</v>
      </c>
      <c r="AS42" s="38">
        <f>(MPM!$Q43^2)/(9.81*MPM!$F43*(AQ42^2))</f>
        <v>5.7939893491041519E-2</v>
      </c>
      <c r="AT42" s="36">
        <f>8.1*((AS42/MPM!$AE43)^(1/6))</f>
        <v>10.781272285642759</v>
      </c>
      <c r="AU42" s="43">
        <f t="shared" si="33"/>
        <v>6.3110751502221717E-7</v>
      </c>
      <c r="AV42" s="38">
        <f>(MPM!$Q43^2)/(9.81*MPM!$F43*(AT42^2))</f>
        <v>5.7939892759715471E-2</v>
      </c>
      <c r="AW42" s="36">
        <f>8.1*((AV42/MPM!$AE43)^(1/6))</f>
        <v>10.781272262962286</v>
      </c>
      <c r="AX42" s="43">
        <f t="shared" si="34"/>
        <v>2.1036916662451783E-7</v>
      </c>
      <c r="AY42" s="38">
        <f>(MPM!$Q43^2)/(9.81*MPM!$F43*(AW42^2))</f>
        <v>5.7939893003490811E-2</v>
      </c>
      <c r="AZ42" s="36">
        <f>8.1*((AY42/MPM!$AE43)^(1/6))</f>
        <v>10.781272270522443</v>
      </c>
      <c r="BA42" s="43">
        <f t="shared" si="35"/>
        <v>7.0123050000227092E-8</v>
      </c>
      <c r="BB42" s="38">
        <f>(MPM!$Q43^2)/(9.81*MPM!$F43*(AZ42^2))</f>
        <v>5.7939892922232367E-2</v>
      </c>
      <c r="BC42" s="36">
        <f>8.1*((BB42/MPM!$AE43)^(1/6))</f>
        <v>10.781272268002391</v>
      </c>
      <c r="BD42" s="43">
        <f t="shared" si="36"/>
        <v>2.3374344513432881E-8</v>
      </c>
      <c r="BE42" s="38">
        <f>(MPM!$Q43^2)/(9.81*MPM!$F43*(BC42^2))</f>
        <v>5.7939892949318519E-2</v>
      </c>
      <c r="BF42" s="36">
        <f>8.1*((BE42/MPM!$AE43)^(1/6))</f>
        <v>10.781272268842409</v>
      </c>
      <c r="BG42" s="43">
        <f t="shared" si="37"/>
        <v>7.7914536626436459E-9</v>
      </c>
      <c r="BH42" s="38">
        <f>(MPM!$Q43^2)/(9.81*MPM!$F43*(BF42^2))</f>
        <v>5.793989294028979E-2</v>
      </c>
      <c r="BI42" s="36">
        <f>8.1*((BH42/MPM!$AE43)^(1/6))</f>
        <v>10.781272268562404</v>
      </c>
      <c r="BJ42" s="43">
        <f t="shared" si="38"/>
        <v>2.5971457288422467E-9</v>
      </c>
      <c r="BK42" s="38">
        <f>(MPM!$Q43^2)/(9.81*MPM!$F43*(BI42^2))</f>
        <v>5.7939892943299355E-2</v>
      </c>
      <c r="BL42" s="36">
        <f>8.1*((BK42/MPM!$AE43)^(1/6))</f>
        <v>10.781272268655739</v>
      </c>
      <c r="BM42" s="43">
        <f t="shared" si="39"/>
        <v>8.6571524293992095E-10</v>
      </c>
      <c r="BN42" s="43">
        <f t="shared" si="40"/>
        <v>5.1942878502096191E-9</v>
      </c>
    </row>
    <row r="43" spans="1:66">
      <c r="A43" s="36">
        <f>MPM!B44</f>
        <v>39</v>
      </c>
      <c r="B43" s="41">
        <f>1/(MPM!AC44^0.5)</f>
        <v>10.227970601710345</v>
      </c>
      <c r="C43" s="38">
        <f>(MPM!$Q44^2)/(9.81*MPM!$F44*(Sheet1!B43^2))</f>
        <v>5.5910407333102874E-2</v>
      </c>
      <c r="D43" s="36">
        <f>8.1*((C43/MPM!$AE44)^(1/6))</f>
        <v>10.717393463812815</v>
      </c>
      <c r="E43" s="41">
        <f t="shared" si="19"/>
        <v>4.566622133963846</v>
      </c>
      <c r="F43" s="38">
        <f>(MPM!$Q44^2)/(9.81*MPM!$F44*(D43^2))</f>
        <v>5.092056903449247E-2</v>
      </c>
      <c r="G43" s="36">
        <f>8.1*((F43/MPM!$AE44)^(1/6))</f>
        <v>10.551704178739481</v>
      </c>
      <c r="H43" s="43">
        <f t="shared" si="20"/>
        <v>1.5702609006721384</v>
      </c>
      <c r="I43" s="38">
        <f>(MPM!$Q44^2)/(9.81*MPM!$F44*(G43^2))</f>
        <v>5.2532296189353345E-2</v>
      </c>
      <c r="J43" s="36">
        <f>8.1*((I43/MPM!$AE44)^(1/6))</f>
        <v>10.606647352418511</v>
      </c>
      <c r="K43" s="43">
        <f t="shared" si="21"/>
        <v>0.51800698046684801</v>
      </c>
      <c r="L43" s="38">
        <f>(MPM!$Q44^2)/(9.81*MPM!$F44*(J43^2))</f>
        <v>5.198946387240725E-2</v>
      </c>
      <c r="M43" s="36">
        <f>8.1*((L43/MPM!$AE44)^(1/6))</f>
        <v>10.588301246595714</v>
      </c>
      <c r="N43" s="43">
        <f t="shared" si="22"/>
        <v>0.17326769795764427</v>
      </c>
      <c r="O43" s="38">
        <f>(MPM!$Q44^2)/(9.81*MPM!$F44*(M43^2))</f>
        <v>5.2169781848055298E-2</v>
      </c>
      <c r="P43" s="36">
        <f>8.1*((O43/MPM!$AE44)^(1/6))</f>
        <v>10.594413086613137</v>
      </c>
      <c r="Q43" s="43">
        <f t="shared" si="23"/>
        <v>5.7689274218938651E-2</v>
      </c>
      <c r="R43" s="38">
        <f>(MPM!$Q44^2)/(9.81*MPM!$F44*(P43^2))</f>
        <v>5.2109606473412361E-2</v>
      </c>
      <c r="S43" s="36">
        <f>8.1*((R43/MPM!$AE44)^(1/6))</f>
        <v>10.592375414717708</v>
      </c>
      <c r="T43" s="43">
        <f t="shared" si="24"/>
        <v>1.9237157064866808E-2</v>
      </c>
      <c r="U43" s="38">
        <f>(MPM!$Q44^2)/(9.81*MPM!$F44*(S43^2))</f>
        <v>5.2129657215509606E-2</v>
      </c>
      <c r="V43" s="36">
        <f>8.1*((U43/MPM!$AE44)^(1/6))</f>
        <v>10.593054595133044</v>
      </c>
      <c r="W43" s="43">
        <f t="shared" si="25"/>
        <v>6.4115634374991917E-3</v>
      </c>
      <c r="X43" s="38">
        <f>(MPM!$Q44^2)/(9.81*MPM!$F44*(V43^2))</f>
        <v>5.2122972777720718E-2</v>
      </c>
      <c r="Y43" s="36">
        <f>8.1*((X43/MPM!$AE44)^(1/6))</f>
        <v>10.592828196822641</v>
      </c>
      <c r="Z43" s="43">
        <f t="shared" si="26"/>
        <v>2.1372791684741111E-3</v>
      </c>
      <c r="AA43" s="38">
        <f>(MPM!$Q44^2)/(9.81*MPM!$F44*(Y43^2))</f>
        <v>5.2125200828408637E-2</v>
      </c>
      <c r="AB43" s="36">
        <f>8.1*((AA43/MPM!$AE44)^(1/6))</f>
        <v>10.592903662388474</v>
      </c>
      <c r="AC43" s="43">
        <f t="shared" si="27"/>
        <v>7.1241623863398866E-4</v>
      </c>
      <c r="AD43" s="38">
        <f>(MPM!$Q44^2)/(9.81*MPM!$F44*(AB43^2))</f>
        <v>5.2124458134263925E-2</v>
      </c>
      <c r="AE43" s="36">
        <f>8.1*((AD43/MPM!$AE44)^(1/6))</f>
        <v>10.592878507140124</v>
      </c>
      <c r="AF43" s="43">
        <f t="shared" si="28"/>
        <v>2.3747320743045712E-4</v>
      </c>
      <c r="AG43" s="38">
        <f>(MPM!$Q44^2)/(9.81*MPM!$F44*(AE43^2))</f>
        <v>5.2124705697803052E-2</v>
      </c>
      <c r="AH43" s="36">
        <f>8.1*((AG43/MPM!$AE44)^(1/6))</f>
        <v>10.592886892216271</v>
      </c>
      <c r="AI43" s="43">
        <f t="shared" si="29"/>
        <v>7.9157610494949544E-5</v>
      </c>
      <c r="AJ43" s="38">
        <f>(MPM!$Q44^2)/(9.81*MPM!$F44*(AH43^2))</f>
        <v>5.2124623176492704E-2</v>
      </c>
      <c r="AK43" s="36">
        <f>8.1*((AJ43/MPM!$AE44)^(1/6))</f>
        <v>10.592884097190153</v>
      </c>
      <c r="AL43" s="43">
        <f t="shared" si="30"/>
        <v>2.6385884075225183E-5</v>
      </c>
      <c r="AM43" s="38">
        <f>(MPM!$Q44^2)/(9.81*MPM!$F44*(AK43^2))</f>
        <v>5.2124650683581623E-2</v>
      </c>
      <c r="AN43" s="36">
        <f>8.1*((AM43/MPM!$AE44)^(1/6))</f>
        <v>10.592885028865441</v>
      </c>
      <c r="AO43" s="43">
        <f t="shared" si="31"/>
        <v>8.7952931188312698E-6</v>
      </c>
      <c r="AP43" s="38">
        <f>(MPM!$Q44^2)/(9.81*MPM!$F44*(AN43^2))</f>
        <v>5.2124641514550388E-2</v>
      </c>
      <c r="AQ43" s="36">
        <f>8.1*((AP43/MPM!$AE44)^(1/6))</f>
        <v>10.592884718307003</v>
      </c>
      <c r="AR43" s="43">
        <f t="shared" si="32"/>
        <v>2.9317645371531042E-6</v>
      </c>
      <c r="AS43" s="38">
        <f>(MPM!$Q44^2)/(9.81*MPM!$F44*(AQ43^2))</f>
        <v>5.2124644570893955E-2</v>
      </c>
      <c r="AT43" s="36">
        <f>8.1*((AS43/MPM!$AE44)^(1/6))</f>
        <v>10.592884821826482</v>
      </c>
      <c r="AU43" s="43">
        <f t="shared" si="33"/>
        <v>9.7725483616743111E-7</v>
      </c>
      <c r="AV43" s="38">
        <f>(MPM!$Q44^2)/(9.81*MPM!$F44*(AT43^2))</f>
        <v>5.2124643552112729E-2</v>
      </c>
      <c r="AW43" s="36">
        <f>8.1*((AV43/MPM!$AE44)^(1/6))</f>
        <v>10.592884787319989</v>
      </c>
      <c r="AX43" s="43">
        <f t="shared" si="34"/>
        <v>3.2575161870673142E-7</v>
      </c>
      <c r="AY43" s="38">
        <f>(MPM!$Q44^2)/(9.81*MPM!$F44*(AW43^2))</f>
        <v>5.2124643891706471E-2</v>
      </c>
      <c r="AZ43" s="36">
        <f>8.1*((AY43/MPM!$AE44)^(1/6))</f>
        <v>10.592884798822153</v>
      </c>
      <c r="BA43" s="43">
        <f t="shared" si="35"/>
        <v>1.0858387278433923E-7</v>
      </c>
      <c r="BB43" s="38">
        <f>(MPM!$Q44^2)/(9.81*MPM!$F44*(AZ43^2))</f>
        <v>5.2124643778508561E-2</v>
      </c>
      <c r="BC43" s="36">
        <f>8.1*((BB43/MPM!$AE44)^(1/6))</f>
        <v>10.592884794988098</v>
      </c>
      <c r="BD43" s="43">
        <f t="shared" si="36"/>
        <v>3.6194624274546923E-8</v>
      </c>
      <c r="BE43" s="38">
        <f>(MPM!$Q44^2)/(9.81*MPM!$F44*(BC43^2))</f>
        <v>5.2124643816241198E-2</v>
      </c>
      <c r="BF43" s="36">
        <f>8.1*((BE43/MPM!$AE44)^(1/6))</f>
        <v>10.592884796266116</v>
      </c>
      <c r="BG43" s="43">
        <f t="shared" si="37"/>
        <v>1.2064869166946783E-8</v>
      </c>
      <c r="BH43" s="38">
        <f>(MPM!$Q44^2)/(9.81*MPM!$F44*(BF43^2))</f>
        <v>5.2124643803663655E-2</v>
      </c>
      <c r="BI43" s="36">
        <f>8.1*((BH43/MPM!$AE44)^(1/6))</f>
        <v>10.59288479584011</v>
      </c>
      <c r="BJ43" s="43">
        <f t="shared" si="38"/>
        <v>4.0216230558106619E-9</v>
      </c>
      <c r="BK43" s="38">
        <f>(MPM!$Q44^2)/(9.81*MPM!$F44*(BI43^2))</f>
        <v>5.2124643807856176E-2</v>
      </c>
      <c r="BL43" s="36">
        <f>8.1*((BK43/MPM!$AE44)^(1/6))</f>
        <v>10.592884795982112</v>
      </c>
      <c r="BM43" s="43">
        <f t="shared" si="39"/>
        <v>1.3405410185855836E-9</v>
      </c>
      <c r="BN43" s="43">
        <f t="shared" si="40"/>
        <v>8.0432613516915358E-9</v>
      </c>
    </row>
    <row r="44" spans="1:66">
      <c r="A44" s="36">
        <f>MPM!B45</f>
        <v>40</v>
      </c>
      <c r="B44" s="41">
        <f>1/(MPM!AC45^0.5)</f>
        <v>9.7602037632508658</v>
      </c>
      <c r="C44" s="38">
        <f>(MPM!$Q45^2)/(9.81*MPM!$F45*(Sheet1!B44^2))</f>
        <v>5.3696381469171522E-2</v>
      </c>
      <c r="D44" s="36">
        <f>8.1*((C44/MPM!$AE45)^(1/6))</f>
        <v>10.645463349197613</v>
      </c>
      <c r="E44" s="41">
        <f t="shared" si="19"/>
        <v>8.3158389344647183</v>
      </c>
      <c r="F44" s="38">
        <f>(MPM!$Q45^2)/(9.81*MPM!$F45*(D44^2))</f>
        <v>4.5137099814134898E-2</v>
      </c>
      <c r="G44" s="36">
        <f>8.1*((F44/MPM!$AE45)^(1/6))</f>
        <v>10.341796972220699</v>
      </c>
      <c r="H44" s="43">
        <f t="shared" si="20"/>
        <v>2.9363018612006946</v>
      </c>
      <c r="I44" s="38">
        <f>(MPM!$Q45^2)/(9.81*MPM!$F45*(G44^2))</f>
        <v>4.7826739432452754E-2</v>
      </c>
      <c r="J44" s="36">
        <f>8.1*((I44/MPM!$AE45)^(1/6))</f>
        <v>10.44204422067193</v>
      </c>
      <c r="K44" s="43">
        <f t="shared" si="21"/>
        <v>0.96003470520430256</v>
      </c>
      <c r="L44" s="38">
        <f>(MPM!$Q45^2)/(9.81*MPM!$F45*(J44^2))</f>
        <v>4.6912840869614919E-2</v>
      </c>
      <c r="M44" s="36">
        <f>8.1*((L44/MPM!$AE45)^(1/6))</f>
        <v>10.408520962911298</v>
      </c>
      <c r="N44" s="43">
        <f t="shared" si="22"/>
        <v>0.32207513324981268</v>
      </c>
      <c r="O44" s="38">
        <f>(MPM!$Q45^2)/(9.81*MPM!$F45*(M44^2))</f>
        <v>4.7215516697216429E-2</v>
      </c>
      <c r="P44" s="36">
        <f>8.1*((O44/MPM!$AE45)^(1/6))</f>
        <v>10.419683406909352</v>
      </c>
      <c r="Q44" s="43">
        <f t="shared" si="23"/>
        <v>0.10712843722920819</v>
      </c>
      <c r="R44" s="38">
        <f>(MPM!$Q45^2)/(9.81*MPM!$F45*(P44^2))</f>
        <v>4.7114408393779068E-2</v>
      </c>
      <c r="S44" s="36">
        <f>8.1*((R44/MPM!$AE45)^(1/6))</f>
        <v>10.415961262768459</v>
      </c>
      <c r="T44" s="43">
        <f t="shared" si="24"/>
        <v>3.5735003683217151E-2</v>
      </c>
      <c r="U44" s="38">
        <f>(MPM!$Q45^2)/(9.81*MPM!$F45*(S44^2))</f>
        <v>4.714808708139389E-2</v>
      </c>
      <c r="V44" s="36">
        <f>8.1*((U44/MPM!$AE45)^(1/6))</f>
        <v>10.417201829721607</v>
      </c>
      <c r="W44" s="43">
        <f t="shared" si="25"/>
        <v>1.1908830926257592E-2</v>
      </c>
      <c r="X44" s="38">
        <f>(MPM!$Q45^2)/(9.81*MPM!$F45*(V44^2))</f>
        <v>4.7136858178098283E-2</v>
      </c>
      <c r="Y44" s="36">
        <f>8.1*((X44/MPM!$AE45)^(1/6))</f>
        <v>10.416788290987581</v>
      </c>
      <c r="Z44" s="43">
        <f t="shared" si="26"/>
        <v>3.9699254940609822E-3</v>
      </c>
      <c r="AA44" s="38">
        <f>(MPM!$Q45^2)/(9.81*MPM!$F45*(Y44^2))</f>
        <v>4.7140600848687243E-2</v>
      </c>
      <c r="AB44" s="36">
        <f>8.1*((AA44/MPM!$AE45)^(1/6))</f>
        <v>10.416926135408165</v>
      </c>
      <c r="AC44" s="43">
        <f t="shared" si="27"/>
        <v>1.3232734761858946E-3</v>
      </c>
      <c r="AD44" s="38">
        <f>(MPM!$Q45^2)/(9.81*MPM!$F45*(AB44^2))</f>
        <v>4.7139353258806721E-2</v>
      </c>
      <c r="AE44" s="36">
        <f>8.1*((AD44/MPM!$AE45)^(1/6))</f>
        <v>10.416880187065296</v>
      </c>
      <c r="AF44" s="43">
        <f t="shared" si="28"/>
        <v>4.4109504999634823E-4</v>
      </c>
      <c r="AG44" s="38">
        <f>(MPM!$Q45^2)/(9.81*MPM!$F45*(AE44^2))</f>
        <v>4.713976911843154E-2</v>
      </c>
      <c r="AH44" s="36">
        <f>8.1*((AG44/MPM!$AE45)^(1/6))</f>
        <v>10.416895503157065</v>
      </c>
      <c r="AI44" s="43">
        <f t="shared" si="29"/>
        <v>1.4703125095608287E-4</v>
      </c>
      <c r="AJ44" s="38">
        <f>(MPM!$Q45^2)/(9.81*MPM!$F45*(AH44^2))</f>
        <v>4.7139630498148982E-2</v>
      </c>
      <c r="AK44" s="36">
        <f>8.1*((AJ44/MPM!$AE45)^(1/6))</f>
        <v>10.41689039779064</v>
      </c>
      <c r="AL44" s="43">
        <f t="shared" si="30"/>
        <v>4.9010465021422885E-5</v>
      </c>
      <c r="AM44" s="38">
        <f>(MPM!$Q45^2)/(9.81*MPM!$F45*(AK44^2))</f>
        <v>4.713967670486454E-2</v>
      </c>
      <c r="AN44" s="36">
        <f>8.1*((AM44/MPM!$AE45)^(1/6))</f>
        <v>10.416892099579171</v>
      </c>
      <c r="AO44" s="43">
        <f t="shared" si="31"/>
        <v>1.6336816338992424E-5</v>
      </c>
      <c r="AP44" s="38">
        <f>(MPM!$Q45^2)/(9.81*MPM!$F45*(AN44^2))</f>
        <v>4.7139661302620983E-2</v>
      </c>
      <c r="AQ44" s="36">
        <f>8.1*((AP44/MPM!$AE45)^(1/6))</f>
        <v>10.416891532316296</v>
      </c>
      <c r="AR44" s="43">
        <f t="shared" si="32"/>
        <v>5.4456060441406442E-6</v>
      </c>
      <c r="AS44" s="38">
        <f>(MPM!$Q45^2)/(9.81*MPM!$F45*(AQ44^2))</f>
        <v>4.7139666436701616E-2</v>
      </c>
      <c r="AT44" s="36">
        <f>8.1*((AS44/MPM!$AE45)^(1/6))</f>
        <v>10.416891721403918</v>
      </c>
      <c r="AU44" s="43">
        <f t="shared" si="33"/>
        <v>1.8152019533428702E-6</v>
      </c>
      <c r="AV44" s="38">
        <f>(MPM!$Q45^2)/(9.81*MPM!$F45*(AT44^2))</f>
        <v>4.7139664725341333E-2</v>
      </c>
      <c r="AW44" s="36">
        <f>8.1*((AV44/MPM!$AE45)^(1/6))</f>
        <v>10.416891658374709</v>
      </c>
      <c r="AX44" s="43">
        <f t="shared" si="34"/>
        <v>6.0506733281045967E-7</v>
      </c>
      <c r="AY44" s="38">
        <f>(MPM!$Q45^2)/(9.81*MPM!$F45*(AW44^2))</f>
        <v>4.7139665295794761E-2</v>
      </c>
      <c r="AZ44" s="36">
        <f>8.1*((AY44/MPM!$AE45)^(1/6))</f>
        <v>10.416891679384447</v>
      </c>
      <c r="BA44" s="43">
        <f t="shared" si="35"/>
        <v>2.0168912758269219E-7</v>
      </c>
      <c r="BB44" s="38">
        <f>(MPM!$Q45^2)/(9.81*MPM!$F45*(AZ44^2))</f>
        <v>4.7139665105643602E-2</v>
      </c>
      <c r="BC44" s="36">
        <f>8.1*((BB44/MPM!$AE45)^(1/6))</f>
        <v>10.416891672381199</v>
      </c>
      <c r="BD44" s="43">
        <f t="shared" si="36"/>
        <v>6.7229726292086394E-8</v>
      </c>
      <c r="BE44" s="38">
        <f>(MPM!$Q45^2)/(9.81*MPM!$F45*(BC44^2))</f>
        <v>4.7139665169027345E-2</v>
      </c>
      <c r="BF44" s="36">
        <f>8.1*((BE44/MPM!$AE45)^(1/6))</f>
        <v>10.416891674715616</v>
      </c>
      <c r="BG44" s="43">
        <f t="shared" si="37"/>
        <v>2.2409920127444959E-8</v>
      </c>
      <c r="BH44" s="38">
        <f>(MPM!$Q45^2)/(9.81*MPM!$F45*(BF44^2))</f>
        <v>4.7139665147899412E-2</v>
      </c>
      <c r="BI44" s="36">
        <f>8.1*((BH44/MPM!$AE45)^(1/6))</f>
        <v>10.416891673937476</v>
      </c>
      <c r="BJ44" s="43">
        <f t="shared" si="38"/>
        <v>7.4699847448111979E-9</v>
      </c>
      <c r="BK44" s="38">
        <f>(MPM!$Q45^2)/(9.81*MPM!$F45*(BI44^2))</f>
        <v>4.713966515494207E-2</v>
      </c>
      <c r="BL44" s="36">
        <f>8.1*((BK44/MPM!$AE45)^(1/6))</f>
        <v>10.416891674196858</v>
      </c>
      <c r="BM44" s="43">
        <f t="shared" si="39"/>
        <v>2.4900119675323735E-9</v>
      </c>
      <c r="BN44" s="43">
        <f t="shared" si="40"/>
        <v>1.4939983345655804E-8</v>
      </c>
    </row>
    <row r="45" spans="1:66">
      <c r="A45" s="36">
        <f>MPM!B46</f>
        <v>41</v>
      </c>
      <c r="B45" s="41">
        <f>1/(MPM!AC46^0.5)</f>
        <v>11.305473837391121</v>
      </c>
      <c r="C45" s="38">
        <f>(MPM!$Q46^2)/(9.81*MPM!$F46*(Sheet1!B45^2))</f>
        <v>0.11356859397975373</v>
      </c>
      <c r="D45" s="36">
        <f>8.1*((C45/MPM!$AE46)^(1/6))</f>
        <v>12.061003418805942</v>
      </c>
      <c r="E45" s="41">
        <f t="shared" si="19"/>
        <v>6.2642348665350083</v>
      </c>
      <c r="F45" s="38">
        <f>(MPM!$Q46^2)/(9.81*MPM!$F46*(D45^2))</f>
        <v>9.9785837470439467E-2</v>
      </c>
      <c r="G45" s="36">
        <f>8.1*((F45/MPM!$AE46)^(1/6))</f>
        <v>11.803710521062428</v>
      </c>
      <c r="H45" s="43">
        <f t="shared" si="20"/>
        <v>2.1797628574879377</v>
      </c>
      <c r="I45" s="38">
        <f>(MPM!$Q46^2)/(9.81*MPM!$F46*(G45^2))</f>
        <v>0.10418343861955755</v>
      </c>
      <c r="J45" s="36">
        <f>8.1*((I45/MPM!$AE46)^(1/6))</f>
        <v>11.888859105845297</v>
      </c>
      <c r="K45" s="43">
        <f t="shared" si="21"/>
        <v>0.71620484375161919</v>
      </c>
      <c r="L45" s="38">
        <f>(MPM!$Q46^2)/(9.81*MPM!$F46*(J45^2))</f>
        <v>0.102696449035003</v>
      </c>
      <c r="M45" s="36">
        <f>8.1*((L45/MPM!$AE46)^(1/6))</f>
        <v>11.860408213536475</v>
      </c>
      <c r="N45" s="43">
        <f t="shared" si="22"/>
        <v>0.23988122328159284</v>
      </c>
      <c r="O45" s="38">
        <f>(MPM!$Q46^2)/(9.81*MPM!$F46*(M45^2))</f>
        <v>0.10318973897761671</v>
      </c>
      <c r="P45" s="36">
        <f>8.1*((O45/MPM!$AE46)^(1/6))</f>
        <v>11.869884271245978</v>
      </c>
      <c r="Q45" s="43">
        <f t="shared" si="23"/>
        <v>7.983277252717165E-2</v>
      </c>
      <c r="R45" s="38">
        <f>(MPM!$Q46^2)/(9.81*MPM!$F46*(P45^2))</f>
        <v>0.10302504628406092</v>
      </c>
      <c r="S45" s="36">
        <f>8.1*((R45/MPM!$AE46)^(1/6))</f>
        <v>11.866724744414302</v>
      </c>
      <c r="T45" s="43">
        <f t="shared" si="24"/>
        <v>2.6625095801286747E-2</v>
      </c>
      <c r="U45" s="38">
        <f>(MPM!$Q46^2)/(9.81*MPM!$F46*(S45^2))</f>
        <v>0.10307991462200732</v>
      </c>
      <c r="V45" s="36">
        <f>8.1*((U45/MPM!$AE46)^(1/6))</f>
        <v>11.867777826569013</v>
      </c>
      <c r="W45" s="43">
        <f t="shared" si="25"/>
        <v>8.8734569360807269E-3</v>
      </c>
      <c r="X45" s="38">
        <f>(MPM!$Q46^2)/(9.81*MPM!$F46*(V45^2))</f>
        <v>0.10306162192997294</v>
      </c>
      <c r="Y45" s="36">
        <f>8.1*((X45/MPM!$AE46)^(1/6))</f>
        <v>11.867426788800843</v>
      </c>
      <c r="Z45" s="43">
        <f t="shared" si="26"/>
        <v>2.9579939646269342E-3</v>
      </c>
      <c r="AA45" s="38">
        <f>(MPM!$Q46^2)/(9.81*MPM!$F46*(Y45^2))</f>
        <v>0.10306771913326214</v>
      </c>
      <c r="AB45" s="36">
        <f>8.1*((AA45/MPM!$AE46)^(1/6))</f>
        <v>11.867543800236509</v>
      </c>
      <c r="AC45" s="43">
        <f t="shared" si="27"/>
        <v>9.8597854480876298E-4</v>
      </c>
      <c r="AD45" s="38">
        <f>(MPM!$Q46^2)/(9.81*MPM!$F46*(AB45^2))</f>
        <v>0.10306568669208734</v>
      </c>
      <c r="AE45" s="36">
        <f>8.1*((AD45/MPM!$AE46)^(1/6))</f>
        <v>11.86750479629643</v>
      </c>
      <c r="AF45" s="43">
        <f t="shared" si="28"/>
        <v>3.2866167529730733E-4</v>
      </c>
      <c r="AG45" s="38">
        <f>(MPM!$Q46^2)/(9.81*MPM!$F46*(AE45^2))</f>
        <v>0.10306636416802573</v>
      </c>
      <c r="AH45" s="36">
        <f>8.1*((AG45/MPM!$AE46)^(1/6))</f>
        <v>11.867517797595548</v>
      </c>
      <c r="AI45" s="43">
        <f t="shared" si="29"/>
        <v>1.0955365174022586E-4</v>
      </c>
      <c r="AJ45" s="38">
        <f>(MPM!$Q46^2)/(9.81*MPM!$F46*(AH45^2))</f>
        <v>0.10306613834221812</v>
      </c>
      <c r="AK45" s="36">
        <f>8.1*((AJ45/MPM!$AE46)^(1/6))</f>
        <v>11.867513463827592</v>
      </c>
      <c r="AL45" s="43">
        <f t="shared" si="30"/>
        <v>3.6517910590660122E-5</v>
      </c>
      <c r="AM45" s="38">
        <f>(MPM!$Q46^2)/(9.81*MPM!$F46*(AK45^2))</f>
        <v>0.10306621361743235</v>
      </c>
      <c r="AN45" s="36">
        <f>8.1*((AM45/MPM!$AE46)^(1/6))</f>
        <v>11.867514908416736</v>
      </c>
      <c r="AO45" s="43">
        <f t="shared" si="31"/>
        <v>1.2172633904957566E-5</v>
      </c>
      <c r="AP45" s="38">
        <f>(MPM!$Q46^2)/(9.81*MPM!$F46*(AN45^2))</f>
        <v>0.10306618852568813</v>
      </c>
      <c r="AQ45" s="36">
        <f>8.1*((AP45/MPM!$AE46)^(1/6))</f>
        <v>11.867514426887</v>
      </c>
      <c r="AR45" s="43">
        <f t="shared" si="32"/>
        <v>4.0575449742519021E-6</v>
      </c>
      <c r="AS45" s="38">
        <f>(MPM!$Q46^2)/(9.81*MPM!$F46*(AQ45^2))</f>
        <v>0.10306619688960221</v>
      </c>
      <c r="AT45" s="36">
        <f>8.1*((AS45/MPM!$AE46)^(1/6))</f>
        <v>11.86751458739691</v>
      </c>
      <c r="AU45" s="43">
        <f t="shared" si="33"/>
        <v>1.3525149531666936E-6</v>
      </c>
      <c r="AV45" s="38">
        <f>(MPM!$Q46^2)/(9.81*MPM!$F46*(AT45^2))</f>
        <v>0.10306619410163079</v>
      </c>
      <c r="AW45" s="36">
        <f>8.1*((AV45/MPM!$AE46)^(1/6))</f>
        <v>11.867514533893607</v>
      </c>
      <c r="AX45" s="43">
        <f t="shared" si="34"/>
        <v>4.5083831975478309E-7</v>
      </c>
      <c r="AY45" s="38">
        <f>(MPM!$Q46^2)/(9.81*MPM!$F46*(AW45^2))</f>
        <v>0.10306619503095459</v>
      </c>
      <c r="AZ45" s="36">
        <f>8.1*((AY45/MPM!$AE46)^(1/6))</f>
        <v>11.867514551728041</v>
      </c>
      <c r="BA45" s="43">
        <f t="shared" si="35"/>
        <v>1.5027943969242193E-7</v>
      </c>
      <c r="BB45" s="38">
        <f>(MPM!$Q46^2)/(9.81*MPM!$F46*(AZ45^2))</f>
        <v>0.10306619472117998</v>
      </c>
      <c r="BC45" s="36">
        <f>8.1*((BB45/MPM!$AE46)^(1/6))</f>
        <v>11.86751454578323</v>
      </c>
      <c r="BD45" s="43">
        <f t="shared" si="36"/>
        <v>5.0093141599823965E-8</v>
      </c>
      <c r="BE45" s="38">
        <f>(MPM!$Q46^2)/(9.81*MPM!$F46*(BC45^2))</f>
        <v>0.10306619482443817</v>
      </c>
      <c r="BF45" s="36">
        <f>8.1*((BE45/MPM!$AE46)^(1/6))</f>
        <v>11.867514547764832</v>
      </c>
      <c r="BG45" s="43">
        <f t="shared" si="37"/>
        <v>1.6697703885000041E-8</v>
      </c>
      <c r="BH45" s="38">
        <f>(MPM!$Q46^2)/(9.81*MPM!$F46*(BF45^2))</f>
        <v>0.1030661947900188</v>
      </c>
      <c r="BI45" s="36">
        <f>8.1*((BH45/MPM!$AE46)^(1/6))</f>
        <v>11.8675145471043</v>
      </c>
      <c r="BJ45" s="43">
        <f t="shared" si="38"/>
        <v>5.5658913164899929E-9</v>
      </c>
      <c r="BK45" s="38">
        <f>(MPM!$Q46^2)/(9.81*MPM!$F46*(BI45^2))</f>
        <v>0.1030661948014919</v>
      </c>
      <c r="BL45" s="36">
        <f>8.1*((BK45/MPM!$AE46)^(1/6))</f>
        <v>11.867514547324477</v>
      </c>
      <c r="BM45" s="43">
        <f t="shared" si="39"/>
        <v>1.855297105462243E-9</v>
      </c>
      <c r="BN45" s="43">
        <f t="shared" si="40"/>
        <v>1.113177824186202E-8</v>
      </c>
    </row>
    <row r="46" spans="1:66">
      <c r="A46" s="36">
        <f>MPM!B47</f>
        <v>42</v>
      </c>
      <c r="B46" s="41">
        <f>1/(MPM!AC47^0.5)</f>
        <v>11.261962160060584</v>
      </c>
      <c r="C46" s="38">
        <f>(MPM!$Q47^2)/(9.81*MPM!$F47*(Sheet1!B46^2))</f>
        <v>0.12188972661405016</v>
      </c>
      <c r="D46" s="36">
        <f>8.1*((C46/MPM!$AE47)^(1/6))</f>
        <v>12.203982687403862</v>
      </c>
      <c r="E46" s="41">
        <f t="shared" si="19"/>
        <v>7.7189598795118632</v>
      </c>
      <c r="F46" s="38">
        <f>(MPM!$Q47^2)/(9.81*MPM!$F47*(D46^2))</f>
        <v>0.10379873595800683</v>
      </c>
      <c r="G46" s="36">
        <f>8.1*((F46/MPM!$AE47)^(1/6))</f>
        <v>11.881531120050518</v>
      </c>
      <c r="H46" s="43">
        <f t="shared" si="20"/>
        <v>2.7138890105602225</v>
      </c>
      <c r="I46" s="38">
        <f>(MPM!$Q47^2)/(9.81*MPM!$F47*(G46^2))</f>
        <v>0.1095091507127148</v>
      </c>
      <c r="J46" s="36">
        <f>8.1*((I46/MPM!$AE47)^(1/6))</f>
        <v>11.988057044906281</v>
      </c>
      <c r="K46" s="43">
        <f t="shared" si="21"/>
        <v>0.88860041670410528</v>
      </c>
      <c r="L46" s="38">
        <f>(MPM!$Q47^2)/(9.81*MPM!$F47*(J46^2))</f>
        <v>0.10757160013331145</v>
      </c>
      <c r="M46" s="36">
        <f>8.1*((L46/MPM!$AE47)^(1/6))</f>
        <v>11.952442704323555</v>
      </c>
      <c r="N46" s="43">
        <f t="shared" si="22"/>
        <v>0.29796704710278693</v>
      </c>
      <c r="O46" s="38">
        <f>(MPM!$Q47^2)/(9.81*MPM!$F47*(M46^2))</f>
        <v>0.10821361104176802</v>
      </c>
      <c r="P46" s="36">
        <f>8.1*((O46/MPM!$AE47)^(1/6))</f>
        <v>11.964302379664387</v>
      </c>
      <c r="Q46" s="43">
        <f t="shared" si="23"/>
        <v>9.9125506565174437E-2</v>
      </c>
      <c r="R46" s="38">
        <f>(MPM!$Q47^2)/(9.81*MPM!$F47*(P46^2))</f>
        <v>0.10799918279077747</v>
      </c>
      <c r="S46" s="36">
        <f>8.1*((R46/MPM!$AE47)^(1/6))</f>
        <v>11.960347847612828</v>
      </c>
      <c r="T46" s="43">
        <f t="shared" si="24"/>
        <v>3.3063687628013996E-2</v>
      </c>
      <c r="U46" s="38">
        <f>(MPM!$Q47^2)/(9.81*MPM!$F47*(S46^2))</f>
        <v>0.10807061162220598</v>
      </c>
      <c r="V46" s="36">
        <f>8.1*((U46/MPM!$AE47)^(1/6))</f>
        <v>11.961665879710681</v>
      </c>
      <c r="W46" s="43">
        <f t="shared" si="25"/>
        <v>1.1018800484039519E-2</v>
      </c>
      <c r="X46" s="38">
        <f>(MPM!$Q47^2)/(9.81*MPM!$F47*(V46^2))</f>
        <v>0.10804679676418107</v>
      </c>
      <c r="Y46" s="36">
        <f>8.1*((X46/MPM!$AE47)^(1/6))</f>
        <v>11.961226519540263</v>
      </c>
      <c r="Z46" s="43">
        <f t="shared" si="26"/>
        <v>3.6732033266008231E-3</v>
      </c>
      <c r="AA46" s="38">
        <f>(MPM!$Q47^2)/(9.81*MPM!$F47*(Y46^2))</f>
        <v>0.10805473446702842</v>
      </c>
      <c r="AB46" s="36">
        <f>8.1*((AA46/MPM!$AE47)^(1/6))</f>
        <v>11.961372971137262</v>
      </c>
      <c r="AC46" s="43">
        <f t="shared" si="27"/>
        <v>1.2243711265610871E-3</v>
      </c>
      <c r="AD46" s="38">
        <f>(MPM!$Q47^2)/(9.81*MPM!$F47*(AB46^2))</f>
        <v>0.10805208850128734</v>
      </c>
      <c r="AE46" s="36">
        <f>8.1*((AD46/MPM!$AE47)^(1/6))</f>
        <v>11.961324153739024</v>
      </c>
      <c r="AF46" s="43">
        <f t="shared" si="28"/>
        <v>4.0812704020171863E-4</v>
      </c>
      <c r="AG46" s="38">
        <f>(MPM!$Q47^2)/(9.81*MPM!$F47*(AE46^2))</f>
        <v>0.1080529704826685</v>
      </c>
      <c r="AH46" s="36">
        <f>8.1*((AG46/MPM!$AE47)^(1/6))</f>
        <v>11.961340426182966</v>
      </c>
      <c r="AI46" s="43">
        <f t="shared" si="29"/>
        <v>1.3604197658337053E-4</v>
      </c>
      <c r="AJ46" s="38">
        <f>(MPM!$Q47^2)/(9.81*MPM!$F47*(AH46^2))</f>
        <v>0.10805267648807486</v>
      </c>
      <c r="AK46" s="36">
        <f>8.1*((AJ46/MPM!$AE47)^(1/6))</f>
        <v>11.961335002032527</v>
      </c>
      <c r="AL46" s="43">
        <f t="shared" si="30"/>
        <v>4.5347366645148918E-5</v>
      </c>
      <c r="AM46" s="38">
        <f>(MPM!$Q47^2)/(9.81*MPM!$F47*(AK46^2))</f>
        <v>0.10805277448618386</v>
      </c>
      <c r="AN46" s="36">
        <f>8.1*((AM46/MPM!$AE47)^(1/6))</f>
        <v>11.9613368100824</v>
      </c>
      <c r="AO46" s="43">
        <f t="shared" si="31"/>
        <v>1.5115784314769945E-5</v>
      </c>
      <c r="AP46" s="38">
        <f>(MPM!$Q47^2)/(9.81*MPM!$F47*(AN46^2))</f>
        <v>0.10805274182013763</v>
      </c>
      <c r="AQ46" s="36">
        <f>8.1*((AP46/MPM!$AE47)^(1/6))</f>
        <v>11.961336207399077</v>
      </c>
      <c r="AR46" s="43">
        <f t="shared" si="32"/>
        <v>5.0385952977294653E-6</v>
      </c>
      <c r="AS46" s="38">
        <f>(MPM!$Q47^2)/(9.81*MPM!$F47*(AQ46^2))</f>
        <v>0.10805275270881864</v>
      </c>
      <c r="AT46" s="36">
        <f>8.1*((AS46/MPM!$AE47)^(1/6))</f>
        <v>11.961336408293516</v>
      </c>
      <c r="AU46" s="43">
        <f t="shared" si="33"/>
        <v>1.6795317179004563E-6</v>
      </c>
      <c r="AV46" s="38">
        <f>(MPM!$Q47^2)/(9.81*MPM!$F47*(AT46^2))</f>
        <v>0.10805274907925817</v>
      </c>
      <c r="AW46" s="36">
        <f>8.1*((AV46/MPM!$AE47)^(1/6))</f>
        <v>11.961336341328703</v>
      </c>
      <c r="AX46" s="43">
        <f t="shared" si="34"/>
        <v>5.5984390415079658E-7</v>
      </c>
      <c r="AY46" s="38">
        <f>(MPM!$Q47^2)/(9.81*MPM!$F47*(AW46^2))</f>
        <v>0.10805275028911163</v>
      </c>
      <c r="AZ46" s="36">
        <f>8.1*((AY46/MPM!$AE47)^(1/6))</f>
        <v>11.961336363650306</v>
      </c>
      <c r="BA46" s="43">
        <f t="shared" si="35"/>
        <v>1.8661461951785943E-7</v>
      </c>
      <c r="BB46" s="38">
        <f>(MPM!$Q47^2)/(9.81*MPM!$F47*(AZ46^2))</f>
        <v>0.10805274988582717</v>
      </c>
      <c r="BC46" s="36">
        <f>8.1*((BB46/MPM!$AE47)^(1/6))</f>
        <v>11.961336356209774</v>
      </c>
      <c r="BD46" s="43">
        <f t="shared" si="36"/>
        <v>6.2204853410217503E-8</v>
      </c>
      <c r="BE46" s="38">
        <f>(MPM!$Q47^2)/(9.81*MPM!$F47*(BC46^2))</f>
        <v>0.10805275002025527</v>
      </c>
      <c r="BF46" s="36">
        <f>8.1*((BE46/MPM!$AE47)^(1/6))</f>
        <v>11.96133635868995</v>
      </c>
      <c r="BG46" s="43">
        <f t="shared" si="37"/>
        <v>2.0734941231891407E-8</v>
      </c>
      <c r="BH46" s="38">
        <f>(MPM!$Q47^2)/(9.81*MPM!$F47*(BF46^2))</f>
        <v>0.10805274997544594</v>
      </c>
      <c r="BI46" s="36">
        <f>8.1*((BH46/MPM!$AE47)^(1/6))</f>
        <v>11.961336357863225</v>
      </c>
      <c r="BJ46" s="43">
        <f t="shared" si="38"/>
        <v>6.9116470777748441E-9</v>
      </c>
      <c r="BK46" s="38">
        <f>(MPM!$Q47^2)/(9.81*MPM!$F47*(BI46^2))</f>
        <v>0.10805274999038239</v>
      </c>
      <c r="BL46" s="36">
        <f>8.1*((BK46/MPM!$AE47)^(1/6))</f>
        <v>11.9613363581388</v>
      </c>
      <c r="BM46" s="43">
        <f t="shared" si="39"/>
        <v>2.3038823592052026E-9</v>
      </c>
      <c r="BN46" s="43">
        <f t="shared" si="40"/>
        <v>1.382329913126973E-8</v>
      </c>
    </row>
    <row r="47" spans="1:66">
      <c r="A47" s="36">
        <f>MPM!B48</f>
        <v>43</v>
      </c>
      <c r="B47" s="41">
        <f>1/(MPM!AC48^0.5)</f>
        <v>12.225327436855764</v>
      </c>
      <c r="C47" s="38">
        <f>(MPM!$Q48^2)/(9.81*MPM!$F48*(Sheet1!B47^2))</f>
        <v>0.12635146371874278</v>
      </c>
      <c r="D47" s="36">
        <f>8.1*((C47/MPM!$AE48)^(1/6))</f>
        <v>12.277325739641194</v>
      </c>
      <c r="E47" s="41">
        <f t="shared" si="19"/>
        <v>0.42353118169323317</v>
      </c>
      <c r="F47" s="38">
        <f>(MPM!$Q48^2)/(9.81*MPM!$F48*(D47^2))</f>
        <v>0.12528345449964209</v>
      </c>
      <c r="G47" s="36">
        <f>8.1*((F47/MPM!$AE48)^(1/6))</f>
        <v>12.259968444414712</v>
      </c>
      <c r="H47" s="43">
        <f t="shared" si="20"/>
        <v>0.14157699756877823</v>
      </c>
      <c r="I47" s="38">
        <f>(MPM!$Q48^2)/(9.81*MPM!$F48*(G47^2))</f>
        <v>0.12563845072503968</v>
      </c>
      <c r="J47" s="36">
        <f>8.1*((I47/MPM!$AE48)^(1/6))</f>
        <v>12.265751481198281</v>
      </c>
      <c r="K47" s="43">
        <f t="shared" si="21"/>
        <v>4.7147839188114785E-2</v>
      </c>
      <c r="L47" s="38">
        <f>(MPM!$Q48^2)/(9.81*MPM!$F48*(J47^2))</f>
        <v>0.12552000702403376</v>
      </c>
      <c r="M47" s="36">
        <f>8.1*((L47/MPM!$AE48)^(1/6))</f>
        <v>12.263823499238059</v>
      </c>
      <c r="N47" s="43">
        <f t="shared" si="22"/>
        <v>1.5720888027633453E-2</v>
      </c>
      <c r="O47" s="38">
        <f>(MPM!$Q48^2)/(9.81*MPM!$F48*(M47^2))</f>
        <v>0.12555947584572763</v>
      </c>
      <c r="P47" s="36">
        <f>8.1*((O47/MPM!$AE48)^(1/6))</f>
        <v>12.264466126217089</v>
      </c>
      <c r="Q47" s="43">
        <f t="shared" si="23"/>
        <v>5.2397468623269754E-3</v>
      </c>
      <c r="R47" s="38">
        <f>(MPM!$Q48^2)/(9.81*MPM!$F48*(P47^2))</f>
        <v>0.12554631819305856</v>
      </c>
      <c r="S47" s="36">
        <f>8.1*((R47/MPM!$AE48)^(1/6))</f>
        <v>12.264251913482635</v>
      </c>
      <c r="T47" s="43">
        <f t="shared" si="24"/>
        <v>1.7466433009115986E-3</v>
      </c>
      <c r="U47" s="38">
        <f>(MPM!$Q48^2)/(9.81*MPM!$F48*(S47^2))</f>
        <v>0.12555070392407225</v>
      </c>
      <c r="V47" s="36">
        <f>8.1*((U47/MPM!$AE48)^(1/6))</f>
        <v>12.26432331731173</v>
      </c>
      <c r="W47" s="43">
        <f t="shared" si="25"/>
        <v>5.822076542451593E-4</v>
      </c>
      <c r="X47" s="38">
        <f>(MPM!$Q48^2)/(9.81*MPM!$F48*(V47^2))</f>
        <v>0.12554924199671161</v>
      </c>
      <c r="Y47" s="36">
        <f>8.1*((X47/MPM!$AE48)^(1/6))</f>
        <v>12.264299515989174</v>
      </c>
      <c r="Z47" s="43">
        <f t="shared" si="26"/>
        <v>1.9406997133833545E-4</v>
      </c>
      <c r="AA47" s="38">
        <f>(MPM!$Q48^2)/(9.81*MPM!$F48*(Y47^2))</f>
        <v>0.12554972930394037</v>
      </c>
      <c r="AB47" s="36">
        <f>8.1*((AA47/MPM!$AE48)^(1/6))</f>
        <v>12.264307449758226</v>
      </c>
      <c r="AC47" s="43">
        <f t="shared" si="27"/>
        <v>6.468990673958579E-5</v>
      </c>
      <c r="AD47" s="38">
        <f>(MPM!$Q48^2)/(9.81*MPM!$F48*(AB47^2))</f>
        <v>0.12554956686798732</v>
      </c>
      <c r="AE47" s="36">
        <f>8.1*((AD47/MPM!$AE48)^(1/6))</f>
        <v>12.264304805167972</v>
      </c>
      <c r="AF47" s="43">
        <f t="shared" si="28"/>
        <v>2.1563311540813387E-5</v>
      </c>
      <c r="AG47" s="38">
        <f>(MPM!$Q48^2)/(9.81*MPM!$F48*(AE47^2))</f>
        <v>0.12554962101328165</v>
      </c>
      <c r="AH47" s="36">
        <f>8.1*((AG47/MPM!$AE48)^(1/6))</f>
        <v>12.264305686697995</v>
      </c>
      <c r="AI47" s="43">
        <f t="shared" si="29"/>
        <v>7.1877694900255695E-6</v>
      </c>
      <c r="AJ47" s="38">
        <f>(MPM!$Q48^2)/(9.81*MPM!$F48*(AH47^2))</f>
        <v>0.12554960296484757</v>
      </c>
      <c r="AK47" s="36">
        <f>8.1*((AJ47/MPM!$AE48)^(1/6))</f>
        <v>12.264305392854645</v>
      </c>
      <c r="AL47" s="43">
        <f t="shared" si="30"/>
        <v>2.3959232931661272E-6</v>
      </c>
      <c r="AM47" s="38">
        <f>(MPM!$Q48^2)/(9.81*MPM!$F48*(AK47^2))</f>
        <v>0.12554960898099202</v>
      </c>
      <c r="AN47" s="36">
        <f>8.1*((AM47/MPM!$AE48)^(1/6))</f>
        <v>12.26430549080243</v>
      </c>
      <c r="AO47" s="43">
        <f t="shared" si="31"/>
        <v>7.9864110582772419E-7</v>
      </c>
      <c r="AP47" s="38">
        <f>(MPM!$Q48^2)/(9.81*MPM!$F48*(AN47^2))</f>
        <v>0.12554960697561046</v>
      </c>
      <c r="AQ47" s="36">
        <f>8.1*((AP47/MPM!$AE48)^(1/6))</f>
        <v>12.264305458153165</v>
      </c>
      <c r="AR47" s="43">
        <f t="shared" si="32"/>
        <v>2.66213726791202E-7</v>
      </c>
      <c r="AS47" s="38">
        <f>(MPM!$Q48^2)/(9.81*MPM!$F48*(AQ47^2))</f>
        <v>0.125549607644071</v>
      </c>
      <c r="AT47" s="36">
        <f>8.1*((AS47/MPM!$AE48)^(1/6))</f>
        <v>12.264305469036255</v>
      </c>
      <c r="AU47" s="43">
        <f t="shared" si="33"/>
        <v>8.8737923335614381E-8</v>
      </c>
      <c r="AV47" s="38">
        <f>(MPM!$Q48^2)/(9.81*MPM!$F48*(AT47^2))</f>
        <v>0.12554960742125079</v>
      </c>
      <c r="AW47" s="36">
        <f>8.1*((AV47/MPM!$AE48)^(1/6))</f>
        <v>12.264305465408558</v>
      </c>
      <c r="AX47" s="43">
        <f t="shared" si="34"/>
        <v>2.9579312615273447E-8</v>
      </c>
      <c r="AY47" s="38">
        <f>(MPM!$Q48^2)/(9.81*MPM!$F48*(AW47^2))</f>
        <v>0.12554960749552421</v>
      </c>
      <c r="AZ47" s="36">
        <f>8.1*((AY47/MPM!$AE48)^(1/6))</f>
        <v>12.26430546661779</v>
      </c>
      <c r="BA47" s="43">
        <f t="shared" si="35"/>
        <v>9.8597660427997015E-9</v>
      </c>
      <c r="BB47" s="38">
        <f>(MPM!$Q48^2)/(9.81*MPM!$F48*(AZ47^2))</f>
        <v>0.12554960747076641</v>
      </c>
      <c r="BC47" s="36">
        <f>8.1*((BB47/MPM!$AE48)^(1/6))</f>
        <v>12.264305466214713</v>
      </c>
      <c r="BD47" s="43">
        <f t="shared" si="36"/>
        <v>3.2865838530552863E-9</v>
      </c>
      <c r="BE47" s="38">
        <f>(MPM!$Q48^2)/(9.81*MPM!$F48*(BC47^2))</f>
        <v>0.125549607479019</v>
      </c>
      <c r="BF47" s="36">
        <f>8.1*((BE47/MPM!$AE48)^(1/6))</f>
        <v>12.264305466349072</v>
      </c>
      <c r="BG47" s="43">
        <f t="shared" si="37"/>
        <v>1.0955231230204632E-9</v>
      </c>
      <c r="BH47" s="38">
        <f>(MPM!$Q48^2)/(9.81*MPM!$F48*(BF47^2))</f>
        <v>0.12554960747626814</v>
      </c>
      <c r="BI47" s="36">
        <f>8.1*((BH47/MPM!$AE48)^(1/6))</f>
        <v>12.264305466304286</v>
      </c>
      <c r="BJ47" s="43">
        <f t="shared" si="38"/>
        <v>3.6516954635552417E-10</v>
      </c>
      <c r="BK47" s="38">
        <f>(MPM!$Q48^2)/(9.81*MPM!$F48*(BI47^2))</f>
        <v>0.12554960747718508</v>
      </c>
      <c r="BL47" s="36">
        <f>8.1*((BK47/MPM!$AE48)^(1/6))</f>
        <v>12.264305466319215</v>
      </c>
      <c r="BM47" s="43">
        <f t="shared" si="39"/>
        <v>1.2172318211835989E-10</v>
      </c>
      <c r="BN47" s="43">
        <f t="shared" si="40"/>
        <v>7.303353745686081E-10</v>
      </c>
    </row>
    <row r="48" spans="1:66">
      <c r="A48" s="36">
        <f>MPM!B49</f>
        <v>44</v>
      </c>
      <c r="B48" s="41">
        <f>1/(MPM!AC49^0.5)</f>
        <v>12.096228672379022</v>
      </c>
      <c r="C48" s="38">
        <f>(MPM!$Q49^2)/(9.81*MPM!$F49*(Sheet1!B48^2))</f>
        <v>0.12682006607690233</v>
      </c>
      <c r="D48" s="36">
        <f>8.1*((C48/MPM!$AE49)^(1/6))</f>
        <v>12.284902902215194</v>
      </c>
      <c r="E48" s="41">
        <f t="shared" si="19"/>
        <v>1.5358219054556033</v>
      </c>
      <c r="F48" s="38">
        <f>(MPM!$Q49^2)/(9.81*MPM!$F49*(D48^2))</f>
        <v>0.12295451903571389</v>
      </c>
      <c r="G48" s="36">
        <f>8.1*((F48/MPM!$AE49)^(1/6))</f>
        <v>12.221686750007823</v>
      </c>
      <c r="H48" s="43">
        <f t="shared" si="20"/>
        <v>0.51724572475505803</v>
      </c>
      <c r="I48" s="38">
        <f>(MPM!$Q49^2)/(9.81*MPM!$F49*(G48^2))</f>
        <v>0.12422976258573191</v>
      </c>
      <c r="J48" s="36">
        <f>8.1*((I48/MPM!$AE49)^(1/6))</f>
        <v>12.242722573359311</v>
      </c>
      <c r="K48" s="43">
        <f t="shared" si="21"/>
        <v>0.17182308285954831</v>
      </c>
      <c r="L48" s="38">
        <f>(MPM!$Q49^2)/(9.81*MPM!$F49*(J48^2))</f>
        <v>0.1238032185355865</v>
      </c>
      <c r="M48" s="36">
        <f>8.1*((L48/MPM!$AE49)^(1/6))</f>
        <v>12.23570661235968</v>
      </c>
      <c r="N48" s="43">
        <f t="shared" si="22"/>
        <v>5.734005580473734E-2</v>
      </c>
      <c r="O48" s="38">
        <f>(MPM!$Q49^2)/(9.81*MPM!$F49*(M48^2))</f>
        <v>0.1239452369098166</v>
      </c>
      <c r="P48" s="36">
        <f>8.1*((O48/MPM!$AE49)^(1/6))</f>
        <v>12.238044819173455</v>
      </c>
      <c r="Q48" s="43">
        <f t="shared" si="23"/>
        <v>1.9106048787398262E-2</v>
      </c>
      <c r="R48" s="38">
        <f>(MPM!$Q49^2)/(9.81*MPM!$F49*(P48^2))</f>
        <v>0.12389787935945987</v>
      </c>
      <c r="S48" s="36">
        <f>8.1*((R48/MPM!$AE49)^(1/6))</f>
        <v>12.237265367259269</v>
      </c>
      <c r="T48" s="43">
        <f t="shared" si="24"/>
        <v>6.3694942521319567E-3</v>
      </c>
      <c r="U48" s="38">
        <f>(MPM!$Q49^2)/(9.81*MPM!$F49*(S48^2))</f>
        <v>0.12391366319872786</v>
      </c>
      <c r="V48" s="36">
        <f>8.1*((U48/MPM!$AE49)^(1/6))</f>
        <v>12.237525179047843</v>
      </c>
      <c r="W48" s="43">
        <f t="shared" si="25"/>
        <v>2.1230745986023135E-3</v>
      </c>
      <c r="X48" s="38">
        <f>(MPM!$Q49^2)/(9.81*MPM!$F49*(V48^2))</f>
        <v>0.12390840169556615</v>
      </c>
      <c r="Y48" s="36">
        <f>8.1*((X48/MPM!$AE49)^(1/6))</f>
        <v>12.237438574505424</v>
      </c>
      <c r="Z48" s="43">
        <f t="shared" si="26"/>
        <v>7.0770154956848407E-4</v>
      </c>
      <c r="AA48" s="38">
        <f>(MPM!$Q49^2)/(9.81*MPM!$F49*(Y48^2))</f>
        <v>0.12391015550512968</v>
      </c>
      <c r="AB48" s="36">
        <f>8.1*((AA48/MPM!$AE49)^(1/6))</f>
        <v>12.237467442618129</v>
      </c>
      <c r="AC48" s="43">
        <f t="shared" si="27"/>
        <v>2.3589940354081689E-4</v>
      </c>
      <c r="AD48" s="38">
        <f>(MPM!$Q49^2)/(9.81*MPM!$F49*(AB48^2))</f>
        <v>0.12390957089918371</v>
      </c>
      <c r="AE48" s="36">
        <f>8.1*((AD48/MPM!$AE49)^(1/6))</f>
        <v>12.237457819906327</v>
      </c>
      <c r="AF48" s="43">
        <f t="shared" si="28"/>
        <v>7.8633258182428633E-5</v>
      </c>
      <c r="AG48" s="38">
        <f>(MPM!$Q49^2)/(9.81*MPM!$F49*(AE48^2))</f>
        <v>0.1239097657675259</v>
      </c>
      <c r="AH48" s="36">
        <f>8.1*((AG48/MPM!$AE49)^(1/6))</f>
        <v>12.237461027476087</v>
      </c>
      <c r="AI48" s="43">
        <f t="shared" si="29"/>
        <v>2.6211072319823809E-5</v>
      </c>
      <c r="AJ48" s="38">
        <f>(MPM!$Q49^2)/(9.81*MPM!$F49*(AH48^2))</f>
        <v>0.12390970081137778</v>
      </c>
      <c r="AK48" s="36">
        <f>8.1*((AJ48/MPM!$AE49)^(1/6))</f>
        <v>12.237459958286074</v>
      </c>
      <c r="AL48" s="43">
        <f t="shared" si="30"/>
        <v>8.7370256296205906E-6</v>
      </c>
      <c r="AM48" s="38">
        <f>(MPM!$Q49^2)/(9.81*MPM!$F49*(AK48^2))</f>
        <v>0.12390972246342336</v>
      </c>
      <c r="AN48" s="36">
        <f>8.1*((AM48/MPM!$AE49)^(1/6))</f>
        <v>12.237460314682735</v>
      </c>
      <c r="AO48" s="43">
        <f t="shared" si="31"/>
        <v>2.9123417143056171E-6</v>
      </c>
      <c r="AP48" s="38">
        <f>(MPM!$Q49^2)/(9.81*MPM!$F49*(AN48^2))</f>
        <v>0.12390971524607439</v>
      </c>
      <c r="AQ48" s="36">
        <f>8.1*((AP48/MPM!$AE49)^(1/6))</f>
        <v>12.237460195883846</v>
      </c>
      <c r="AR48" s="43">
        <f t="shared" si="32"/>
        <v>9.7078059537508641E-7</v>
      </c>
      <c r="AS48" s="38">
        <f>(MPM!$Q49^2)/(9.81*MPM!$F49*(AQ48^2))</f>
        <v>0.12390971765185736</v>
      </c>
      <c r="AT48" s="36">
        <f>8.1*((AS48/MPM!$AE49)^(1/6))</f>
        <v>12.237460235483475</v>
      </c>
      <c r="AU48" s="43">
        <f t="shared" si="33"/>
        <v>3.2359352106741357E-7</v>
      </c>
      <c r="AV48" s="38">
        <f>(MPM!$Q49^2)/(9.81*MPM!$F49*(AT48^2))</f>
        <v>0.12390971684992971</v>
      </c>
      <c r="AW48" s="36">
        <f>8.1*((AV48/MPM!$AE49)^(1/6))</f>
        <v>12.2374602222836</v>
      </c>
      <c r="AX48" s="43">
        <f t="shared" si="34"/>
        <v>1.0786449746166453E-7</v>
      </c>
      <c r="AY48" s="38">
        <f>(MPM!$Q49^2)/(9.81*MPM!$F49*(AW48^2))</f>
        <v>0.1239097171172389</v>
      </c>
      <c r="AZ48" s="36">
        <f>8.1*((AY48/MPM!$AE49)^(1/6))</f>
        <v>12.237460226683559</v>
      </c>
      <c r="BA48" s="43">
        <f t="shared" si="35"/>
        <v>3.5954842151448177E-8</v>
      </c>
      <c r="BB48" s="38">
        <f>(MPM!$Q49^2)/(9.81*MPM!$F49*(AZ48^2))</f>
        <v>0.12390971702813582</v>
      </c>
      <c r="BC48" s="36">
        <f>8.1*((BB48/MPM!$AE49)^(1/6))</f>
        <v>12.237460225216905</v>
      </c>
      <c r="BD48" s="43">
        <f t="shared" si="36"/>
        <v>1.1984957062406624E-8</v>
      </c>
      <c r="BE48" s="38">
        <f>(MPM!$Q49^2)/(9.81*MPM!$F49*(BC48^2))</f>
        <v>0.12390971705783686</v>
      </c>
      <c r="BF48" s="36">
        <f>8.1*((BE48/MPM!$AE49)^(1/6))</f>
        <v>12.237460225705789</v>
      </c>
      <c r="BG48" s="43">
        <f t="shared" si="37"/>
        <v>3.994976010155103E-9</v>
      </c>
      <c r="BH48" s="38">
        <f>(MPM!$Q49^2)/(9.81*MPM!$F49*(BF48^2))</f>
        <v>0.12390971704793653</v>
      </c>
      <c r="BI48" s="36">
        <f>8.1*((BH48/MPM!$AE49)^(1/6))</f>
        <v>12.237460225542829</v>
      </c>
      <c r="BJ48" s="43">
        <f t="shared" si="38"/>
        <v>1.3316441543381738E-9</v>
      </c>
      <c r="BK48" s="38">
        <f>(MPM!$Q49^2)/(9.81*MPM!$F49*(BI48^2))</f>
        <v>0.12390971705123661</v>
      </c>
      <c r="BL48" s="36">
        <f>8.1*((BK48/MPM!$AE49)^(1/6))</f>
        <v>12.237460225597149</v>
      </c>
      <c r="BM48" s="43">
        <f t="shared" si="39"/>
        <v>4.4387654620033428E-10</v>
      </c>
      <c r="BN48" s="43">
        <f t="shared" si="40"/>
        <v>2.6632959126058401E-9</v>
      </c>
    </row>
    <row r="49" spans="1:66">
      <c r="A49" s="36">
        <f>MPM!B50</f>
        <v>45</v>
      </c>
      <c r="B49" s="41">
        <f>1/(MPM!AC50^0.5)</f>
        <v>11.88118476581216</v>
      </c>
      <c r="C49" s="38">
        <f>(MPM!$Q50^2)/(9.81*MPM!$F50*(Sheet1!B49^2))</f>
        <v>9.9833198272508181E-2</v>
      </c>
      <c r="D49" s="36">
        <f>8.1*((C49/MPM!$AE50)^(1/6))</f>
        <v>11.804644058141049</v>
      </c>
      <c r="E49" s="41">
        <f t="shared" si="19"/>
        <v>0.64839487996526679</v>
      </c>
      <c r="F49" s="38">
        <f>(MPM!$Q50^2)/(9.81*MPM!$F50*(D49^2))</f>
        <v>0.10113202211131068</v>
      </c>
      <c r="G49" s="36">
        <f>8.1*((F49/MPM!$AE50)^(1/6))</f>
        <v>11.83010268225339</v>
      </c>
      <c r="H49" s="43">
        <f t="shared" si="20"/>
        <v>0.21520205526645148</v>
      </c>
      <c r="I49" s="38">
        <f>(MPM!$Q50^2)/(9.81*MPM!$F50*(G49^2))</f>
        <v>0.10069721409293672</v>
      </c>
      <c r="J49" s="36">
        <f>8.1*((I49/MPM!$AE50)^(1/6))</f>
        <v>11.821610379429437</v>
      </c>
      <c r="K49" s="43">
        <f t="shared" si="21"/>
        <v>7.1837106378757551E-2</v>
      </c>
      <c r="L49" s="38">
        <f>(MPM!$Q50^2)/(9.81*MPM!$F50*(J49^2))</f>
        <v>0.10084194198805424</v>
      </c>
      <c r="M49" s="36">
        <f>8.1*((L49/MPM!$AE50)^(1/6))</f>
        <v>11.824440469460637</v>
      </c>
      <c r="N49" s="43">
        <f t="shared" si="22"/>
        <v>2.393424059691519E-2</v>
      </c>
      <c r="O49" s="38">
        <f>(MPM!$Q50^2)/(9.81*MPM!$F50*(M49^2))</f>
        <v>0.10079367625872739</v>
      </c>
      <c r="P49" s="36">
        <f>8.1*((O49/MPM!$AE50)^(1/6))</f>
        <v>11.82349703084461</v>
      </c>
      <c r="Q49" s="43">
        <f t="shared" si="23"/>
        <v>7.9793534312676342E-3</v>
      </c>
      <c r="R49" s="38">
        <f>(MPM!$Q50^2)/(9.81*MPM!$F50*(P49^2))</f>
        <v>0.10080976226781165</v>
      </c>
      <c r="S49" s="36">
        <f>8.1*((R49/MPM!$AE50)^(1/6))</f>
        <v>11.823811502019177</v>
      </c>
      <c r="T49" s="43">
        <f t="shared" si="24"/>
        <v>2.6596429967915593E-3</v>
      </c>
      <c r="U49" s="38">
        <f>(MPM!$Q50^2)/(9.81*MPM!$F50*(S49^2))</f>
        <v>0.10080439997955698</v>
      </c>
      <c r="V49" s="36">
        <f>8.1*((U49/MPM!$AE50)^(1/6))</f>
        <v>11.823706677364997</v>
      </c>
      <c r="W49" s="43">
        <f t="shared" si="25"/>
        <v>8.8656338524203623E-4</v>
      </c>
      <c r="X49" s="38">
        <f>(MPM!$Q50^2)/(9.81*MPM!$F50*(V49^2))</f>
        <v>0.100806187377282</v>
      </c>
      <c r="Y49" s="36">
        <f>8.1*((X49/MPM!$AE50)^(1/6))</f>
        <v>11.823741618813131</v>
      </c>
      <c r="Z49" s="43">
        <f t="shared" si="26"/>
        <v>2.9551938176237117E-4</v>
      </c>
      <c r="AA49" s="38">
        <f>(MPM!$Q50^2)/(9.81*MPM!$F50*(Y49^2))</f>
        <v>0.10080559157451895</v>
      </c>
      <c r="AB49" s="36">
        <f>8.1*((AA49/MPM!$AE50)^(1/6))</f>
        <v>11.823729971652281</v>
      </c>
      <c r="AC49" s="43">
        <f t="shared" si="27"/>
        <v>9.8506654650671924E-5</v>
      </c>
      <c r="AD49" s="38">
        <f>(MPM!$Q50^2)/(9.81*MPM!$F50*(AB49^2))</f>
        <v>0.10080579017504868</v>
      </c>
      <c r="AE49" s="36">
        <f>8.1*((AD49/MPM!$AE50)^(1/6))</f>
        <v>11.823733854037956</v>
      </c>
      <c r="AF49" s="43">
        <f t="shared" si="28"/>
        <v>3.2835529986521066E-5</v>
      </c>
      <c r="AG49" s="38">
        <f>(MPM!$Q50^2)/(9.81*MPM!$F50*(AE49^2))</f>
        <v>0.10080572397482863</v>
      </c>
      <c r="AH49" s="36">
        <f>8.1*((AG49/MPM!$AE50)^(1/6))</f>
        <v>11.823732559909255</v>
      </c>
      <c r="AI49" s="43">
        <f t="shared" si="29"/>
        <v>1.0945179067043192E-5</v>
      </c>
      <c r="AJ49" s="38">
        <f>(MPM!$Q50^2)/(9.81*MPM!$F50*(AH49^2))</f>
        <v>0.10080574604156384</v>
      </c>
      <c r="AK49" s="36">
        <f>8.1*((AJ49/MPM!$AE50)^(1/6))</f>
        <v>11.823732991285475</v>
      </c>
      <c r="AL49" s="43">
        <f t="shared" si="30"/>
        <v>3.6483927740586692E-6</v>
      </c>
      <c r="AM49" s="38">
        <f>(MPM!$Q50^2)/(9.81*MPM!$F50*(AK49^2))</f>
        <v>0.10080573868598486</v>
      </c>
      <c r="AN49" s="36">
        <f>8.1*((AM49/MPM!$AE50)^(1/6))</f>
        <v>11.823732847493398</v>
      </c>
      <c r="AO49" s="43">
        <f t="shared" si="31"/>
        <v>1.216130969523278E-6</v>
      </c>
      <c r="AP49" s="38">
        <f>(MPM!$Q50^2)/(9.81*MPM!$F50*(AN49^2))</f>
        <v>0.10080574113784449</v>
      </c>
      <c r="AQ49" s="36">
        <f>8.1*((AP49/MPM!$AE50)^(1/6))</f>
        <v>11.82373289542409</v>
      </c>
      <c r="AR49" s="43">
        <f t="shared" si="32"/>
        <v>4.0537698819778767E-7</v>
      </c>
      <c r="AS49" s="38">
        <f>(MPM!$Q50^2)/(9.81*MPM!$F50*(AQ49^2))</f>
        <v>0.10080574032055793</v>
      </c>
      <c r="AT49" s="36">
        <f>8.1*((AS49/MPM!$AE50)^(1/6))</f>
        <v>11.823732879447194</v>
      </c>
      <c r="AU49" s="43">
        <f t="shared" si="33"/>
        <v>1.3512565289941529E-7</v>
      </c>
      <c r="AV49" s="38">
        <f>(MPM!$Q50^2)/(9.81*MPM!$F50*(AT49^2))</f>
        <v>0.10080574059298676</v>
      </c>
      <c r="AW49" s="36">
        <f>8.1*((AV49/MPM!$AE50)^(1/6))</f>
        <v>11.823732884772825</v>
      </c>
      <c r="AX49" s="43">
        <f t="shared" si="34"/>
        <v>4.504187927163238E-8</v>
      </c>
      <c r="AY49" s="38">
        <f>(MPM!$Q50^2)/(9.81*MPM!$F50*(AW49^2))</f>
        <v>0.10080574050217715</v>
      </c>
      <c r="AZ49" s="36">
        <f>8.1*((AY49/MPM!$AE50)^(1/6))</f>
        <v>11.823732882997614</v>
      </c>
      <c r="BA49" s="43">
        <f t="shared" si="35"/>
        <v>1.5013964767349993E-8</v>
      </c>
      <c r="BB49" s="38">
        <f>(MPM!$Q50^2)/(9.81*MPM!$F50*(AZ49^2))</f>
        <v>0.10080574053244705</v>
      </c>
      <c r="BC49" s="36">
        <f>8.1*((BB49/MPM!$AE50)^(1/6))</f>
        <v>11.823732883589352</v>
      </c>
      <c r="BD49" s="43">
        <f t="shared" si="36"/>
        <v>5.0046649379695471E-9</v>
      </c>
      <c r="BE49" s="38">
        <f>(MPM!$Q50^2)/(9.81*MPM!$F50*(BC49^2))</f>
        <v>0.10080574052235705</v>
      </c>
      <c r="BF49" s="36">
        <f>8.1*((BE49/MPM!$AE50)^(1/6))</f>
        <v>11.823732883392104</v>
      </c>
      <c r="BG49" s="43">
        <f t="shared" si="37"/>
        <v>1.6682416775577115E-9</v>
      </c>
      <c r="BH49" s="38">
        <f>(MPM!$Q50^2)/(9.81*MPM!$F50*(BF49^2))</f>
        <v>0.10080574052572043</v>
      </c>
      <c r="BI49" s="36">
        <f>8.1*((BH49/MPM!$AE50)^(1/6))</f>
        <v>11.823732883457856</v>
      </c>
      <c r="BJ49" s="43">
        <f t="shared" si="38"/>
        <v>5.5610059072284379E-10</v>
      </c>
      <c r="BK49" s="38">
        <f>(MPM!$Q50^2)/(9.81*MPM!$F50*(BI49^2))</f>
        <v>0.10080574052459927</v>
      </c>
      <c r="BL49" s="36">
        <f>8.1*((BK49/MPM!$AE50)^(1/6))</f>
        <v>11.823732883435937</v>
      </c>
      <c r="BM49" s="43">
        <f t="shared" si="39"/>
        <v>1.8537687934464108E-10</v>
      </c>
      <c r="BN49" s="43">
        <f t="shared" si="40"/>
        <v>1.11219729708163E-9</v>
      </c>
    </row>
    <row r="50" spans="1:66">
      <c r="A50" s="36">
        <f>MPM!B51</f>
        <v>46</v>
      </c>
      <c r="B50" s="41">
        <f>1/(MPM!AC51^0.5)</f>
        <v>12.518185052198273</v>
      </c>
      <c r="C50" s="38">
        <f>(MPM!$Q51^2)/(9.81*MPM!$F51*(Sheet1!B50^2))</f>
        <v>0.13417015286456524</v>
      </c>
      <c r="D50" s="36">
        <f>8.1*((C50/MPM!$AE51)^(1/6))</f>
        <v>12.400800425198836</v>
      </c>
      <c r="E50" s="41">
        <f t="shared" si="19"/>
        <v>0.94658911501315113</v>
      </c>
      <c r="F50" s="38">
        <f>(MPM!$Q51^2)/(9.81*MPM!$F51*(D50^2))</f>
        <v>0.13672225505077917</v>
      </c>
      <c r="G50" s="36">
        <f>8.1*((F50/MPM!$AE51)^(1/6))</f>
        <v>12.439805818268088</v>
      </c>
      <c r="H50" s="43">
        <f t="shared" si="20"/>
        <v>0.31355307019319528</v>
      </c>
      <c r="I50" s="38">
        <f>(MPM!$Q51^2)/(9.81*MPM!$F51*(G50^2))</f>
        <v>0.13586620558614812</v>
      </c>
      <c r="J50" s="36">
        <f>8.1*((I50/MPM!$AE51)^(1/6))</f>
        <v>12.426790407678304</v>
      </c>
      <c r="K50" s="43">
        <f t="shared" si="21"/>
        <v>0.10473670322581223</v>
      </c>
      <c r="L50" s="38">
        <f>(MPM!$Q51^2)/(9.81*MPM!$F51*(J50^2))</f>
        <v>0.13615095819740375</v>
      </c>
      <c r="M50" s="36">
        <f>8.1*((L50/MPM!$AE51)^(1/6))</f>
        <v>12.431127364098733</v>
      </c>
      <c r="N50" s="43">
        <f t="shared" si="22"/>
        <v>3.4887876967254039E-2</v>
      </c>
      <c r="O50" s="38">
        <f>(MPM!$Q51^2)/(9.81*MPM!$F51*(M50^2))</f>
        <v>0.13605597441163636</v>
      </c>
      <c r="P50" s="36">
        <f>8.1*((O50/MPM!$AE51)^(1/6))</f>
        <v>12.429681543806884</v>
      </c>
      <c r="Q50" s="43">
        <f t="shared" si="23"/>
        <v>1.1631997865379058E-2</v>
      </c>
      <c r="R50" s="38">
        <f>(MPM!$Q51^2)/(9.81*MPM!$F51*(P50^2))</f>
        <v>0.13608762830859819</v>
      </c>
      <c r="S50" s="36">
        <f>8.1*((R50/MPM!$AE51)^(1/6))</f>
        <v>12.430163465218953</v>
      </c>
      <c r="T50" s="43">
        <f t="shared" si="24"/>
        <v>3.8770319748208794E-3</v>
      </c>
      <c r="U50" s="38">
        <f>(MPM!$Q51^2)/(9.81*MPM!$F51*(S50^2))</f>
        <v>0.13607707619143003</v>
      </c>
      <c r="V50" s="36">
        <f>8.1*((U50/MPM!$AE51)^(1/6))</f>
        <v>12.430002822672192</v>
      </c>
      <c r="W50" s="43">
        <f t="shared" si="25"/>
        <v>1.2923773956730351E-3</v>
      </c>
      <c r="X50" s="38">
        <f>(MPM!$Q51^2)/(9.81*MPM!$F51*(V50^2))</f>
        <v>0.13608059347290494</v>
      </c>
      <c r="Y50" s="36">
        <f>8.1*((X50/MPM!$AE51)^(1/6))</f>
        <v>12.430056369957102</v>
      </c>
      <c r="Z50" s="43">
        <f t="shared" si="26"/>
        <v>4.3078875361788049E-4</v>
      </c>
      <c r="AA50" s="38">
        <f>(MPM!$Q51^2)/(9.81*MPM!$F51*(Y50^2))</f>
        <v>0.13607942103564524</v>
      </c>
      <c r="AB50" s="36">
        <f>8.1*((AA50/MPM!$AE51)^(1/6))</f>
        <v>12.430038520836501</v>
      </c>
      <c r="AC50" s="43">
        <f t="shared" si="27"/>
        <v>1.4359666360790733E-4</v>
      </c>
      <c r="AD50" s="38">
        <f>(MPM!$Q51^2)/(9.81*MPM!$F51*(AB50^2))</f>
        <v>0.13607981184694276</v>
      </c>
      <c r="AE50" s="36">
        <f>8.1*((AD50/MPM!$AE51)^(1/6))</f>
        <v>12.430044470540521</v>
      </c>
      <c r="AF50" s="43">
        <f t="shared" si="28"/>
        <v>4.7865508721436982E-5</v>
      </c>
      <c r="AG50" s="38">
        <f>(MPM!$Q51^2)/(9.81*MPM!$F51*(AE50^2))</f>
        <v>0.1360796815763855</v>
      </c>
      <c r="AH50" s="36">
        <f>8.1*((AG50/MPM!$AE51)^(1/6))</f>
        <v>12.430042487305531</v>
      </c>
      <c r="AI50" s="43">
        <f t="shared" si="29"/>
        <v>1.5955174663256096E-5</v>
      </c>
      <c r="AJ50" s="38">
        <f>(MPM!$Q51^2)/(9.81*MPM!$F51*(AH50^2))</f>
        <v>0.13607972499989074</v>
      </c>
      <c r="AK50" s="36">
        <f>8.1*((AJ50/MPM!$AE51)^(1/6))</f>
        <v>12.430043148383827</v>
      </c>
      <c r="AL50" s="43">
        <f t="shared" si="30"/>
        <v>5.3183910000399945E-6</v>
      </c>
      <c r="AM50" s="38">
        <f>(MPM!$Q51^2)/(9.81*MPM!$F51*(AK50^2))</f>
        <v>0.13607971052538742</v>
      </c>
      <c r="AN50" s="36">
        <f>8.1*((AM50/MPM!$AE51)^(1/6))</f>
        <v>12.43004292802439</v>
      </c>
      <c r="AO50" s="43">
        <f t="shared" si="31"/>
        <v>1.7727970743139277E-6</v>
      </c>
      <c r="AP50" s="38">
        <f>(MPM!$Q51^2)/(9.81*MPM!$F51*(AN50^2))</f>
        <v>0.13607971535022173</v>
      </c>
      <c r="AQ50" s="36">
        <f>8.1*((AP50/MPM!$AE51)^(1/6))</f>
        <v>12.430043001477536</v>
      </c>
      <c r="AR50" s="43">
        <f t="shared" si="32"/>
        <v>5.9093235461263212E-7</v>
      </c>
      <c r="AS50" s="38">
        <f>(MPM!$Q51^2)/(9.81*MPM!$F51*(AQ50^2))</f>
        <v>0.13607971374194361</v>
      </c>
      <c r="AT50" s="36">
        <f>8.1*((AS50/MPM!$AE51)^(1/6))</f>
        <v>12.430042976993153</v>
      </c>
      <c r="AU50" s="43">
        <f t="shared" si="33"/>
        <v>1.9697745668915661E-7</v>
      </c>
      <c r="AV50" s="38">
        <f>(MPM!$Q51^2)/(9.81*MPM!$F51*(AT50^2))</f>
        <v>0.13607971427803631</v>
      </c>
      <c r="AW50" s="36">
        <f>8.1*((AV50/MPM!$AE51)^(1/6))</f>
        <v>12.430042985154614</v>
      </c>
      <c r="AX50" s="43">
        <f t="shared" si="34"/>
        <v>6.5659152186607633E-8</v>
      </c>
      <c r="AY50" s="38">
        <f>(MPM!$Q51^2)/(9.81*MPM!$F51*(AW50^2))</f>
        <v>0.13607971409933875</v>
      </c>
      <c r="AZ50" s="36">
        <f>8.1*((AY50/MPM!$AE51)^(1/6))</f>
        <v>12.430042982434125</v>
      </c>
      <c r="BA50" s="43">
        <f t="shared" si="35"/>
        <v>2.1886398357826931E-8</v>
      </c>
      <c r="BB50" s="38">
        <f>(MPM!$Q51^2)/(9.81*MPM!$F51*(AZ50^2))</f>
        <v>0.13607971415890463</v>
      </c>
      <c r="BC50" s="36">
        <f>8.1*((BB50/MPM!$AE51)^(1/6))</f>
        <v>12.430042983340957</v>
      </c>
      <c r="BD50" s="43">
        <f t="shared" si="36"/>
        <v>7.2954851731890648E-9</v>
      </c>
      <c r="BE50" s="38">
        <f>(MPM!$Q51^2)/(9.81*MPM!$F51*(BC50^2))</f>
        <v>0.13607971413904926</v>
      </c>
      <c r="BF50" s="36">
        <f>8.1*((BE50/MPM!$AE51)^(1/6))</f>
        <v>12.430042983038678</v>
      </c>
      <c r="BG50" s="43">
        <f t="shared" si="37"/>
        <v>2.4318426819564059E-9</v>
      </c>
      <c r="BH50" s="38">
        <f>(MPM!$Q51^2)/(9.81*MPM!$F51*(BF50^2))</f>
        <v>0.1360797141456678</v>
      </c>
      <c r="BI50" s="36">
        <f>8.1*((BH50/MPM!$AE51)^(1/6))</f>
        <v>12.430042983139439</v>
      </c>
      <c r="BJ50" s="43">
        <f t="shared" si="38"/>
        <v>8.106189909236462E-10</v>
      </c>
      <c r="BK50" s="38">
        <f>(MPM!$Q51^2)/(9.81*MPM!$F51*(BI50^2))</f>
        <v>0.13607971414346159</v>
      </c>
      <c r="BL50" s="36">
        <f>8.1*((BK50/MPM!$AE51)^(1/6))</f>
        <v>12.430042983105853</v>
      </c>
      <c r="BM50" s="43">
        <f t="shared" si="39"/>
        <v>2.7019680308578163E-10</v>
      </c>
      <c r="BN50" s="43">
        <f t="shared" si="40"/>
        <v>1.6212610768961554E-9</v>
      </c>
    </row>
    <row r="51" spans="1:66">
      <c r="A51" s="36">
        <f>MPM!B52</f>
        <v>47</v>
      </c>
      <c r="B51" s="41">
        <f>1/(MPM!AC52^0.5)</f>
        <v>12.864632024857363</v>
      </c>
      <c r="C51" s="38">
        <f>(MPM!$Q52^2)/(9.81*MPM!$F52*(Sheet1!B51^2))</f>
        <v>0.14528334379695129</v>
      </c>
      <c r="D51" s="36">
        <f>8.1*((C51/MPM!$AE52)^(1/6))</f>
        <v>12.566365970543671</v>
      </c>
      <c r="E51" s="41">
        <f t="shared" si="19"/>
        <v>2.3735267221473979</v>
      </c>
      <c r="F51" s="38">
        <f>(MPM!$Q52^2)/(9.81*MPM!$F52*(D51^2))</f>
        <v>0.152261869019998</v>
      </c>
      <c r="G51" s="36">
        <f>8.1*((F51/MPM!$AE52)^(1/6))</f>
        <v>12.665011596951505</v>
      </c>
      <c r="H51" s="43">
        <f t="shared" si="20"/>
        <v>0.7788830326186017</v>
      </c>
      <c r="I51" s="38">
        <f>(MPM!$Q52^2)/(9.81*MPM!$F52*(G51^2))</f>
        <v>0.14989922239405573</v>
      </c>
      <c r="J51" s="36">
        <f>8.1*((I51/MPM!$AE52)^(1/6))</f>
        <v>12.632043979694556</v>
      </c>
      <c r="K51" s="43">
        <f t="shared" si="21"/>
        <v>0.26098402847506563</v>
      </c>
      <c r="L51" s="38">
        <f>(MPM!$Q52^2)/(9.81*MPM!$F52*(J51^2))</f>
        <v>0.15068266945609302</v>
      </c>
      <c r="M51" s="36">
        <f>8.1*((L51/MPM!$AE52)^(1/6))</f>
        <v>12.643023639260033</v>
      </c>
      <c r="N51" s="43">
        <f t="shared" si="22"/>
        <v>8.6843621263049106E-2</v>
      </c>
      <c r="O51" s="38">
        <f>(MPM!$Q52^2)/(9.81*MPM!$F52*(M51^2))</f>
        <v>0.15042106652462495</v>
      </c>
      <c r="P51" s="36">
        <f>8.1*((O51/MPM!$AE52)^(1/6))</f>
        <v>12.639362692767428</v>
      </c>
      <c r="Q51" s="43">
        <f t="shared" si="23"/>
        <v>2.8964644670732221E-2</v>
      </c>
      <c r="R51" s="38">
        <f>(MPM!$Q52^2)/(9.81*MPM!$F52*(P51^2))</f>
        <v>0.15050821699906752</v>
      </c>
      <c r="S51" s="36">
        <f>8.1*((R51/MPM!$AE52)^(1/6))</f>
        <v>12.640582890463902</v>
      </c>
      <c r="T51" s="43">
        <f t="shared" si="24"/>
        <v>9.6530176420489468E-3</v>
      </c>
      <c r="U51" s="38">
        <f>(MPM!$Q52^2)/(9.81*MPM!$F52*(S51^2))</f>
        <v>0.15047916123203509</v>
      </c>
      <c r="V51" s="36">
        <f>8.1*((U51/MPM!$AE52)^(1/6))</f>
        <v>12.640176144810388</v>
      </c>
      <c r="W51" s="43">
        <f t="shared" si="25"/>
        <v>3.2178796312181675E-3</v>
      </c>
      <c r="X51" s="38">
        <f>(MPM!$Q52^2)/(9.81*MPM!$F52*(V51^2))</f>
        <v>0.1504888458644095</v>
      </c>
      <c r="Y51" s="36">
        <f>8.1*((X51/MPM!$AE52)^(1/6))</f>
        <v>12.640311725240631</v>
      </c>
      <c r="Z51" s="43">
        <f t="shared" si="26"/>
        <v>1.0726035337563903E-3</v>
      </c>
      <c r="AA51" s="38">
        <f>(MPM!$Q52^2)/(9.81*MPM!$F52*(Y51^2))</f>
        <v>0.15048561758436563</v>
      </c>
      <c r="AB51" s="36">
        <f>8.1*((AA51/MPM!$AE52)^(1/6))</f>
        <v>12.6402665316023</v>
      </c>
      <c r="AC51" s="43">
        <f t="shared" si="27"/>
        <v>3.575370678881021E-4</v>
      </c>
      <c r="AD51" s="38">
        <f>(MPM!$Q52^2)/(9.81*MPM!$F52*(AB51^2))</f>
        <v>0.15048669367001871</v>
      </c>
      <c r="AE51" s="36">
        <f>8.1*((AD51/MPM!$AE52)^(1/6))</f>
        <v>12.640281596130457</v>
      </c>
      <c r="AF51" s="43">
        <f t="shared" si="28"/>
        <v>1.1917873855819598E-4</v>
      </c>
      <c r="AG51" s="38">
        <f>(MPM!$Q52^2)/(9.81*MPM!$F52*(AE51^2))</f>
        <v>0.15048633497394603</v>
      </c>
      <c r="AH51" s="36">
        <f>8.1*((AG51/MPM!$AE52)^(1/6))</f>
        <v>12.640276574619076</v>
      </c>
      <c r="AI51" s="43">
        <f t="shared" si="29"/>
        <v>3.9726277754194392E-5</v>
      </c>
      <c r="AJ51" s="38">
        <f>(MPM!$Q52^2)/(9.81*MPM!$F52*(AH51^2))</f>
        <v>0.15048645453920864</v>
      </c>
      <c r="AK51" s="36">
        <f>8.1*((AJ51/MPM!$AE52)^(1/6))</f>
        <v>12.640278248455981</v>
      </c>
      <c r="AL51" s="43">
        <f t="shared" si="30"/>
        <v>1.3242089079242819E-5</v>
      </c>
      <c r="AM51" s="38">
        <f>(MPM!$Q52^2)/(9.81*MPM!$F52*(AK51^2))</f>
        <v>0.15048641468411053</v>
      </c>
      <c r="AN51" s="36">
        <f>8.1*((AM51/MPM!$AE52)^(1/6))</f>
        <v>12.640277690510322</v>
      </c>
      <c r="AO51" s="43">
        <f t="shared" si="31"/>
        <v>4.4140300799772168E-6</v>
      </c>
      <c r="AP51" s="38">
        <f>(MPM!$Q52^2)/(9.81*MPM!$F52*(AN51^2))</f>
        <v>0.15048642796914208</v>
      </c>
      <c r="AQ51" s="36">
        <f>8.1*((AP51/MPM!$AE52)^(1/6))</f>
        <v>12.640277876492206</v>
      </c>
      <c r="AR51" s="43">
        <f t="shared" si="32"/>
        <v>1.4713433196063641E-6</v>
      </c>
      <c r="AS51" s="38">
        <f>(MPM!$Q52^2)/(9.81*MPM!$F52*(AQ51^2))</f>
        <v>0.15048642354079805</v>
      </c>
      <c r="AT51" s="36">
        <f>8.1*((AS51/MPM!$AE52)^(1/6))</f>
        <v>12.640277814498242</v>
      </c>
      <c r="AU51" s="43">
        <f t="shared" si="33"/>
        <v>4.9044779434504114E-7</v>
      </c>
      <c r="AV51" s="38">
        <f>(MPM!$Q52^2)/(9.81*MPM!$F52*(AT51^2))</f>
        <v>0.15048642501691276</v>
      </c>
      <c r="AW51" s="36">
        <f>8.1*((AV51/MPM!$AE52)^(1/6))</f>
        <v>12.6402778351629</v>
      </c>
      <c r="AX51" s="43">
        <f t="shared" si="34"/>
        <v>1.6348262126965994E-7</v>
      </c>
      <c r="AY51" s="38">
        <f>(MPM!$Q52^2)/(9.81*MPM!$F52*(AW51^2))</f>
        <v>0.15048642452487448</v>
      </c>
      <c r="AZ51" s="36">
        <f>8.1*((AY51/MPM!$AE52)^(1/6))</f>
        <v>12.640277828274678</v>
      </c>
      <c r="BA51" s="43">
        <f t="shared" si="35"/>
        <v>5.4494225857112329E-8</v>
      </c>
      <c r="BB51" s="38">
        <f>(MPM!$Q52^2)/(9.81*MPM!$F52*(AZ51^2))</f>
        <v>0.15048642468888729</v>
      </c>
      <c r="BC51" s="36">
        <f>8.1*((BB51/MPM!$AE52)^(1/6))</f>
        <v>12.640277830570753</v>
      </c>
      <c r="BD51" s="43">
        <f t="shared" si="36"/>
        <v>1.8164746633453569E-8</v>
      </c>
      <c r="BE51" s="38">
        <f>(MPM!$Q52^2)/(9.81*MPM!$F52*(BC51^2))</f>
        <v>0.15048642463421633</v>
      </c>
      <c r="BF51" s="36">
        <f>8.1*((BE51/MPM!$AE52)^(1/6))</f>
        <v>12.640277829805395</v>
      </c>
      <c r="BG51" s="43">
        <f t="shared" si="37"/>
        <v>6.0549108604687705E-9</v>
      </c>
      <c r="BH51" s="38">
        <f>(MPM!$Q52^2)/(9.81*MPM!$F52*(BF51^2))</f>
        <v>0.15048642465243994</v>
      </c>
      <c r="BI51" s="36">
        <f>8.1*((BH51/MPM!$AE52)^(1/6))</f>
        <v>12.640277830060514</v>
      </c>
      <c r="BJ51" s="43">
        <f t="shared" si="38"/>
        <v>2.0182989357331495E-9</v>
      </c>
      <c r="BK51" s="38">
        <f>(MPM!$Q52^2)/(9.81*MPM!$F52*(BI51^2))</f>
        <v>0.15048642464636544</v>
      </c>
      <c r="BL51" s="36">
        <f>8.1*((BK51/MPM!$AE52)^(1/6))</f>
        <v>12.640277829975474</v>
      </c>
      <c r="BM51" s="43">
        <f t="shared" si="39"/>
        <v>6.7276631191557592E-10</v>
      </c>
      <c r="BN51" s="43">
        <f t="shared" si="40"/>
        <v>4.0365780679449542E-9</v>
      </c>
    </row>
    <row r="52" spans="1:66">
      <c r="A52" s="36">
        <f>MPM!B53</f>
        <v>48</v>
      </c>
      <c r="B52" s="41">
        <f>1/(MPM!AC53^0.5)</f>
        <v>12.953278930741501</v>
      </c>
      <c r="C52" s="38">
        <f>(MPM!$Q53^2)/(9.81*MPM!$F53*(Sheet1!B52^2))</f>
        <v>0.14325410356478219</v>
      </c>
      <c r="D52" s="36">
        <f>8.1*((C52/MPM!$AE53)^(1/6))</f>
        <v>12.536940872101246</v>
      </c>
      <c r="E52" s="41">
        <f t="shared" si="19"/>
        <v>3.3208903422902951</v>
      </c>
      <c r="F52" s="38">
        <f>(MPM!$Q53^2)/(9.81*MPM!$F53*(D52^2))</f>
        <v>0.15292671204969005</v>
      </c>
      <c r="G52" s="36">
        <f>8.1*((F52/MPM!$AE53)^(1/6))</f>
        <v>12.674211718315512</v>
      </c>
      <c r="H52" s="43">
        <f t="shared" si="20"/>
        <v>1.0830720621140926</v>
      </c>
      <c r="I52" s="38">
        <f>(MPM!$Q53^2)/(9.81*MPM!$F53*(G52^2))</f>
        <v>0.14963203805514677</v>
      </c>
      <c r="J52" s="36">
        <f>8.1*((I52/MPM!$AE53)^(1/6))</f>
        <v>12.628288574786012</v>
      </c>
      <c r="K52" s="43">
        <f t="shared" si="21"/>
        <v>0.36365294677531335</v>
      </c>
      <c r="L52" s="38">
        <f>(MPM!$Q53^2)/(9.81*MPM!$F53*(J52^2))</f>
        <v>0.15072229947249097</v>
      </c>
      <c r="M52" s="36">
        <f>8.1*((L52/MPM!$AE53)^(1/6))</f>
        <v>12.643577771041445</v>
      </c>
      <c r="N52" s="43">
        <f t="shared" si="22"/>
        <v>0.12092460324363628</v>
      </c>
      <c r="O52" s="38">
        <f>(MPM!$Q53^2)/(9.81*MPM!$F53*(M52^2))</f>
        <v>0.15035799918481355</v>
      </c>
      <c r="P52" s="36">
        <f>8.1*((O52/MPM!$AE53)^(1/6))</f>
        <v>12.638479316641799</v>
      </c>
      <c r="Q52" s="43">
        <f t="shared" si="23"/>
        <v>4.03407266959077E-2</v>
      </c>
      <c r="R52" s="38">
        <f>(MPM!$Q53^2)/(9.81*MPM!$F53*(P52^2))</f>
        <v>0.15047933467272007</v>
      </c>
      <c r="S52" s="36">
        <f>8.1*((R52/MPM!$AE53)^(1/6))</f>
        <v>12.640178572964711</v>
      </c>
      <c r="T52" s="43">
        <f t="shared" si="24"/>
        <v>1.3443293645756818E-2</v>
      </c>
      <c r="U52" s="38">
        <f>(MPM!$Q53^2)/(9.81*MPM!$F53*(S52^2))</f>
        <v>0.15043887863454239</v>
      </c>
      <c r="V52" s="36">
        <f>8.1*((U52/MPM!$AE53)^(1/6))</f>
        <v>12.639612128806732</v>
      </c>
      <c r="W52" s="43">
        <f t="shared" si="25"/>
        <v>4.4814995286756743E-3</v>
      </c>
      <c r="X52" s="38">
        <f>(MPM!$Q53^2)/(9.81*MPM!$F53*(V52^2))</f>
        <v>0.15045236277195528</v>
      </c>
      <c r="Y52" s="36">
        <f>8.1*((X52/MPM!$AE53)^(1/6))</f>
        <v>12.639800940705552</v>
      </c>
      <c r="Z52" s="43">
        <f t="shared" si="26"/>
        <v>1.4937885470312467E-3</v>
      </c>
      <c r="AA52" s="38">
        <f>(MPM!$Q53^2)/(9.81*MPM!$F53*(Y52^2))</f>
        <v>0.15044786792519965</v>
      </c>
      <c r="AB52" s="36">
        <f>8.1*((AA52/MPM!$AE53)^(1/6))</f>
        <v>12.639738003092559</v>
      </c>
      <c r="AC52" s="43">
        <f t="shared" si="27"/>
        <v>4.9793447441595293E-4</v>
      </c>
      <c r="AD52" s="38">
        <f>(MPM!$Q53^2)/(9.81*MPM!$F53*(AB52^2))</f>
        <v>0.15044936619253069</v>
      </c>
      <c r="AE52" s="36">
        <f>8.1*((AD52/MPM!$AE53)^(1/6))</f>
        <v>12.63975898226207</v>
      </c>
      <c r="AF52" s="43">
        <f t="shared" si="28"/>
        <v>1.659776071709782E-4</v>
      </c>
      <c r="AG52" s="38">
        <f>(MPM!$Q53^2)/(9.81*MPM!$F53*(AE52^2))</f>
        <v>0.15044886676842914</v>
      </c>
      <c r="AH52" s="36">
        <f>8.1*((AG52/MPM!$AE53)^(1/6))</f>
        <v>12.639751989201699</v>
      </c>
      <c r="AI52" s="43">
        <f t="shared" si="29"/>
        <v>5.5325930261518495E-5</v>
      </c>
      <c r="AJ52" s="38">
        <f>(MPM!$Q53^2)/(9.81*MPM!$F53*(AH52^2))</f>
        <v>0.1504490332429454</v>
      </c>
      <c r="AK52" s="36">
        <f>8.1*((AJ52/MPM!$AE53)^(1/6))</f>
        <v>12.639754320221391</v>
      </c>
      <c r="AL52" s="43">
        <f t="shared" si="30"/>
        <v>1.8441969937719502E-5</v>
      </c>
      <c r="AM52" s="38">
        <f>(MPM!$Q53^2)/(9.81*MPM!$F53*(AK52^2))</f>
        <v>0.15044897775141955</v>
      </c>
      <c r="AN52" s="36">
        <f>8.1*((AM52/MPM!$AE53)^(1/6))</f>
        <v>12.639753543214779</v>
      </c>
      <c r="AO52" s="43">
        <f t="shared" si="31"/>
        <v>6.1473240699197638E-6</v>
      </c>
      <c r="AP52" s="38">
        <f>(MPM!$Q53^2)/(9.81*MPM!$F53*(AN52^2))</f>
        <v>0.15044899624859256</v>
      </c>
      <c r="AQ52" s="36">
        <f>8.1*((AP52/MPM!$AE53)^(1/6))</f>
        <v>12.639753802216978</v>
      </c>
      <c r="AR52" s="43">
        <f t="shared" si="32"/>
        <v>2.0491079438415401E-6</v>
      </c>
      <c r="AS52" s="38">
        <f>(MPM!$Q53^2)/(9.81*MPM!$F53*(AQ52^2))</f>
        <v>0.15044899008286794</v>
      </c>
      <c r="AT52" s="36">
        <f>8.1*((AS52/MPM!$AE53)^(1/6))</f>
        <v>12.639753715882911</v>
      </c>
      <c r="AU52" s="43">
        <f t="shared" si="33"/>
        <v>6.8303599063047158E-7</v>
      </c>
      <c r="AV52" s="38">
        <f>(MPM!$Q53^2)/(9.81*MPM!$F53*(AT52^2))</f>
        <v>0.15044899213810947</v>
      </c>
      <c r="AW52" s="36">
        <f>8.1*((AV52/MPM!$AE53)^(1/6))</f>
        <v>12.639753744660933</v>
      </c>
      <c r="AX52" s="43">
        <f t="shared" si="34"/>
        <v>2.2767865834053818E-7</v>
      </c>
      <c r="AY52" s="38">
        <f>(MPM!$Q53^2)/(9.81*MPM!$F53*(AW52^2))</f>
        <v>0.15044899145302898</v>
      </c>
      <c r="AZ52" s="36">
        <f>8.1*((AY52/MPM!$AE53)^(1/6))</f>
        <v>12.639753735068259</v>
      </c>
      <c r="BA52" s="43">
        <f t="shared" si="35"/>
        <v>7.5892881486533417E-8</v>
      </c>
      <c r="BB52" s="38">
        <f>(MPM!$Q53^2)/(9.81*MPM!$F53*(AZ52^2))</f>
        <v>0.15044899168138912</v>
      </c>
      <c r="BC52" s="36">
        <f>8.1*((BB52/MPM!$AE53)^(1/6))</f>
        <v>12.639753738265817</v>
      </c>
      <c r="BD52" s="43">
        <f t="shared" si="36"/>
        <v>2.5297627155778107E-8</v>
      </c>
      <c r="BE52" s="38">
        <f>(MPM!$Q53^2)/(9.81*MPM!$F53*(BC52^2))</f>
        <v>0.15044899160526906</v>
      </c>
      <c r="BF52" s="36">
        <f>8.1*((BE52/MPM!$AE53)^(1/6))</f>
        <v>12.639753737199966</v>
      </c>
      <c r="BG52" s="43">
        <f t="shared" si="37"/>
        <v>8.4325330168172371E-9</v>
      </c>
      <c r="BH52" s="38">
        <f>(MPM!$Q53^2)/(9.81*MPM!$F53*(BF52^2))</f>
        <v>0.15044899163064238</v>
      </c>
      <c r="BI52" s="36">
        <f>8.1*((BH52/MPM!$AE53)^(1/6))</f>
        <v>12.639753737555248</v>
      </c>
      <c r="BJ52" s="43">
        <f t="shared" si="38"/>
        <v>2.8108302851302572E-9</v>
      </c>
      <c r="BK52" s="38">
        <f>(MPM!$Q53^2)/(9.81*MPM!$F53*(BI52^2))</f>
        <v>0.15044899162218464</v>
      </c>
      <c r="BL52" s="36">
        <f>8.1*((BK52/MPM!$AE53)^(1/6))</f>
        <v>12.639753737436822</v>
      </c>
      <c r="BM52" s="43">
        <f t="shared" si="39"/>
        <v>9.3693405923232168E-10</v>
      </c>
      <c r="BN52" s="43">
        <f t="shared" si="40"/>
        <v>5.6216624794569428E-9</v>
      </c>
    </row>
    <row r="53" spans="1:66">
      <c r="A53" s="36">
        <f>MPM!B54</f>
        <v>49</v>
      </c>
      <c r="B53" s="41">
        <f>1/(MPM!AC54^0.5)</f>
        <v>13.221526174173221</v>
      </c>
      <c r="C53" s="38">
        <f>(MPM!$Q54^2)/(9.81*MPM!$F54*(Sheet1!B53^2))</f>
        <v>0.11206288657196198</v>
      </c>
      <c r="D53" s="36">
        <f>8.1*((C53/MPM!$AE54)^(1/6))</f>
        <v>12.034203925731966</v>
      </c>
      <c r="E53" s="41">
        <f t="shared" si="19"/>
        <v>9.8662300869148485</v>
      </c>
      <c r="F53" s="38">
        <f>(MPM!$Q54^2)/(9.81*MPM!$F54*(D53^2))</f>
        <v>0.13526649914464009</v>
      </c>
      <c r="G53" s="36">
        <f>8.1*((F53/MPM!$AE54)^(1/6))</f>
        <v>12.417631680036742</v>
      </c>
      <c r="H53" s="43">
        <f t="shared" si="20"/>
        <v>3.0877687805895824</v>
      </c>
      <c r="I53" s="38">
        <f>(MPM!$Q54^2)/(9.81*MPM!$F54*(G53^2))</f>
        <v>0.12704203303754991</v>
      </c>
      <c r="J53" s="36">
        <f>8.1*((I53/MPM!$AE54)^(1/6))</f>
        <v>12.288483902393537</v>
      </c>
      <c r="K53" s="43">
        <f t="shared" si="21"/>
        <v>1.0509659179196984</v>
      </c>
      <c r="L53" s="38">
        <f>(MPM!$Q54^2)/(9.81*MPM!$F54*(J53^2))</f>
        <v>0.12972640214041617</v>
      </c>
      <c r="M53" s="36">
        <f>8.1*((L53/MPM!$AE54)^(1/6))</f>
        <v>12.331383225011763</v>
      </c>
      <c r="N53" s="43">
        <f t="shared" si="22"/>
        <v>0.34788735241974272</v>
      </c>
      <c r="O53" s="38">
        <f>(MPM!$Q54^2)/(9.81*MPM!$F54*(M53^2))</f>
        <v>0.12882536867051969</v>
      </c>
      <c r="P53" s="36">
        <f>8.1*((O53/MPM!$AE54)^(1/6))</f>
        <v>12.317066836313669</v>
      </c>
      <c r="Q53" s="43">
        <f t="shared" si="23"/>
        <v>0.11623212643358492</v>
      </c>
      <c r="R53" s="38">
        <f>(MPM!$Q54^2)/(9.81*MPM!$F54*(P53^2))</f>
        <v>0.12912501564318074</v>
      </c>
      <c r="S53" s="36">
        <f>8.1*((R53/MPM!$AE54)^(1/6))</f>
        <v>12.321837118156793</v>
      </c>
      <c r="T53" s="43">
        <f t="shared" si="24"/>
        <v>3.8714047242958925E-2</v>
      </c>
      <c r="U53" s="38">
        <f>(MPM!$Q54^2)/(9.81*MPM!$F54*(S53^2))</f>
        <v>0.12902505595702982</v>
      </c>
      <c r="V53" s="36">
        <f>8.1*((U53/MPM!$AE54)^(1/6))</f>
        <v>12.320246818968368</v>
      </c>
      <c r="W53" s="43">
        <f t="shared" si="25"/>
        <v>1.2908014034076886E-2</v>
      </c>
      <c r="X53" s="38">
        <f>(MPM!$Q54^2)/(9.81*MPM!$F54*(V53^2))</f>
        <v>0.12905836725146516</v>
      </c>
      <c r="Y53" s="36">
        <f>8.1*((X53/MPM!$AE54)^(1/6))</f>
        <v>12.320776895891029</v>
      </c>
      <c r="Z53" s="43">
        <f t="shared" si="26"/>
        <v>4.3023011222471973E-3</v>
      </c>
      <c r="AA53" s="38">
        <f>(MPM!$Q54^2)/(9.81*MPM!$F54*(Y53^2))</f>
        <v>0.12904726253118431</v>
      </c>
      <c r="AB53" s="36">
        <f>8.1*((AA53/MPM!$AE54)^(1/6))</f>
        <v>12.320600201049469</v>
      </c>
      <c r="AC53" s="43">
        <f t="shared" si="27"/>
        <v>1.434141508341211E-3</v>
      </c>
      <c r="AD53" s="38">
        <f>(MPM!$Q54^2)/(9.81*MPM!$F54*(AB53^2))</f>
        <v>0.12905096399844093</v>
      </c>
      <c r="AE53" s="36">
        <f>8.1*((AD53/MPM!$AE54)^(1/6))</f>
        <v>12.320659099048429</v>
      </c>
      <c r="AF53" s="43">
        <f t="shared" si="28"/>
        <v>4.7804259890852241E-4</v>
      </c>
      <c r="AG53" s="38">
        <f>(MPM!$Q54^2)/(9.81*MPM!$F54*(AE53^2))</f>
        <v>0.12904973016422566</v>
      </c>
      <c r="AH53" s="36">
        <f>8.1*((AG53/MPM!$AE54)^(1/6))</f>
        <v>12.320639466350826</v>
      </c>
      <c r="AI53" s="43">
        <f t="shared" si="29"/>
        <v>1.5934804079256029E-4</v>
      </c>
      <c r="AJ53" s="38">
        <f>(MPM!$Q54^2)/(9.81*MPM!$F54*(AH53^2))</f>
        <v>0.12905014144098667</v>
      </c>
      <c r="AK53" s="36">
        <f>8.1*((AJ53/MPM!$AE54)^(1/6))</f>
        <v>12.320646010579884</v>
      </c>
      <c r="AL53" s="43">
        <f t="shared" si="30"/>
        <v>5.311595716414766E-5</v>
      </c>
      <c r="AM53" s="38">
        <f>(MPM!$Q54^2)/(9.81*MPM!$F54*(AK53^2))</f>
        <v>0.12905000434858738</v>
      </c>
      <c r="AN53" s="36">
        <f>8.1*((AM53/MPM!$AE54)^(1/6))</f>
        <v>12.320643829169812</v>
      </c>
      <c r="AO53" s="43">
        <f t="shared" si="31"/>
        <v>1.7705325318147066E-5</v>
      </c>
      <c r="AP53" s="38">
        <f>(MPM!$Q54^2)/(9.81*MPM!$F54*(AN53^2))</f>
        <v>0.12905005004603762</v>
      </c>
      <c r="AQ53" s="36">
        <f>8.1*((AP53/MPM!$AE54)^(1/6))</f>
        <v>12.32064455630646</v>
      </c>
      <c r="AR53" s="43">
        <f t="shared" si="32"/>
        <v>5.9017744117141322E-6</v>
      </c>
      <c r="AS53" s="38">
        <f>(MPM!$Q54^2)/(9.81*MPM!$F54*(AQ53^2))</f>
        <v>0.1290500348135524</v>
      </c>
      <c r="AT53" s="36">
        <f>8.1*((AS53/MPM!$AE54)^(1/6))</f>
        <v>12.320644313927573</v>
      </c>
      <c r="AU53" s="43">
        <f t="shared" si="33"/>
        <v>1.967258209580454E-6</v>
      </c>
      <c r="AV53" s="38">
        <f>(MPM!$Q54^2)/(9.81*MPM!$F54*(AT53^2))</f>
        <v>0.12905003989104724</v>
      </c>
      <c r="AW53" s="36">
        <f>8.1*((AV53/MPM!$AE54)^(1/6))</f>
        <v>12.320644394720535</v>
      </c>
      <c r="AX53" s="43">
        <f t="shared" si="34"/>
        <v>6.557527274207926E-7</v>
      </c>
      <c r="AY53" s="38">
        <f>(MPM!$Q54^2)/(9.81*MPM!$F54*(AW53^2))</f>
        <v>0.12905003819854893</v>
      </c>
      <c r="AZ53" s="36">
        <f>8.1*((AY53/MPM!$AE54)^(1/6))</f>
        <v>12.320644367789546</v>
      </c>
      <c r="BA53" s="43">
        <f t="shared" si="35"/>
        <v>2.1858425736911504E-7</v>
      </c>
      <c r="BB53" s="38">
        <f>(MPM!$Q54^2)/(9.81*MPM!$F54*(AZ53^2))</f>
        <v>0.12905003876271509</v>
      </c>
      <c r="BC53" s="36">
        <f>8.1*((BB53/MPM!$AE54)^(1/6))</f>
        <v>12.320644376766545</v>
      </c>
      <c r="BD53" s="43">
        <f t="shared" si="36"/>
        <v>7.2861438293586126E-8</v>
      </c>
      <c r="BE53" s="38">
        <f>(MPM!$Q54^2)/(9.81*MPM!$F54*(BC53^2))</f>
        <v>0.12905003857465966</v>
      </c>
      <c r="BF53" s="36">
        <f>8.1*((BE53/MPM!$AE54)^(1/6))</f>
        <v>12.32064437377421</v>
      </c>
      <c r="BG53" s="43">
        <f t="shared" si="37"/>
        <v>2.4287165327396367E-8</v>
      </c>
      <c r="BH53" s="38">
        <f>(MPM!$Q54^2)/(9.81*MPM!$F54*(BF53^2))</f>
        <v>0.12905003863734485</v>
      </c>
      <c r="BI53" s="36">
        <f>8.1*((BH53/MPM!$AE54)^(1/6))</f>
        <v>12.320644374771655</v>
      </c>
      <c r="BJ53" s="43">
        <f t="shared" si="38"/>
        <v>8.0957265810522972E-9</v>
      </c>
      <c r="BK53" s="38">
        <f>(MPM!$Q54^2)/(9.81*MPM!$F54*(BI53^2))</f>
        <v>0.12905003861644976</v>
      </c>
      <c r="BL53" s="36">
        <f>8.1*((BK53/MPM!$AE54)^(1/6))</f>
        <v>12.320644374439173</v>
      </c>
      <c r="BM53" s="43">
        <f t="shared" si="39"/>
        <v>2.6985803329991712E-9</v>
      </c>
      <c r="BN53" s="43">
        <f t="shared" si="40"/>
        <v>1.6191464517835781E-8</v>
      </c>
    </row>
    <row r="54" spans="1:66">
      <c r="A54" s="36">
        <f>MPM!B55</f>
        <v>50</v>
      </c>
      <c r="B54" s="41">
        <f>1/(MPM!AC55^0.5)</f>
        <v>11.488302976200316</v>
      </c>
      <c r="C54" s="38">
        <f>(MPM!$Q55^2)/(9.81*MPM!$F55*(Sheet1!B54^2))</f>
        <v>8.7071059967732664E-2</v>
      </c>
      <c r="D54" s="36">
        <f>8.1*((C54/MPM!$AE55)^(1/6))</f>
        <v>11.53858900156064</v>
      </c>
      <c r="E54" s="41">
        <f t="shared" si="19"/>
        <v>0.43580740551138503</v>
      </c>
      <c r="F54" s="38">
        <f>(MPM!$Q55^2)/(9.81*MPM!$F55*(D54^2))</f>
        <v>8.6313789436991709E-2</v>
      </c>
      <c r="G54" s="36">
        <f>8.1*((F54/MPM!$AE55)^(1/6))</f>
        <v>11.521802583955528</v>
      </c>
      <c r="H54" s="43">
        <f t="shared" si="20"/>
        <v>0.14569263344684225</v>
      </c>
      <c r="I54" s="38">
        <f>(MPM!$Q55^2)/(9.81*MPM!$F55*(G54^2))</f>
        <v>8.6565478315322561E-2</v>
      </c>
      <c r="J54" s="36">
        <f>8.1*((I54/MPM!$AE55)^(1/6))</f>
        <v>11.527395341290806</v>
      </c>
      <c r="K54" s="43">
        <f t="shared" si="21"/>
        <v>4.8517094883040048E-2</v>
      </c>
      <c r="L54" s="38">
        <f>(MPM!$Q55^2)/(9.81*MPM!$F55*(J54^2))</f>
        <v>8.6481500581543649E-2</v>
      </c>
      <c r="M54" s="36">
        <f>8.1*((L54/MPM!$AE55)^(1/6))</f>
        <v>11.525530787270712</v>
      </c>
      <c r="N54" s="43">
        <f t="shared" si="22"/>
        <v>1.6177597843498159E-2</v>
      </c>
      <c r="O54" s="38">
        <f>(MPM!$Q55^2)/(9.81*MPM!$F55*(M54^2))</f>
        <v>8.6509484103637596E-2</v>
      </c>
      <c r="P54" s="36">
        <f>8.1*((O54/MPM!$AE55)^(1/6))</f>
        <v>11.526152271764861</v>
      </c>
      <c r="Q54" s="43">
        <f t="shared" si="23"/>
        <v>5.3919510995094674E-3</v>
      </c>
      <c r="R54" s="38">
        <f>(MPM!$Q55^2)/(9.81*MPM!$F55*(P54^2))</f>
        <v>8.6500155256989203E-2</v>
      </c>
      <c r="S54" s="36">
        <f>8.1*((R54/MPM!$AE55)^(1/6))</f>
        <v>11.525945106543352</v>
      </c>
      <c r="T54" s="43">
        <f t="shared" si="24"/>
        <v>1.797381642841401E-3</v>
      </c>
      <c r="U54" s="38">
        <f>(MPM!$Q55^2)/(9.81*MPM!$F55*(S54^2))</f>
        <v>8.6503264760757009E-2</v>
      </c>
      <c r="V54" s="36">
        <f>8.1*((U54/MPM!$AE55)^(1/6))</f>
        <v>11.526014161203465</v>
      </c>
      <c r="W54" s="43">
        <f t="shared" si="25"/>
        <v>5.9912003531275269E-4</v>
      </c>
      <c r="X54" s="38">
        <f>(MPM!$Q55^2)/(9.81*MPM!$F55*(V54^2))</f>
        <v>8.6502228247081231E-2</v>
      </c>
      <c r="Y54" s="36">
        <f>8.1*((X54/MPM!$AE55)^(1/6))</f>
        <v>11.525991142937457</v>
      </c>
      <c r="Z54" s="43">
        <f t="shared" si="26"/>
        <v>1.9970747610740703E-4</v>
      </c>
      <c r="AA54" s="38">
        <f>(MPM!$Q55^2)/(9.81*MPM!$F55*(Y54^2))</f>
        <v>8.6502573750259854E-2</v>
      </c>
      <c r="AB54" s="36">
        <f>8.1*((AA54/MPM!$AE55)^(1/6))</f>
        <v>11.525998815687684</v>
      </c>
      <c r="AC54" s="43">
        <f t="shared" si="27"/>
        <v>6.6569070063838119E-5</v>
      </c>
      <c r="AD54" s="38">
        <f>(MPM!$Q55^2)/(9.81*MPM!$F55*(AB54^2))</f>
        <v>8.6502458582380329E-2</v>
      </c>
      <c r="AE54" s="36">
        <f>8.1*((AD54/MPM!$AE55)^(1/6))</f>
        <v>11.525996258103708</v>
      </c>
      <c r="AF54" s="43">
        <f t="shared" si="28"/>
        <v>2.2189699861450782E-5</v>
      </c>
      <c r="AG54" s="38">
        <f>(MPM!$Q55^2)/(9.81*MPM!$F55*(AE54^2))</f>
        <v>8.6502496971656462E-2</v>
      </c>
      <c r="AH54" s="36">
        <f>8.1*((AG54/MPM!$AE55)^(1/6))</f>
        <v>11.525997110631637</v>
      </c>
      <c r="AI54" s="43">
        <f t="shared" si="29"/>
        <v>7.3965655288435092E-6</v>
      </c>
      <c r="AJ54" s="38">
        <f>(MPM!$Q55^2)/(9.81*MPM!$F55*(AH54^2))</f>
        <v>8.6502484175229183E-2</v>
      </c>
      <c r="AK54" s="36">
        <f>8.1*((AJ54/MPM!$AE55)^(1/6))</f>
        <v>11.525996826455655</v>
      </c>
      <c r="AL54" s="43">
        <f t="shared" si="30"/>
        <v>2.4655219551082907E-6</v>
      </c>
      <c r="AM54" s="38">
        <f>(MPM!$Q55^2)/(9.81*MPM!$F55*(AK54^2))</f>
        <v>8.6502488440704711E-2</v>
      </c>
      <c r="AN54" s="36">
        <f>8.1*((AM54/MPM!$AE55)^(1/6))</f>
        <v>11.525996921180981</v>
      </c>
      <c r="AO54" s="43">
        <f t="shared" si="31"/>
        <v>8.2184063467404884E-7</v>
      </c>
      <c r="AP54" s="38">
        <f>(MPM!$Q55^2)/(9.81*MPM!$F55*(AN54^2))</f>
        <v>8.6502487018879526E-2</v>
      </c>
      <c r="AQ54" s="36">
        <f>8.1*((AP54/MPM!$AE55)^(1/6))</f>
        <v>11.525996889605873</v>
      </c>
      <c r="AR54" s="43">
        <f t="shared" si="32"/>
        <v>2.7394687897515186E-7</v>
      </c>
      <c r="AS54" s="38">
        <f>(MPM!$Q55^2)/(9.81*MPM!$F55*(AQ54^2))</f>
        <v>8.6502487492821259E-2</v>
      </c>
      <c r="AT54" s="36">
        <f>8.1*((AS54/MPM!$AE55)^(1/6))</f>
        <v>11.525996900130909</v>
      </c>
      <c r="AU54" s="43">
        <f t="shared" si="33"/>
        <v>9.1315631378912321E-8</v>
      </c>
      <c r="AV54" s="38">
        <f>(MPM!$Q55^2)/(9.81*MPM!$F55*(AT54^2))</f>
        <v>8.6502487334840658E-2</v>
      </c>
      <c r="AW54" s="36">
        <f>8.1*((AV54/MPM!$AE55)^(1/6))</f>
        <v>11.525996896622564</v>
      </c>
      <c r="AX54" s="43">
        <f t="shared" si="34"/>
        <v>3.0438543802235825E-8</v>
      </c>
      <c r="AY54" s="38">
        <f>(MPM!$Q55^2)/(9.81*MPM!$F55*(AW54^2))</f>
        <v>8.6502487387500854E-2</v>
      </c>
      <c r="AZ54" s="36">
        <f>8.1*((AY54/MPM!$AE55)^(1/6))</f>
        <v>11.525996897792011</v>
      </c>
      <c r="BA54" s="43">
        <f t="shared" si="35"/>
        <v>1.014616585464106E-8</v>
      </c>
      <c r="BB54" s="38">
        <f>(MPM!$Q55^2)/(9.81*MPM!$F55*(AZ54^2))</f>
        <v>8.6502487369947492E-2</v>
      </c>
      <c r="BC54" s="36">
        <f>8.1*((BB54/MPM!$AE55)^(1/6))</f>
        <v>11.525996897402196</v>
      </c>
      <c r="BD54" s="43">
        <f t="shared" si="36"/>
        <v>3.3820450105004474E-9</v>
      </c>
      <c r="BE54" s="38">
        <f>(MPM!$Q55^2)/(9.81*MPM!$F55*(BC54^2))</f>
        <v>8.6502487375798603E-2</v>
      </c>
      <c r="BF54" s="36">
        <f>8.1*((BE54/MPM!$AE55)^(1/6))</f>
        <v>11.525996897532135</v>
      </c>
      <c r="BG54" s="43">
        <f t="shared" si="37"/>
        <v>1.1273534740679175E-9</v>
      </c>
      <c r="BH54" s="38">
        <f>(MPM!$Q55^2)/(9.81*MPM!$F55*(BF54^2))</f>
        <v>8.6502487373848219E-2</v>
      </c>
      <c r="BI54" s="36">
        <f>8.1*((BH54/MPM!$AE55)^(1/6))</f>
        <v>11.52599689748882</v>
      </c>
      <c r="BJ54" s="43">
        <f t="shared" si="38"/>
        <v>3.7579990309881757E-10</v>
      </c>
      <c r="BK54" s="38">
        <f>(MPM!$Q55^2)/(9.81*MPM!$F55*(BI54^2))</f>
        <v>8.6502487374498366E-2</v>
      </c>
      <c r="BL54" s="36">
        <f>8.1*((BK54/MPM!$AE55)^(1/6))</f>
        <v>11.525996897503259</v>
      </c>
      <c r="BM54" s="43">
        <f t="shared" si="39"/>
        <v>1.252666343661156E-10</v>
      </c>
      <c r="BN54" s="43">
        <f t="shared" si="40"/>
        <v>7.5159295755946103E-10</v>
      </c>
    </row>
    <row r="55" spans="1:66">
      <c r="A55" s="36">
        <f>MPM!B56</f>
        <v>51</v>
      </c>
      <c r="B55" s="41">
        <f>1/(MPM!AC56^0.5)</f>
        <v>12.379329939788274</v>
      </c>
      <c r="C55" s="38">
        <f>(MPM!$Q56^2)/(9.81*MPM!$F56*(Sheet1!B55^2))</f>
        <v>0.10526563901274237</v>
      </c>
      <c r="D55" s="36">
        <f>8.1*((C55/MPM!$AE56)^(1/6))</f>
        <v>11.909353074828099</v>
      </c>
      <c r="E55" s="41">
        <f t="shared" si="19"/>
        <v>3.9462837486406386</v>
      </c>
      <c r="F55" s="38">
        <f>(MPM!$Q56^2)/(9.81*MPM!$F56*(D55^2))</f>
        <v>0.11373773243899099</v>
      </c>
      <c r="G55" s="36">
        <f>8.1*((F55/MPM!$AE56)^(1/6))</f>
        <v>12.063995318116392</v>
      </c>
      <c r="H55" s="43">
        <f t="shared" si="20"/>
        <v>1.2818493310924002</v>
      </c>
      <c r="I55" s="38">
        <f>(MPM!$Q56^2)/(9.81*MPM!$F56*(G55^2))</f>
        <v>0.11084052838974826</v>
      </c>
      <c r="J55" s="36">
        <f>8.1*((I55/MPM!$AE56)^(1/6))</f>
        <v>12.01222606825079</v>
      </c>
      <c r="K55" s="43">
        <f t="shared" si="21"/>
        <v>0.43097132514373965</v>
      </c>
      <c r="L55" s="38">
        <f>(MPM!$Q56^2)/(9.81*MPM!$F56*(J55^2))</f>
        <v>0.11179796888851945</v>
      </c>
      <c r="M55" s="36">
        <f>8.1*((L55/MPM!$AE56)^(1/6))</f>
        <v>12.029457753988025</v>
      </c>
      <c r="N55" s="43">
        <f t="shared" si="22"/>
        <v>0.1432457396637192</v>
      </c>
      <c r="O55" s="38">
        <f>(MPM!$Q56^2)/(9.81*MPM!$F56*(M55^2))</f>
        <v>0.11147790663566778</v>
      </c>
      <c r="P55" s="36">
        <f>8.1*((O55/MPM!$AE56)^(1/6))</f>
        <v>12.023711113929172</v>
      </c>
      <c r="Q55" s="43">
        <f t="shared" si="23"/>
        <v>4.7794229289117335E-2</v>
      </c>
      <c r="R55" s="38">
        <f>(MPM!$Q56^2)/(9.81*MPM!$F56*(P55^2))</f>
        <v>0.11158449211304447</v>
      </c>
      <c r="S55" s="36">
        <f>8.1*((R55/MPM!$AE56)^(1/6))</f>
        <v>12.025626355522871</v>
      </c>
      <c r="T55" s="43">
        <f t="shared" si="24"/>
        <v>1.5926335452944439E-2</v>
      </c>
      <c r="U55" s="38">
        <f>(MPM!$Q56^2)/(9.81*MPM!$F56*(S55^2))</f>
        <v>0.11154895230230982</v>
      </c>
      <c r="V55" s="36">
        <f>8.1*((U55/MPM!$AE56)^(1/6))</f>
        <v>12.024987907763325</v>
      </c>
      <c r="W55" s="43">
        <f t="shared" si="25"/>
        <v>5.309342216744983E-3</v>
      </c>
      <c r="X55" s="38">
        <f>(MPM!$Q56^2)/(9.81*MPM!$F56*(V55^2))</f>
        <v>0.11156079764799028</v>
      </c>
      <c r="Y55" s="36">
        <f>8.1*((X55/MPM!$AE56)^(1/6))</f>
        <v>12.025200719916912</v>
      </c>
      <c r="Z55" s="43">
        <f t="shared" si="26"/>
        <v>1.7697180990418758E-3</v>
      </c>
      <c r="AA55" s="38">
        <f>(MPM!$Q56^2)/(9.81*MPM!$F56*(Y55^2))</f>
        <v>0.11155684905967522</v>
      </c>
      <c r="AB55" s="36">
        <f>8.1*((AA55/MPM!$AE56)^(1/6))</f>
        <v>12.025129782113915</v>
      </c>
      <c r="AC55" s="43">
        <f t="shared" si="27"/>
        <v>5.8991299289395797E-4</v>
      </c>
      <c r="AD55" s="38">
        <f>(MPM!$Q56^2)/(9.81*MPM!$F56*(AB55^2))</f>
        <v>0.1115581652402515</v>
      </c>
      <c r="AE55" s="36">
        <f>8.1*((AD55/MPM!$AE56)^(1/6))</f>
        <v>12.025153428001751</v>
      </c>
      <c r="AF55" s="43">
        <f t="shared" si="28"/>
        <v>1.9663689097844066E-4</v>
      </c>
      <c r="AG55" s="38">
        <f>(MPM!$Q56^2)/(9.81*MPM!$F56*(AE55^2))</f>
        <v>0.11155772651166732</v>
      </c>
      <c r="AH55" s="36">
        <f>8.1*((AG55/MPM!$AE56)^(1/6))</f>
        <v>12.025145546033972</v>
      </c>
      <c r="AI55" s="43">
        <f t="shared" si="29"/>
        <v>6.5545716255380348E-5</v>
      </c>
      <c r="AJ55" s="38">
        <f>(MPM!$Q56^2)/(9.81*MPM!$F56*(AH55^2))</f>
        <v>0.111557872754337</v>
      </c>
      <c r="AK55" s="36">
        <f>8.1*((AJ55/MPM!$AE56)^(1/6))</f>
        <v>12.025148173355991</v>
      </c>
      <c r="AL55" s="43">
        <f t="shared" si="30"/>
        <v>2.1848562535242598E-5</v>
      </c>
      <c r="AM55" s="38">
        <f>(MPM!$Q56^2)/(9.81*MPM!$F56*(AK55^2))</f>
        <v>0.11155782400675916</v>
      </c>
      <c r="AN55" s="36">
        <f>8.1*((AM55/MPM!$AE56)^(1/6))</f>
        <v>12.02514729758192</v>
      </c>
      <c r="AO55" s="43">
        <f t="shared" si="31"/>
        <v>7.2828552406065497E-6</v>
      </c>
      <c r="AP55" s="38">
        <f>(MPM!$Q56^2)/(9.81*MPM!$F56*(AN55^2))</f>
        <v>0.11155784025594942</v>
      </c>
      <c r="AQ55" s="36">
        <f>8.1*((AP55/MPM!$AE56)^(1/6))</f>
        <v>12.025147589506604</v>
      </c>
      <c r="AR55" s="43">
        <f t="shared" si="32"/>
        <v>2.4276183004381457E-6</v>
      </c>
      <c r="AS55" s="38">
        <f>(MPM!$Q56^2)/(9.81*MPM!$F56*(AQ55^2))</f>
        <v>0.11155783483955238</v>
      </c>
      <c r="AT55" s="36">
        <f>8.1*((AS55/MPM!$AE56)^(1/6))</f>
        <v>12.025147492198375</v>
      </c>
      <c r="AU55" s="43">
        <f t="shared" si="33"/>
        <v>8.0920611654220514E-7</v>
      </c>
      <c r="AV55" s="38">
        <f>(MPM!$Q56^2)/(9.81*MPM!$F56*(AT55^2))</f>
        <v>0.11155783664501803</v>
      </c>
      <c r="AW55" s="36">
        <f>8.1*((AV55/MPM!$AE56)^(1/6))</f>
        <v>12.025147524634452</v>
      </c>
      <c r="AX55" s="43">
        <f t="shared" si="34"/>
        <v>2.6973537637716899E-7</v>
      </c>
      <c r="AY55" s="38">
        <f>(MPM!$Q56^2)/(9.81*MPM!$F56*(AW55^2))</f>
        <v>0.11155783604319612</v>
      </c>
      <c r="AZ55" s="36">
        <f>8.1*((AY55/MPM!$AE56)^(1/6))</f>
        <v>12.025147513822425</v>
      </c>
      <c r="BA55" s="43">
        <f t="shared" si="35"/>
        <v>8.9911802054575671E-8</v>
      </c>
      <c r="BB55" s="38">
        <f>(MPM!$Q56^2)/(9.81*MPM!$F56*(AZ55^2))</f>
        <v>0.11155783624380346</v>
      </c>
      <c r="BC55" s="36">
        <f>8.1*((BB55/MPM!$AE56)^(1/6))</f>
        <v>12.025147517426435</v>
      </c>
      <c r="BD55" s="43">
        <f t="shared" si="36"/>
        <v>2.9970605599881863E-8</v>
      </c>
      <c r="BE55" s="38">
        <f>(MPM!$Q56^2)/(9.81*MPM!$F56*(BC55^2))</f>
        <v>0.11155783617693434</v>
      </c>
      <c r="BF55" s="36">
        <f>8.1*((BE55/MPM!$AE56)^(1/6))</f>
        <v>12.025147516225099</v>
      </c>
      <c r="BG55" s="43">
        <f t="shared" si="37"/>
        <v>9.9901969436196511E-9</v>
      </c>
      <c r="BH55" s="38">
        <f>(MPM!$Q56^2)/(9.81*MPM!$F56*(BF55^2))</f>
        <v>0.11155783619922403</v>
      </c>
      <c r="BI55" s="36">
        <f>8.1*((BH55/MPM!$AE56)^(1/6))</f>
        <v>12.025147516625545</v>
      </c>
      <c r="BJ55" s="43">
        <f t="shared" si="38"/>
        <v>3.3300705717680011E-9</v>
      </c>
      <c r="BK55" s="38">
        <f>(MPM!$Q56^2)/(9.81*MPM!$F56*(BI55^2))</f>
        <v>0.11155783619179413</v>
      </c>
      <c r="BL55" s="36">
        <f>8.1*((BK55/MPM!$AE56)^(1/6))</f>
        <v>12.02514751649206</v>
      </c>
      <c r="BM55" s="43">
        <f t="shared" si="39"/>
        <v>1.1100432199576997E-9</v>
      </c>
      <c r="BN55" s="43">
        <f t="shared" si="40"/>
        <v>6.6601362736740086E-9</v>
      </c>
    </row>
    <row r="56" spans="1:66">
      <c r="A56" s="36">
        <f>MPM!B57</f>
        <v>52</v>
      </c>
      <c r="B56" s="41">
        <f>1/(MPM!AC57^0.5)</f>
        <v>10.657379166433261</v>
      </c>
      <c r="C56" s="38">
        <f>(MPM!$Q57^2)/(9.81*MPM!$F57*(Sheet1!B56^2))</f>
        <v>0.14825646968293402</v>
      </c>
      <c r="D56" s="36">
        <f>8.1*((C56/MPM!$AE57)^(1/6))</f>
        <v>12.608865384683606</v>
      </c>
      <c r="E56" s="41">
        <f t="shared" si="19"/>
        <v>15.477096143962946</v>
      </c>
      <c r="F56" s="38">
        <f>(MPM!$Q57^2)/(9.81*MPM!$F57*(D56^2))</f>
        <v>0.10591621994045824</v>
      </c>
      <c r="G56" s="36">
        <f>8.1*((F56/MPM!$AE57)^(1/6))</f>
        <v>11.921588977531639</v>
      </c>
      <c r="H56" s="43">
        <f t="shared" si="20"/>
        <v>5.7649731797268053</v>
      </c>
      <c r="I56" s="38">
        <f>(MPM!$Q57^2)/(9.81*MPM!$F57*(G56^2))</f>
        <v>0.11848031495031934</v>
      </c>
      <c r="J56" s="36">
        <f>8.1*((I56/MPM!$AE57)^(1/6))</f>
        <v>12.146414544195835</v>
      </c>
      <c r="K56" s="43">
        <f t="shared" si="21"/>
        <v>1.8509624041411343</v>
      </c>
      <c r="L56" s="38">
        <f>(MPM!$Q57^2)/(9.81*MPM!$F57*(J56^2))</f>
        <v>0.11413485486660807</v>
      </c>
      <c r="M56" s="36">
        <f>8.1*((L56/MPM!$AE57)^(1/6))</f>
        <v>12.071005492573603</v>
      </c>
      <c r="N56" s="43">
        <f t="shared" si="22"/>
        <v>0.62471226335391816</v>
      </c>
      <c r="O56" s="38">
        <f>(MPM!$Q57^2)/(9.81*MPM!$F57*(M56^2))</f>
        <v>0.11556533802544949</v>
      </c>
      <c r="P56" s="36">
        <f>8.1*((O56/MPM!$AE57)^(1/6))</f>
        <v>12.096089680736938</v>
      </c>
      <c r="Q56" s="43">
        <f t="shared" si="23"/>
        <v>0.20737435671696361</v>
      </c>
      <c r="R56" s="38">
        <f>(MPM!$Q57^2)/(9.81*MPM!$F57*(P56^2))</f>
        <v>0.115086529251424</v>
      </c>
      <c r="S56" s="36">
        <f>8.1*((R56/MPM!$AE57)^(1/6))</f>
        <v>12.087722498217394</v>
      </c>
      <c r="T56" s="43">
        <f t="shared" si="24"/>
        <v>6.922050469621624E-2</v>
      </c>
      <c r="U56" s="38">
        <f>(MPM!$Q57^2)/(9.81*MPM!$F57*(S56^2))</f>
        <v>0.1152459113476548</v>
      </c>
      <c r="V56" s="36">
        <f>8.1*((U56/MPM!$AE57)^(1/6))</f>
        <v>12.090510915770606</v>
      </c>
      <c r="W56" s="43">
        <f t="shared" si="25"/>
        <v>2.3062859565141192E-2</v>
      </c>
      <c r="X56" s="38">
        <f>(MPM!$Q57^2)/(9.81*MPM!$F57*(V56^2))</f>
        <v>0.11519275947215551</v>
      </c>
      <c r="Y56" s="36">
        <f>8.1*((X56/MPM!$AE57)^(1/6))</f>
        <v>12.089581371789398</v>
      </c>
      <c r="Z56" s="43">
        <f t="shared" si="26"/>
        <v>7.6888020570908405E-3</v>
      </c>
      <c r="AA56" s="38">
        <f>(MPM!$Q57^2)/(9.81*MPM!$F57*(Y56^2))</f>
        <v>0.11521047403966819</v>
      </c>
      <c r="AB56" s="36">
        <f>8.1*((AA56/MPM!$AE57)^(1/6))</f>
        <v>12.089891211842275</v>
      </c>
      <c r="AC56" s="43">
        <f t="shared" si="27"/>
        <v>2.562802654280417E-3</v>
      </c>
      <c r="AD56" s="38">
        <f>(MPM!$Q57^2)/(9.81*MPM!$F57*(AB56^2))</f>
        <v>0.11520456888116452</v>
      </c>
      <c r="AE56" s="36">
        <f>8.1*((AD56/MPM!$AE57)^(1/6))</f>
        <v>12.08978793094235</v>
      </c>
      <c r="AF56" s="43">
        <f t="shared" si="28"/>
        <v>8.5428214717071479E-4</v>
      </c>
      <c r="AG56" s="38">
        <f>(MPM!$Q57^2)/(9.81*MPM!$F57*(AE56^2))</f>
        <v>0.1152065372337015</v>
      </c>
      <c r="AH56" s="36">
        <f>8.1*((AG56/MPM!$AE57)^(1/6))</f>
        <v>12.089822357810956</v>
      </c>
      <c r="AI56" s="43">
        <f t="shared" si="29"/>
        <v>2.8475909394500969E-4</v>
      </c>
      <c r="AJ56" s="38">
        <f>(MPM!$Q57^2)/(9.81*MPM!$F57*(AH56^2))</f>
        <v>0.11520588111245249</v>
      </c>
      <c r="AK56" s="36">
        <f>8.1*((AJ56/MPM!$AE57)^(1/6))</f>
        <v>12.089810882177193</v>
      </c>
      <c r="AL56" s="43">
        <f t="shared" si="30"/>
        <v>9.4919878186649923E-5</v>
      </c>
      <c r="AM56" s="38">
        <f>(MPM!$Q57^2)/(9.81*MPM!$F57*(AK56^2))</f>
        <v>0.11520609981912031</v>
      </c>
      <c r="AN56" s="36">
        <f>8.1*((AM56/MPM!$AE57)^(1/6))</f>
        <v>12.089814707387237</v>
      </c>
      <c r="AO56" s="43">
        <f t="shared" si="31"/>
        <v>3.1639939373853287E-5</v>
      </c>
      <c r="AP56" s="38">
        <f>(MPM!$Q57^2)/(9.81*MPM!$F57*(AN56^2))</f>
        <v>0.11520602691685157</v>
      </c>
      <c r="AQ56" s="36">
        <f>8.1*((AP56/MPM!$AE57)^(1/6))</f>
        <v>12.089813432317088</v>
      </c>
      <c r="AR56" s="43">
        <f t="shared" si="32"/>
        <v>1.0546648682039523E-5</v>
      </c>
      <c r="AS56" s="38">
        <f>(MPM!$Q57^2)/(9.81*MPM!$F57*(AQ56^2))</f>
        <v>0.11520605121760269</v>
      </c>
      <c r="AT56" s="36">
        <f>8.1*((AS56/MPM!$AE57)^(1/6))</f>
        <v>12.089813857340456</v>
      </c>
      <c r="AU56" s="43">
        <f t="shared" si="33"/>
        <v>3.5155493097495942E-6</v>
      </c>
      <c r="AV56" s="38">
        <f>(MPM!$Q57^2)/(9.81*MPM!$F57*(AT56^2))</f>
        <v>0.11520604311735175</v>
      </c>
      <c r="AW56" s="36">
        <f>8.1*((AV56/MPM!$AE57)^(1/6))</f>
        <v>12.089813715666001</v>
      </c>
      <c r="AX56" s="43">
        <f t="shared" si="34"/>
        <v>1.1718497787511824E-6</v>
      </c>
      <c r="AY56" s="38">
        <f>(MPM!$Q57^2)/(9.81*MPM!$F57*(AW56^2))</f>
        <v>0.11520604581743528</v>
      </c>
      <c r="AZ56" s="36">
        <f>8.1*((AY56/MPM!$AE57)^(1/6))</f>
        <v>12.089813762890818</v>
      </c>
      <c r="BA56" s="43">
        <f t="shared" si="35"/>
        <v>3.9061658649357948E-7</v>
      </c>
      <c r="BB56" s="38">
        <f>(MPM!$Q57^2)/(9.81*MPM!$F57*(AZ56^2))</f>
        <v>0.11520604491740745</v>
      </c>
      <c r="BC56" s="36">
        <f>8.1*((BB56/MPM!$AE57)^(1/6))</f>
        <v>12.089813747149211</v>
      </c>
      <c r="BD56" s="43">
        <f t="shared" si="36"/>
        <v>1.302055387960641E-7</v>
      </c>
      <c r="BE56" s="38">
        <f>(MPM!$Q57^2)/(9.81*MPM!$F57*(BC56^2))</f>
        <v>0.11520604521741676</v>
      </c>
      <c r="BF56" s="36">
        <f>8.1*((BE56/MPM!$AE57)^(1/6))</f>
        <v>12.089813752396415</v>
      </c>
      <c r="BG56" s="43">
        <f t="shared" si="37"/>
        <v>4.3401856041853613E-8</v>
      </c>
      <c r="BH56" s="38">
        <f>(MPM!$Q57^2)/(9.81*MPM!$F57*(BF56^2))</f>
        <v>0.11520604511741364</v>
      </c>
      <c r="BI56" s="36">
        <f>8.1*((BH56/MPM!$AE57)^(1/6))</f>
        <v>12.089813750647346</v>
      </c>
      <c r="BJ56" s="43">
        <f t="shared" si="38"/>
        <v>1.4467290247045621E-8</v>
      </c>
      <c r="BK56" s="38">
        <f>(MPM!$Q57^2)/(9.81*MPM!$F57*(BI56^2))</f>
        <v>0.11520604515074802</v>
      </c>
      <c r="BL56" s="36">
        <f>8.1*((BK56/MPM!$AE57)^(1/6))</f>
        <v>12.089813751230368</v>
      </c>
      <c r="BM56" s="43">
        <f t="shared" si="39"/>
        <v>4.8224202867798647E-9</v>
      </c>
      <c r="BN56" s="43">
        <f t="shared" si="40"/>
        <v>2.8934572731676529E-8</v>
      </c>
    </row>
    <row r="57" spans="1:66">
      <c r="A57" s="36">
        <f>MPM!B58</f>
        <v>53</v>
      </c>
      <c r="B57" s="41">
        <f>1/(MPM!AC58^0.5)</f>
        <v>11.787076857937494</v>
      </c>
      <c r="C57" s="38">
        <f>(MPM!$Q58^2)/(9.81*MPM!$F58*(Sheet1!B57^2))</f>
        <v>0.16168028629185016</v>
      </c>
      <c r="D57" s="36">
        <f>8.1*((C57/MPM!$AE58)^(1/6))</f>
        <v>12.792337552032553</v>
      </c>
      <c r="E57" s="41">
        <f t="shared" si="19"/>
        <v>7.8583033789265073</v>
      </c>
      <c r="F57" s="38">
        <f>(MPM!$Q58^2)/(9.81*MPM!$F58*(D57^2))</f>
        <v>0.13726805466282441</v>
      </c>
      <c r="G57" s="36">
        <f>8.1*((F57/MPM!$AE58)^(1/6))</f>
        <v>12.448068768502266</v>
      </c>
      <c r="H57" s="43">
        <f t="shared" si="20"/>
        <v>2.7656401160106161</v>
      </c>
      <c r="I57" s="38">
        <f>(MPM!$Q58^2)/(9.81*MPM!$F58*(G57^2))</f>
        <v>0.14496572854793099</v>
      </c>
      <c r="J57" s="36">
        <f>8.1*((I57/MPM!$AE58)^(1/6))</f>
        <v>12.561783075383232</v>
      </c>
      <c r="K57" s="43">
        <f t="shared" si="21"/>
        <v>0.90524017329838791</v>
      </c>
      <c r="L57" s="38">
        <f>(MPM!$Q58^2)/(9.81*MPM!$F58*(J57^2))</f>
        <v>0.14235303188154685</v>
      </c>
      <c r="M57" s="36">
        <f>8.1*((L57/MPM!$AE58)^(1/6))</f>
        <v>12.523763351317868</v>
      </c>
      <c r="N57" s="43">
        <f t="shared" si="22"/>
        <v>0.30358066500325215</v>
      </c>
      <c r="O57" s="38">
        <f>(MPM!$Q58^2)/(9.81*MPM!$F58*(M57^2))</f>
        <v>0.14321865638613468</v>
      </c>
      <c r="P57" s="36">
        <f>8.1*((O57/MPM!$AE58)^(1/6))</f>
        <v>12.536423789755135</v>
      </c>
      <c r="Q57" s="43">
        <f t="shared" si="23"/>
        <v>0.10098923464611562</v>
      </c>
      <c r="R57" s="38">
        <f>(MPM!$Q58^2)/(9.81*MPM!$F58*(P57^2))</f>
        <v>0.14292953160243374</v>
      </c>
      <c r="S57" s="36">
        <f>8.1*((R57/MPM!$AE58)^(1/6))</f>
        <v>12.532202222180699</v>
      </c>
      <c r="T57" s="43">
        <f t="shared" si="24"/>
        <v>3.3685760089035705E-2</v>
      </c>
      <c r="U57" s="38">
        <f>(MPM!$Q58^2)/(9.81*MPM!$F58*(S57^2))</f>
        <v>0.14302584161930662</v>
      </c>
      <c r="V57" s="36">
        <f>8.1*((U57/MPM!$AE58)^(1/6))</f>
        <v>12.533609253394282</v>
      </c>
      <c r="W57" s="43">
        <f t="shared" si="25"/>
        <v>1.1226065733636666E-2</v>
      </c>
      <c r="X57" s="38">
        <f>(MPM!$Q58^2)/(9.81*MPM!$F58*(V57^2))</f>
        <v>0.14299373107179084</v>
      </c>
      <c r="Y57" s="36">
        <f>8.1*((X57/MPM!$AE58)^(1/6))</f>
        <v>12.533140225438187</v>
      </c>
      <c r="Z57" s="43">
        <f t="shared" si="26"/>
        <v>3.7423019902312546E-3</v>
      </c>
      <c r="AA57" s="38">
        <f>(MPM!$Q58^2)/(9.81*MPM!$F58*(Y57^2))</f>
        <v>0.14300443378653865</v>
      </c>
      <c r="AB57" s="36">
        <f>8.1*((AA57/MPM!$AE58)^(1/6))</f>
        <v>12.533296566139986</v>
      </c>
      <c r="AC57" s="43">
        <f t="shared" si="27"/>
        <v>1.2474028758090452E-3</v>
      </c>
      <c r="AD57" s="38">
        <f>(MPM!$Q58^2)/(9.81*MPM!$F58*(AB57^2))</f>
        <v>0.14300086612595114</v>
      </c>
      <c r="AE57" s="36">
        <f>8.1*((AD57/MPM!$AE58)^(1/6))</f>
        <v>12.53324445235603</v>
      </c>
      <c r="AF57" s="43">
        <f t="shared" si="28"/>
        <v>4.1580441644418456E-4</v>
      </c>
      <c r="AG57" s="38">
        <f>(MPM!$Q58^2)/(9.81*MPM!$F58*(AE57^2))</f>
        <v>0.14300205533625737</v>
      </c>
      <c r="AH57" s="36">
        <f>8.1*((AG57/MPM!$AE58)^(1/6))</f>
        <v>12.533261823593273</v>
      </c>
      <c r="AI57" s="43">
        <f t="shared" si="29"/>
        <v>1.3860108795161216E-4</v>
      </c>
      <c r="AJ57" s="38">
        <f>(MPM!$Q58^2)/(9.81*MPM!$F58*(AH57^2))</f>
        <v>0.14300165893172309</v>
      </c>
      <c r="AK57" s="36">
        <f>8.1*((AJ57/MPM!$AE58)^(1/6))</f>
        <v>12.533256033178183</v>
      </c>
      <c r="AL57" s="43">
        <f t="shared" si="30"/>
        <v>4.6200405340052042E-5</v>
      </c>
      <c r="AM57" s="38">
        <f>(MPM!$Q58^2)/(9.81*MPM!$F58*(AK57^2))</f>
        <v>0.14300179106644575</v>
      </c>
      <c r="AN57" s="36">
        <f>8.1*((AM57/MPM!$AE58)^(1/6))</f>
        <v>12.533257963316251</v>
      </c>
      <c r="AO57" s="43">
        <f t="shared" si="31"/>
        <v>1.540013037951894E-5</v>
      </c>
      <c r="AP57" s="38">
        <f>(MPM!$Q58^2)/(9.81*MPM!$F58*(AN57^2))</f>
        <v>0.1430017470215246</v>
      </c>
      <c r="AQ57" s="36">
        <f>8.1*((AP57/MPM!$AE58)^(1/6))</f>
        <v>12.53325731993686</v>
      </c>
      <c r="AR57" s="43">
        <f t="shared" si="32"/>
        <v>5.1333773354271167E-6</v>
      </c>
      <c r="AS57" s="38">
        <f>(MPM!$Q58^2)/(9.81*MPM!$F58*(AQ57^2))</f>
        <v>0.14300176170316356</v>
      </c>
      <c r="AT57" s="36">
        <f>8.1*((AS57/MPM!$AE58)^(1/6))</f>
        <v>12.533257534396654</v>
      </c>
      <c r="AU57" s="43">
        <f t="shared" si="33"/>
        <v>1.7111257255742827E-6</v>
      </c>
      <c r="AV57" s="38">
        <f>(MPM!$Q58^2)/(9.81*MPM!$F58*(AT57^2))</f>
        <v>0.14300175680928373</v>
      </c>
      <c r="AW57" s="36">
        <f>8.1*((AV57/MPM!$AE58)^(1/6))</f>
        <v>12.533257462910056</v>
      </c>
      <c r="AX57" s="43">
        <f t="shared" si="34"/>
        <v>5.7037524511137346E-7</v>
      </c>
      <c r="AY57" s="38">
        <f>(MPM!$Q58^2)/(9.81*MPM!$F58*(AW57^2))</f>
        <v>0.14300175844057697</v>
      </c>
      <c r="AZ57" s="36">
        <f>8.1*((AY57/MPM!$AE58)^(1/6))</f>
        <v>12.53325748673892</v>
      </c>
      <c r="BA57" s="43">
        <f t="shared" si="35"/>
        <v>1.9012506716917005E-7</v>
      </c>
      <c r="BB57" s="38">
        <f>(MPM!$Q58^2)/(9.81*MPM!$F58*(AZ57^2))</f>
        <v>0.1430017578968126</v>
      </c>
      <c r="BC57" s="36">
        <f>8.1*((BB57/MPM!$AE58)^(1/6))</f>
        <v>12.533257478795967</v>
      </c>
      <c r="BD57" s="43">
        <f t="shared" si="36"/>
        <v>6.3375008256741602E-8</v>
      </c>
      <c r="BE57" s="38">
        <f>(MPM!$Q58^2)/(9.81*MPM!$F58*(BC57^2))</f>
        <v>0.14300175807806734</v>
      </c>
      <c r="BF57" s="36">
        <f>8.1*((BE57/MPM!$AE58)^(1/6))</f>
        <v>12.533257481443616</v>
      </c>
      <c r="BG57" s="43">
        <f t="shared" si="37"/>
        <v>2.1124988574638883E-8</v>
      </c>
      <c r="BH57" s="38">
        <f>(MPM!$Q58^2)/(9.81*MPM!$F58*(BF57^2))</f>
        <v>0.14300175801764911</v>
      </c>
      <c r="BI57" s="36">
        <f>8.1*((BH57/MPM!$AE58)^(1/6))</f>
        <v>12.533257480561067</v>
      </c>
      <c r="BJ57" s="43">
        <f t="shared" si="38"/>
        <v>7.0416581343269222E-9</v>
      </c>
      <c r="BK57" s="38">
        <f>(MPM!$Q58^2)/(9.81*MPM!$F58*(BI57^2))</f>
        <v>0.1430017580377885</v>
      </c>
      <c r="BL57" s="36">
        <f>8.1*((BK57/MPM!$AE58)^(1/6))</f>
        <v>12.53325748085525</v>
      </c>
      <c r="BM57" s="43">
        <f t="shared" si="39"/>
        <v>2.3472146536719913E-9</v>
      </c>
      <c r="BN57" s="43">
        <f t="shared" si="40"/>
        <v>1.4083316479387082E-8</v>
      </c>
    </row>
    <row r="58" spans="1:66">
      <c r="A58" s="36">
        <f>MPM!B59</f>
        <v>54</v>
      </c>
      <c r="B58" s="41">
        <f>1/(MPM!AC59^0.5)</f>
        <v>12.676389244673278</v>
      </c>
      <c r="C58" s="38">
        <f>(MPM!$Q59^2)/(9.81*MPM!$F59*(Sheet1!B58^2))</f>
        <v>0.17445730875306939</v>
      </c>
      <c r="D58" s="36">
        <f>8.1*((C58/MPM!$AE59)^(1/6))</f>
        <v>12.955532272274374</v>
      </c>
      <c r="E58" s="41">
        <f t="shared" si="19"/>
        <v>2.1546241538719255</v>
      </c>
      <c r="F58" s="38">
        <f>(MPM!$Q59^2)/(9.81*MPM!$F59*(D58^2))</f>
        <v>0.16702050028040105</v>
      </c>
      <c r="G58" s="36">
        <f>8.1*((F58/MPM!$AE59)^(1/6))</f>
        <v>12.861808204405033</v>
      </c>
      <c r="H58" s="43">
        <f t="shared" si="20"/>
        <v>0.7287005557837567</v>
      </c>
      <c r="I58" s="38">
        <f>(MPM!$Q59^2)/(9.81*MPM!$F59*(G58^2))</f>
        <v>0.16946352777175733</v>
      </c>
      <c r="J58" s="36">
        <f>8.1*((I58/MPM!$AE59)^(1/6))</f>
        <v>12.892973980774761</v>
      </c>
      <c r="K58" s="43">
        <f t="shared" si="21"/>
        <v>0.24172682281217539</v>
      </c>
      <c r="L58" s="38">
        <f>(MPM!$Q59^2)/(9.81*MPM!$F59*(J58^2))</f>
        <v>0.16864524037560102</v>
      </c>
      <c r="M58" s="36">
        <f>8.1*((L58/MPM!$AE59)^(1/6))</f>
        <v>12.882577006720947</v>
      </c>
      <c r="N58" s="43">
        <f t="shared" si="22"/>
        <v>8.0705700795652077E-2</v>
      </c>
      <c r="O58" s="38">
        <f>(MPM!$Q59^2)/(9.81*MPM!$F59*(M58^2))</f>
        <v>0.16891756286737022</v>
      </c>
      <c r="P58" s="36">
        <f>8.1*((O58/MPM!$AE59)^(1/6))</f>
        <v>12.88604173282882</v>
      </c>
      <c r="Q58" s="43">
        <f t="shared" si="23"/>
        <v>2.6887435100001959E-2</v>
      </c>
      <c r="R58" s="38">
        <f>(MPM!$Q59^2)/(9.81*MPM!$F59*(P58^2))</f>
        <v>0.16882673987882105</v>
      </c>
      <c r="S58" s="36">
        <f>8.1*((R58/MPM!$AE59)^(1/6))</f>
        <v>12.884886720602291</v>
      </c>
      <c r="T58" s="43">
        <f t="shared" si="24"/>
        <v>8.9640852230621383E-3</v>
      </c>
      <c r="U58" s="38">
        <f>(MPM!$Q59^2)/(9.81*MPM!$F59*(S58^2))</f>
        <v>0.16885700878110943</v>
      </c>
      <c r="V58" s="36">
        <f>8.1*((U58/MPM!$AE59)^(1/6))</f>
        <v>12.88527171317434</v>
      </c>
      <c r="W58" s="43">
        <f t="shared" si="25"/>
        <v>2.9878498538466621E-3</v>
      </c>
      <c r="X58" s="38">
        <f>(MPM!$Q59^2)/(9.81*MPM!$F59*(V58^2))</f>
        <v>0.16884691854407208</v>
      </c>
      <c r="Y58" s="36">
        <f>8.1*((X58/MPM!$AE59)^(1/6))</f>
        <v>12.885143381038858</v>
      </c>
      <c r="Z58" s="43">
        <f t="shared" si="26"/>
        <v>9.9596979006659329E-4</v>
      </c>
      <c r="AA58" s="38">
        <f>(MPM!$Q59^2)/(9.81*MPM!$F59*(Y58^2))</f>
        <v>0.16885028188942131</v>
      </c>
      <c r="AB58" s="36">
        <f>8.1*((AA58/MPM!$AE59)^(1/6))</f>
        <v>12.885186158275339</v>
      </c>
      <c r="AC58" s="43">
        <f t="shared" si="27"/>
        <v>3.319877257084836E-4</v>
      </c>
      <c r="AD58" s="38">
        <f>(MPM!$Q59^2)/(9.81*MPM!$F59*(AB58^2))</f>
        <v>0.16884916076686091</v>
      </c>
      <c r="AE58" s="36">
        <f>8.1*((AD58/MPM!$AE59)^(1/6))</f>
        <v>12.88517189918073</v>
      </c>
      <c r="AF58" s="43">
        <f t="shared" si="28"/>
        <v>1.1066282018298803E-4</v>
      </c>
      <c r="AG58" s="38">
        <f>(MPM!$Q59^2)/(9.81*MPM!$F59*(AE58^2))</f>
        <v>0.16884953447355397</v>
      </c>
      <c r="AH58" s="36">
        <f>8.1*((AG58/MPM!$AE59)^(1/6))</f>
        <v>12.885176652210514</v>
      </c>
      <c r="AI58" s="43">
        <f t="shared" si="29"/>
        <v>3.6887579527672542E-5</v>
      </c>
      <c r="AJ58" s="38">
        <f>(MPM!$Q59^2)/(9.81*MPM!$F59*(AH58^2))</f>
        <v>0.16884940990456435</v>
      </c>
      <c r="AK58" s="36">
        <f>8.1*((AJ58/MPM!$AE59)^(1/6))</f>
        <v>12.885175067867056</v>
      </c>
      <c r="AL58" s="43">
        <f t="shared" si="30"/>
        <v>1.2295862880095919E-5</v>
      </c>
      <c r="AM58" s="38">
        <f>(MPM!$Q59^2)/(9.81*MPM!$F59*(AK58^2))</f>
        <v>0.16884945142755073</v>
      </c>
      <c r="AN58" s="36">
        <f>8.1*((AM58/MPM!$AE59)^(1/6))</f>
        <v>12.885175595981522</v>
      </c>
      <c r="AO58" s="43">
        <f t="shared" si="31"/>
        <v>4.098620635803141E-6</v>
      </c>
      <c r="AP58" s="38">
        <f>(MPM!$Q59^2)/(9.81*MPM!$F59*(AN58^2))</f>
        <v>0.1688494375865541</v>
      </c>
      <c r="AQ58" s="36">
        <f>8.1*((AP58/MPM!$AE59)^(1/6))</f>
        <v>12.885175419943366</v>
      </c>
      <c r="AR58" s="43">
        <f t="shared" si="32"/>
        <v>1.3662069064569603E-6</v>
      </c>
      <c r="AS58" s="38">
        <f>(MPM!$Q59^2)/(9.81*MPM!$F59*(AQ58^2))</f>
        <v>0.1688494422002195</v>
      </c>
      <c r="AT58" s="36">
        <f>8.1*((AS58/MPM!$AE59)^(1/6))</f>
        <v>12.885175478622749</v>
      </c>
      <c r="AU58" s="43">
        <f t="shared" si="33"/>
        <v>4.5540228169700656E-7</v>
      </c>
      <c r="AV58" s="38">
        <f>(MPM!$Q59^2)/(9.81*MPM!$F59*(AT58^2))</f>
        <v>0.16884944066233104</v>
      </c>
      <c r="AW58" s="36">
        <f>8.1*((AV58/MPM!$AE59)^(1/6))</f>
        <v>12.885175459062955</v>
      </c>
      <c r="AX58" s="43">
        <f t="shared" si="34"/>
        <v>1.5180075620075328E-7</v>
      </c>
      <c r="AY58" s="38">
        <f>(MPM!$Q59^2)/(9.81*MPM!$F59*(AW58^2))</f>
        <v>0.16884944117496051</v>
      </c>
      <c r="AZ58" s="36">
        <f>8.1*((AY58/MPM!$AE59)^(1/6))</f>
        <v>12.885175465582886</v>
      </c>
      <c r="BA58" s="43">
        <f t="shared" si="35"/>
        <v>5.0600252041313904E-8</v>
      </c>
      <c r="BB58" s="38">
        <f>(MPM!$Q59^2)/(9.81*MPM!$F59*(AZ58^2))</f>
        <v>0.16884944100408403</v>
      </c>
      <c r="BC58" s="36">
        <f>8.1*((BB58/MPM!$AE59)^(1/6))</f>
        <v>12.885175463409578</v>
      </c>
      <c r="BD58" s="43">
        <f t="shared" si="36"/>
        <v>1.6866736897232004E-8</v>
      </c>
      <c r="BE58" s="38">
        <f>(MPM!$Q59^2)/(9.81*MPM!$F59*(BC58^2))</f>
        <v>0.16884944106104283</v>
      </c>
      <c r="BF58" s="36">
        <f>8.1*((BE58/MPM!$AE59)^(1/6))</f>
        <v>12.885175464134013</v>
      </c>
      <c r="BG58" s="43">
        <f t="shared" si="37"/>
        <v>5.6222410367442939E-9</v>
      </c>
      <c r="BH58" s="38">
        <f>(MPM!$Q59^2)/(9.81*MPM!$F59*(BF58^2))</f>
        <v>0.16884944104205657</v>
      </c>
      <c r="BI58" s="36">
        <f>8.1*((BH58/MPM!$AE59)^(1/6))</f>
        <v>12.885175463892534</v>
      </c>
      <c r="BJ58" s="43">
        <f t="shared" si="38"/>
        <v>1.8740895363171087E-9</v>
      </c>
      <c r="BK58" s="38">
        <f>(MPM!$Q59^2)/(9.81*MPM!$F59*(BI58^2))</f>
        <v>0.16884944104838534</v>
      </c>
      <c r="BL58" s="36">
        <f>8.1*((BK58/MPM!$AE59)^(1/6))</f>
        <v>12.885175463973027</v>
      </c>
      <c r="BM58" s="43">
        <f t="shared" si="39"/>
        <v>6.2470110745207817E-10</v>
      </c>
      <c r="BN58" s="43">
        <f t="shared" si="40"/>
        <v>3.7481739953826124E-9</v>
      </c>
    </row>
    <row r="59" spans="1:66">
      <c r="A59" s="36">
        <f>MPM!B60</f>
        <v>55</v>
      </c>
      <c r="B59" s="41">
        <f>1/(MPM!AC60^0.5)</f>
        <v>10.811938022572692</v>
      </c>
      <c r="C59" s="38">
        <f>(MPM!$Q60^2)/(9.81*MPM!$F60*(Sheet1!B59^2))</f>
        <v>6.7065300441302308E-2</v>
      </c>
      <c r="D59" s="36">
        <f>8.1*((C59/MPM!$AE60)^(1/6))</f>
        <v>11.047314336916136</v>
      </c>
      <c r="E59" s="41">
        <f t="shared" si="19"/>
        <v>2.130620231895652</v>
      </c>
      <c r="F59" s="38">
        <f>(MPM!$Q60^2)/(9.81*MPM!$F60*(D59^2))</f>
        <v>6.4237931300383841E-2</v>
      </c>
      <c r="G59" s="36">
        <f>8.1*((F59/MPM!$AE60)^(1/6))</f>
        <v>10.968291655123849</v>
      </c>
      <c r="H59" s="43">
        <f t="shared" si="20"/>
        <v>0.7204648114492036</v>
      </c>
      <c r="I59" s="38">
        <f>(MPM!$Q60^2)/(9.81*MPM!$F60*(G59^2))</f>
        <v>6.516688907700241E-2</v>
      </c>
      <c r="J59" s="36">
        <f>8.1*((I59/MPM!$AE60)^(1/6))</f>
        <v>10.994569542086781</v>
      </c>
      <c r="K59" s="43">
        <f t="shared" si="21"/>
        <v>0.23900787440873564</v>
      </c>
      <c r="L59" s="38">
        <f>(MPM!$Q60^2)/(9.81*MPM!$F60*(J59^2))</f>
        <v>6.4855753348516024E-2</v>
      </c>
      <c r="M59" s="36">
        <f>8.1*((L59/MPM!$AE60)^(1/6))</f>
        <v>10.985803258682733</v>
      </c>
      <c r="N59" s="43">
        <f t="shared" si="22"/>
        <v>7.9796471843055869E-2</v>
      </c>
      <c r="O59" s="38">
        <f>(MPM!$Q60^2)/(9.81*MPM!$F60*(M59^2))</f>
        <v>6.4959299851185981E-2</v>
      </c>
      <c r="P59" s="36">
        <f>8.1*((O59/MPM!$AE60)^(1/6))</f>
        <v>10.988724576252364</v>
      </c>
      <c r="Q59" s="43">
        <f t="shared" si="23"/>
        <v>2.6584682775150154E-2</v>
      </c>
      <c r="R59" s="38">
        <f>(MPM!$Q60^2)/(9.81*MPM!$F60*(P59^2))</f>
        <v>6.4924765994557543E-2</v>
      </c>
      <c r="S59" s="36">
        <f>8.1*((R59/MPM!$AE60)^(1/6))</f>
        <v>10.98775071742496</v>
      </c>
      <c r="T59" s="43">
        <f t="shared" si="24"/>
        <v>8.8631317951141323E-3</v>
      </c>
      <c r="U59" s="38">
        <f>(MPM!$Q60^2)/(9.81*MPM!$F60*(S59^2))</f>
        <v>6.4936275239730265E-2</v>
      </c>
      <c r="V59" s="36">
        <f>8.1*((U59/MPM!$AE60)^(1/6))</f>
        <v>10.988075327444079</v>
      </c>
      <c r="W59" s="43">
        <f t="shared" si="25"/>
        <v>2.9542027101690078E-3</v>
      </c>
      <c r="X59" s="38">
        <f>(MPM!$Q60^2)/(9.81*MPM!$F60*(V59^2))</f>
        <v>6.4932438597996148E-2</v>
      </c>
      <c r="Y59" s="36">
        <f>8.1*((X59/MPM!$AE60)^(1/6))</f>
        <v>10.987967123038841</v>
      </c>
      <c r="Z59" s="43">
        <f t="shared" si="26"/>
        <v>9.8475363119383775E-4</v>
      </c>
      <c r="AA59" s="38">
        <f>(MPM!$Q60^2)/(9.81*MPM!$F60*(Y59^2))</f>
        <v>6.4933717453386747E-2</v>
      </c>
      <c r="AB59" s="36">
        <f>8.1*((AA59/MPM!$AE60)^(1/6))</f>
        <v>10.988003191055528</v>
      </c>
      <c r="AC59" s="43">
        <f t="shared" si="27"/>
        <v>3.2824905544673034E-4</v>
      </c>
      <c r="AD59" s="38">
        <f>(MPM!$Q60^2)/(9.81*MPM!$F60*(AB59^2))</f>
        <v>6.4933291165457971E-2</v>
      </c>
      <c r="AE59" s="36">
        <f>8.1*((AD59/MPM!$AE60)^(1/6))</f>
        <v>10.987991168370142</v>
      </c>
      <c r="AF59" s="43">
        <f t="shared" si="28"/>
        <v>1.0941659127396665E-4</v>
      </c>
      <c r="AG59" s="38">
        <f>(MPM!$Q60^2)/(9.81*MPM!$F60*(AE59^2))</f>
        <v>6.4933433261123302E-2</v>
      </c>
      <c r="AH59" s="36">
        <f>8.1*((AG59/MPM!$AE60)^(1/6))</f>
        <v>10.987995175930477</v>
      </c>
      <c r="AI59" s="43">
        <f t="shared" si="29"/>
        <v>3.6472170500387483E-5</v>
      </c>
      <c r="AJ59" s="38">
        <f>(MPM!$Q60^2)/(9.81*MPM!$F60*(AH59^2))</f>
        <v>6.4933385895866946E-2</v>
      </c>
      <c r="AK59" s="36">
        <f>8.1*((AJ59/MPM!$AE60)^(1/6))</f>
        <v>10.987993840076868</v>
      </c>
      <c r="AL59" s="43">
        <f t="shared" si="30"/>
        <v>1.2157393137509938E-5</v>
      </c>
      <c r="AM59" s="38">
        <f>(MPM!$Q60^2)/(9.81*MPM!$F60*(AK59^2))</f>
        <v>6.4933401684281924E-2</v>
      </c>
      <c r="AN59" s="36">
        <f>8.1*((AM59/MPM!$AE60)^(1/6))</f>
        <v>10.987994285361387</v>
      </c>
      <c r="AO59" s="43">
        <f t="shared" si="31"/>
        <v>4.0524640532818872E-6</v>
      </c>
      <c r="AP59" s="38">
        <f>(MPM!$Q60^2)/(9.81*MPM!$F60*(AN59^2))</f>
        <v>6.4933396421476511E-2</v>
      </c>
      <c r="AQ59" s="36">
        <f>8.1*((AP59/MPM!$AE60)^(1/6))</f>
        <v>10.987994136933214</v>
      </c>
      <c r="AR59" s="43">
        <f t="shared" si="32"/>
        <v>1.3508213693411459E-6</v>
      </c>
      <c r="AS59" s="38">
        <f>(MPM!$Q60^2)/(9.81*MPM!$F60*(AQ59^2))</f>
        <v>6.4933398175744894E-2</v>
      </c>
      <c r="AT59" s="36">
        <f>8.1*((AS59/MPM!$AE60)^(1/6))</f>
        <v>10.987994186409269</v>
      </c>
      <c r="AU59" s="43">
        <f t="shared" si="33"/>
        <v>4.5027376619779312E-7</v>
      </c>
      <c r="AV59" s="38">
        <f>(MPM!$Q60^2)/(9.81*MPM!$F60*(AT59^2))</f>
        <v>6.4933397590988789E-2</v>
      </c>
      <c r="AW59" s="36">
        <f>8.1*((AV59/MPM!$AE60)^(1/6))</f>
        <v>10.987994169917252</v>
      </c>
      <c r="AX59" s="43">
        <f t="shared" si="34"/>
        <v>1.5009123945819507E-7</v>
      </c>
      <c r="AY59" s="38">
        <f>(MPM!$Q60^2)/(9.81*MPM!$F60*(AW59^2))</f>
        <v>6.4933397785907468E-2</v>
      </c>
      <c r="AZ59" s="36">
        <f>8.1*((AY59/MPM!$AE60)^(1/6))</f>
        <v>10.98799417541459</v>
      </c>
      <c r="BA59" s="43">
        <f t="shared" si="35"/>
        <v>5.0030402350139202E-8</v>
      </c>
      <c r="BB59" s="38">
        <f>(MPM!$Q60^2)/(9.81*MPM!$F60*(AZ59^2))</f>
        <v>6.4933397720934594E-2</v>
      </c>
      <c r="BC59" s="36">
        <f>8.1*((BB59/MPM!$AE60)^(1/6))</f>
        <v>10.987994173582145</v>
      </c>
      <c r="BD59" s="43">
        <f t="shared" si="36"/>
        <v>1.6676795397379851E-8</v>
      </c>
      <c r="BE59" s="38">
        <f>(MPM!$Q60^2)/(9.81*MPM!$F60*(BC59^2))</f>
        <v>6.4933397742592214E-2</v>
      </c>
      <c r="BF59" s="36">
        <f>8.1*((BE59/MPM!$AE60)^(1/6))</f>
        <v>10.987994174192961</v>
      </c>
      <c r="BG59" s="43">
        <f t="shared" si="37"/>
        <v>5.5589425763796742E-9</v>
      </c>
      <c r="BH59" s="38">
        <f>(MPM!$Q60^2)/(9.81*MPM!$F60*(BF59^2))</f>
        <v>6.4933397735372989E-2</v>
      </c>
      <c r="BI59" s="36">
        <f>8.1*((BH59/MPM!$AE60)^(1/6))</f>
        <v>10.987994173989355</v>
      </c>
      <c r="BJ59" s="43">
        <f t="shared" si="38"/>
        <v>1.852986247608598E-9</v>
      </c>
      <c r="BK59" s="38">
        <f>(MPM!$Q60^2)/(9.81*MPM!$F60*(BI59^2))</f>
        <v>6.4933397737779397E-2</v>
      </c>
      <c r="BL59" s="36">
        <f>8.1*((BK59/MPM!$AE60)^(1/6))</f>
        <v>10.987994174057222</v>
      </c>
      <c r="BM59" s="43">
        <f t="shared" si="39"/>
        <v>6.1765130497030903E-10</v>
      </c>
      <c r="BN59" s="43">
        <f t="shared" si="40"/>
        <v>3.7059640950760473E-9</v>
      </c>
    </row>
    <row r="60" spans="1:66">
      <c r="A60" s="36">
        <f>MPM!B61</f>
        <v>56</v>
      </c>
      <c r="B60" s="41">
        <f>1/(MPM!AC61^0.5)</f>
        <v>10.552599317142464</v>
      </c>
      <c r="C60" s="38">
        <f>(MPM!$Q61^2)/(9.81*MPM!$F61*(Sheet1!B60^2))</f>
        <v>5.6455579941675813E-2</v>
      </c>
      <c r="D60" s="36">
        <f>8.1*((C60/MPM!$AE61)^(1/6))</f>
        <v>10.734740357442242</v>
      </c>
      <c r="E60" s="41">
        <f t="shared" si="19"/>
        <v>1.6967437891825825</v>
      </c>
      <c r="F60" s="38">
        <f>(MPM!$Q61^2)/(9.81*MPM!$F61*(D60^2))</f>
        <v>5.4556020068891674E-2</v>
      </c>
      <c r="G60" s="36">
        <f>8.1*((F60/MPM!$AE61)^(1/6))</f>
        <v>10.673680018197034</v>
      </c>
      <c r="H60" s="43">
        <f t="shared" si="20"/>
        <v>0.57206454700823517</v>
      </c>
      <c r="I60" s="38">
        <f>(MPM!$Q61^2)/(9.81*MPM!$F61*(G60^2))</f>
        <v>5.5181996755598428E-2</v>
      </c>
      <c r="J60" s="36">
        <f>8.1*((I60/MPM!$AE61)^(1/6))</f>
        <v>10.693994775875247</v>
      </c>
      <c r="K60" s="43">
        <f t="shared" si="21"/>
        <v>0.18996416310246331</v>
      </c>
      <c r="L60" s="38">
        <f>(MPM!$Q61^2)/(9.81*MPM!$F61*(J60^2))</f>
        <v>5.4972543850826845E-2</v>
      </c>
      <c r="M60" s="36">
        <f>8.1*((L60/MPM!$AE61)^(1/6))</f>
        <v>10.687218897589389</v>
      </c>
      <c r="N60" s="43">
        <f t="shared" si="22"/>
        <v>6.3401698335063955E-2</v>
      </c>
      <c r="O60" s="38">
        <f>(MPM!$Q61^2)/(9.81*MPM!$F61*(M60^2))</f>
        <v>5.504227300139334E-2</v>
      </c>
      <c r="P60" s="36">
        <f>8.1*((O60/MPM!$AE61)^(1/6))</f>
        <v>10.68947704651697</v>
      </c>
      <c r="Q60" s="43">
        <f t="shared" si="23"/>
        <v>2.1124971013587557E-2</v>
      </c>
      <c r="R60" s="38">
        <f>(MPM!$Q61^2)/(9.81*MPM!$F61*(P60^2))</f>
        <v>5.501902012930051E-2</v>
      </c>
      <c r="S60" s="36">
        <f>8.1*((R60/MPM!$AE61)^(1/6))</f>
        <v>10.688724277197855</v>
      </c>
      <c r="T60" s="43">
        <f t="shared" si="24"/>
        <v>7.042648866163217E-3</v>
      </c>
      <c r="U60" s="38">
        <f>(MPM!$Q61^2)/(9.81*MPM!$F61*(S60^2))</f>
        <v>5.5026769994983432E-2</v>
      </c>
      <c r="V60" s="36">
        <f>8.1*((U60/MPM!$AE61)^(1/6))</f>
        <v>10.688975194413912</v>
      </c>
      <c r="W60" s="43">
        <f t="shared" si="25"/>
        <v>2.3474394083009878E-3</v>
      </c>
      <c r="X60" s="38">
        <f>(MPM!$Q61^2)/(9.81*MPM!$F61*(V60^2))</f>
        <v>5.502418658513783E-2</v>
      </c>
      <c r="Y60" s="36">
        <f>8.1*((X60/MPM!$AE61)^(1/6))</f>
        <v>10.688891554687425</v>
      </c>
      <c r="Z60" s="43">
        <f t="shared" si="26"/>
        <v>7.8249204848814902E-4</v>
      </c>
      <c r="AA60" s="38">
        <f>(MPM!$Q61^2)/(9.81*MPM!$F61*(Y60^2))</f>
        <v>5.5025047708276473E-2</v>
      </c>
      <c r="AB60" s="36">
        <f>8.1*((AA60/MPM!$AE61)^(1/6))</f>
        <v>10.688919434523534</v>
      </c>
      <c r="AC60" s="43">
        <f t="shared" si="27"/>
        <v>2.6082932217668135E-4</v>
      </c>
      <c r="AD60" s="38">
        <f>(MPM!$Q61^2)/(9.81*MPM!$F61*(AB60^2))</f>
        <v>5.5024760665732884E-2</v>
      </c>
      <c r="AE60" s="36">
        <f>8.1*((AD60/MPM!$AE61)^(1/6))</f>
        <v>10.688910141236752</v>
      </c>
      <c r="AF60" s="43">
        <f t="shared" si="28"/>
        <v>8.6943258565199834E-5</v>
      </c>
      <c r="AG60" s="38">
        <f>(MPM!$Q61^2)/(9.81*MPM!$F61*(AE60^2))</f>
        <v>5.5024856346414366E-2</v>
      </c>
      <c r="AH60" s="36">
        <f>8.1*((AG60/MPM!$AE61)^(1/6))</f>
        <v>10.688913238998115</v>
      </c>
      <c r="AI60" s="43">
        <f t="shared" si="29"/>
        <v>2.8981069391395674E-5</v>
      </c>
      <c r="AJ60" s="38">
        <f>(MPM!$Q61^2)/(9.81*MPM!$F61*(AH60^2))</f>
        <v>5.5024824452835387E-2</v>
      </c>
      <c r="AK60" s="36">
        <f>8.1*((AJ60/MPM!$AE61)^(1/6))</f>
        <v>10.688912206410894</v>
      </c>
      <c r="AL60" s="43">
        <f t="shared" si="30"/>
        <v>9.6603583332096307E-6</v>
      </c>
      <c r="AM60" s="38">
        <f>(MPM!$Q61^2)/(9.81*MPM!$F61*(AK60^2))</f>
        <v>5.5024835084026329E-2</v>
      </c>
      <c r="AN60" s="36">
        <f>8.1*((AM60/MPM!$AE61)^(1/6))</f>
        <v>10.688912550606622</v>
      </c>
      <c r="AO60" s="43">
        <f t="shared" si="31"/>
        <v>3.2201192243807211E-6</v>
      </c>
      <c r="AP60" s="38">
        <f>(MPM!$Q61^2)/(9.81*MPM!$F61*(AN60^2))</f>
        <v>5.5024831540295797E-2</v>
      </c>
      <c r="AQ60" s="36">
        <f>8.1*((AP60/MPM!$AE61)^(1/6))</f>
        <v>10.688912435874714</v>
      </c>
      <c r="AR60" s="43">
        <f t="shared" si="32"/>
        <v>1.0733730696961848E-6</v>
      </c>
      <c r="AS60" s="38">
        <f>(MPM!$Q61^2)/(9.81*MPM!$F61*(AQ60^2))</f>
        <v>5.5024832721539255E-2</v>
      </c>
      <c r="AT60" s="36">
        <f>8.1*((AS60/MPM!$AE61)^(1/6))</f>
        <v>10.688912474118681</v>
      </c>
      <c r="AU60" s="43">
        <f t="shared" si="33"/>
        <v>3.5779099425410695E-7</v>
      </c>
      <c r="AV60" s="38">
        <f>(MPM!$Q61^2)/(9.81*MPM!$F61*(AT60^2))</f>
        <v>5.5024832327791463E-2</v>
      </c>
      <c r="AW60" s="36">
        <f>8.1*((AV60/MPM!$AE61)^(1/6))</f>
        <v>10.688912461370693</v>
      </c>
      <c r="AX60" s="43">
        <f t="shared" si="34"/>
        <v>1.1926365381448294E-7</v>
      </c>
      <c r="AY60" s="38">
        <f>(MPM!$Q61^2)/(9.81*MPM!$F61*(AW60^2))</f>
        <v>5.5024832459040711E-2</v>
      </c>
      <c r="AZ60" s="36">
        <f>8.1*((AY60/MPM!$AE61)^(1/6))</f>
        <v>10.688912465620023</v>
      </c>
      <c r="BA60" s="43">
        <f t="shared" si="35"/>
        <v>3.9754556795252187E-8</v>
      </c>
      <c r="BB60" s="38">
        <f>(MPM!$Q61^2)/(9.81*MPM!$F61*(AZ60^2))</f>
        <v>5.5024832415290957E-2</v>
      </c>
      <c r="BC60" s="36">
        <f>8.1*((BB60/MPM!$AE61)^(1/6))</f>
        <v>10.688912464203579</v>
      </c>
      <c r="BD60" s="43">
        <f t="shared" si="36"/>
        <v>1.3251524473068883E-8</v>
      </c>
      <c r="BE60" s="38">
        <f>(MPM!$Q61^2)/(9.81*MPM!$F61*(BC60^2))</f>
        <v>5.5024832429874215E-2</v>
      </c>
      <c r="BF60" s="36">
        <f>8.1*((BE60/MPM!$AE61)^(1/6))</f>
        <v>10.688912464675727</v>
      </c>
      <c r="BG60" s="43">
        <f t="shared" si="37"/>
        <v>4.4171803637233047E-9</v>
      </c>
      <c r="BH60" s="38">
        <f>(MPM!$Q61^2)/(9.81*MPM!$F61*(BF60^2))</f>
        <v>5.5024832425013118E-2</v>
      </c>
      <c r="BI60" s="36">
        <f>8.1*((BH60/MPM!$AE61)^(1/6))</f>
        <v>10.688912464518344</v>
      </c>
      <c r="BJ60" s="43">
        <f t="shared" si="38"/>
        <v>1.4723989941582395E-9</v>
      </c>
      <c r="BK60" s="38">
        <f>(MPM!$Q61^2)/(9.81*MPM!$F61*(BI60^2))</f>
        <v>5.5024832426633488E-2</v>
      </c>
      <c r="BL60" s="36">
        <f>8.1*((BK60/MPM!$AE61)^(1/6))</f>
        <v>10.688912464570803</v>
      </c>
      <c r="BM60" s="43">
        <f t="shared" si="39"/>
        <v>4.9078304603062926E-10</v>
      </c>
      <c r="BN60" s="43">
        <f t="shared" si="40"/>
        <v>2.9447986172441544E-9</v>
      </c>
    </row>
    <row r="61" spans="1:66">
      <c r="A61" s="36">
        <f>MPM!B62</f>
        <v>57</v>
      </c>
      <c r="B61" s="41">
        <f>1/(MPM!AC62^0.5)</f>
        <v>10.380963148072416</v>
      </c>
      <c r="C61" s="38">
        <f>(MPM!$Q62^2)/(9.81*MPM!$F62*(Sheet1!B61^2))</f>
        <v>5.2549103078261487E-2</v>
      </c>
      <c r="D61" s="36">
        <f>8.1*((C61/MPM!$AE62)^(1/6))</f>
        <v>10.60721284894019</v>
      </c>
      <c r="E61" s="41">
        <f t="shared" si="19"/>
        <v>2.13297973831438</v>
      </c>
      <c r="F61" s="38">
        <f>(MPM!$Q62^2)/(9.81*MPM!$F62*(D61^2))</f>
        <v>5.0331287389021373E-2</v>
      </c>
      <c r="G61" s="36">
        <f>8.1*((F61/MPM!$AE62)^(1/6))</f>
        <v>10.531253629507747</v>
      </c>
      <c r="H61" s="43">
        <f t="shared" si="20"/>
        <v>0.72127423861116802</v>
      </c>
      <c r="I61" s="38">
        <f>(MPM!$Q62^2)/(9.81*MPM!$F62*(G61^2))</f>
        <v>5.1059959026234593E-2</v>
      </c>
      <c r="J61" s="36">
        <f>8.1*((I61/MPM!$AE62)^(1/6))</f>
        <v>10.556512737162233</v>
      </c>
      <c r="K61" s="43">
        <f t="shared" si="21"/>
        <v>0.23927511180435923</v>
      </c>
      <c r="L61" s="38">
        <f>(MPM!$Q62^2)/(9.81*MPM!$F62*(J61^2))</f>
        <v>5.0815903809574473E-2</v>
      </c>
      <c r="M61" s="36">
        <f>8.1*((L61/MPM!$AE62)^(1/6))</f>
        <v>10.548086310252062</v>
      </c>
      <c r="N61" s="43">
        <f t="shared" si="22"/>
        <v>7.988583580304337E-2</v>
      </c>
      <c r="O61" s="38">
        <f>(MPM!$Q62^2)/(9.81*MPM!$F62*(M61^2))</f>
        <v>5.0897125657955726E-2</v>
      </c>
      <c r="P61" s="36">
        <f>8.1*((O61/MPM!$AE62)^(1/6))</f>
        <v>10.550894371607047</v>
      </c>
      <c r="Q61" s="43">
        <f t="shared" si="23"/>
        <v>2.6614439080554528E-2</v>
      </c>
      <c r="R61" s="38">
        <f>(MPM!$Q62^2)/(9.81*MPM!$F62*(P61^2))</f>
        <v>5.0870037294139546E-2</v>
      </c>
      <c r="S61" s="36">
        <f>8.1*((R61/MPM!$AE62)^(1/6))</f>
        <v>10.549958268104243</v>
      </c>
      <c r="T61" s="43">
        <f t="shared" si="24"/>
        <v>8.8730540824418121E-3</v>
      </c>
      <c r="U61" s="38">
        <f>(MPM!$Q62^2)/(9.81*MPM!$F62*(S61^2))</f>
        <v>5.0879065146486623E-2</v>
      </c>
      <c r="V61" s="36">
        <f>8.1*((U61/MPM!$AE62)^(1/6))</f>
        <v>10.550270293376634</v>
      </c>
      <c r="W61" s="43">
        <f t="shared" si="25"/>
        <v>2.9575097482314504E-3</v>
      </c>
      <c r="X61" s="38">
        <f>(MPM!$Q62^2)/(9.81*MPM!$F62*(V61^2))</f>
        <v>5.0876055684366817E-2</v>
      </c>
      <c r="Y61" s="36">
        <f>8.1*((X61/MPM!$AE62)^(1/6))</f>
        <v>10.550166283927133</v>
      </c>
      <c r="Z61" s="43">
        <f t="shared" si="26"/>
        <v>9.8585602067257304E-4</v>
      </c>
      <c r="AA61" s="38">
        <f>(MPM!$Q62^2)/(9.81*MPM!$F62*(Y61^2))</f>
        <v>5.0877058818627606E-2</v>
      </c>
      <c r="AB61" s="36">
        <f>8.1*((AA61/MPM!$AE62)^(1/6))</f>
        <v>10.550200953629703</v>
      </c>
      <c r="AC61" s="43">
        <f t="shared" si="27"/>
        <v>3.2861651377576922E-4</v>
      </c>
      <c r="AD61" s="38">
        <f>(MPM!$Q62^2)/(9.81*MPM!$F62*(AB61^2))</f>
        <v>5.0876724438343027E-2</v>
      </c>
      <c r="AE61" s="36">
        <f>8.1*((AD61/MPM!$AE62)^(1/6))</f>
        <v>10.550189397049522</v>
      </c>
      <c r="AF61" s="43">
        <f t="shared" si="28"/>
        <v>1.0953907789500027E-4</v>
      </c>
      <c r="AG61" s="38">
        <f>(MPM!$Q62^2)/(9.81*MPM!$F62*(AE61^2))</f>
        <v>5.0876835898193695E-2</v>
      </c>
      <c r="AH61" s="36">
        <f>8.1*((AG61/MPM!$AE62)^(1/6))</f>
        <v>10.550193249241509</v>
      </c>
      <c r="AI61" s="43">
        <f t="shared" si="29"/>
        <v>3.6512999303551412E-5</v>
      </c>
      <c r="AJ61" s="38">
        <f>(MPM!$Q62^2)/(9.81*MPM!$F62*(AH61^2))</f>
        <v>5.087679874488301E-2</v>
      </c>
      <c r="AK61" s="36">
        <f>8.1*((AJ61/MPM!$AE62)^(1/6))</f>
        <v>10.550191965177358</v>
      </c>
      <c r="AL61" s="43">
        <f t="shared" si="30"/>
        <v>1.2171002719631916E-5</v>
      </c>
      <c r="AM61" s="38">
        <f>(MPM!$Q62^2)/(9.81*MPM!$F62*(AK61^2))</f>
        <v>5.0876811129316878E-2</v>
      </c>
      <c r="AN61" s="36">
        <f>8.1*((AM61/MPM!$AE62)^(1/6))</f>
        <v>10.550192393198722</v>
      </c>
      <c r="AO61" s="43">
        <f t="shared" si="31"/>
        <v>4.0570005567422382E-6</v>
      </c>
      <c r="AP61" s="38">
        <f>(MPM!$Q62^2)/(9.81*MPM!$F62*(AN61^2))</f>
        <v>5.0876807001171934E-2</v>
      </c>
      <c r="AQ61" s="36">
        <f>8.1*((AP61/MPM!$AE62)^(1/6))</f>
        <v>10.550192250524933</v>
      </c>
      <c r="AR61" s="43">
        <f t="shared" si="32"/>
        <v>1.3523335484269386E-6</v>
      </c>
      <c r="AS61" s="38">
        <f>(MPM!$Q62^2)/(9.81*MPM!$F62*(AQ61^2))</f>
        <v>5.0876808377220202E-2</v>
      </c>
      <c r="AT61" s="36">
        <f>8.1*((AS61/MPM!$AE62)^(1/6))</f>
        <v>10.550192298082862</v>
      </c>
      <c r="AU61" s="43">
        <f t="shared" si="33"/>
        <v>4.5077784183123993E-7</v>
      </c>
      <c r="AV61" s="38">
        <f>(MPM!$Q62^2)/(9.81*MPM!$F62*(AT61^2))</f>
        <v>5.0876807918537451E-2</v>
      </c>
      <c r="AW61" s="36">
        <f>8.1*((AV61/MPM!$AE62)^(1/6))</f>
        <v>10.550192282230221</v>
      </c>
      <c r="AX61" s="43">
        <f t="shared" si="34"/>
        <v>1.5025926961139266E-7</v>
      </c>
      <c r="AY61" s="38">
        <f>(MPM!$Q62^2)/(9.81*MPM!$F62*(AW61^2))</f>
        <v>5.0876808071431683E-2</v>
      </c>
      <c r="AZ61" s="36">
        <f>8.1*((AY61/MPM!$AE62)^(1/6))</f>
        <v>10.550192287514433</v>
      </c>
      <c r="BA61" s="43">
        <f t="shared" si="35"/>
        <v>5.0086406341512362E-8</v>
      </c>
      <c r="BB61" s="38">
        <f>(MPM!$Q62^2)/(9.81*MPM!$F62*(AZ61^2))</f>
        <v>5.0876808020466957E-2</v>
      </c>
      <c r="BC61" s="36">
        <f>8.1*((BB61/MPM!$AE62)^(1/6))</f>
        <v>10.550192285753029</v>
      </c>
      <c r="BD61" s="43">
        <f t="shared" si="36"/>
        <v>1.6695463170891935E-8</v>
      </c>
      <c r="BE61" s="38">
        <f>(MPM!$Q62^2)/(9.81*MPM!$F62*(BC61^2))</f>
        <v>5.0876808037455194E-2</v>
      </c>
      <c r="BF61" s="36">
        <f>8.1*((BE61/MPM!$AE62)^(1/6))</f>
        <v>10.550192286340163</v>
      </c>
      <c r="BG61" s="43">
        <f t="shared" si="37"/>
        <v>5.5651487775880335E-9</v>
      </c>
      <c r="BH61" s="38">
        <f>(MPM!$Q62^2)/(9.81*MPM!$F62*(BF61^2))</f>
        <v>5.0876808031792453E-2</v>
      </c>
      <c r="BI61" s="36">
        <f>8.1*((BH61/MPM!$AE62)^(1/6))</f>
        <v>10.550192286144453</v>
      </c>
      <c r="BJ61" s="43">
        <f t="shared" si="38"/>
        <v>1.855038367764617E-9</v>
      </c>
      <c r="BK61" s="38">
        <f>(MPM!$Q62^2)/(9.81*MPM!$F62*(BI61^2))</f>
        <v>5.087680803368002E-2</v>
      </c>
      <c r="BL61" s="36">
        <f>8.1*((BK61/MPM!$AE62)^(1/6))</f>
        <v>10.550192286209688</v>
      </c>
      <c r="BM61" s="43">
        <f t="shared" si="39"/>
        <v>6.1832928538567337E-10</v>
      </c>
      <c r="BN61" s="43">
        <f t="shared" si="40"/>
        <v>3.7100725555514773E-9</v>
      </c>
    </row>
    <row r="62" spans="1:66">
      <c r="A62" s="36">
        <f>MPM!B63</f>
        <v>58</v>
      </c>
      <c r="B62" s="41">
        <f>1/(MPM!AC63^0.5)</f>
        <v>9.259099928856573</v>
      </c>
      <c r="C62" s="38">
        <f>(MPM!$Q63^2)/(9.81*MPM!$F63*(Sheet1!B62^2))</f>
        <v>3.1251169678495387E-2</v>
      </c>
      <c r="D62" s="36">
        <f>8.1*((C62/MPM!$AE63)^(1/6))</f>
        <v>9.7271313082776381</v>
      </c>
      <c r="E62" s="41">
        <f t="shared" si="19"/>
        <v>4.8116074985312229</v>
      </c>
      <c r="F62" s="38">
        <f>(MPM!$Q63^2)/(9.81*MPM!$F63*(D62^2))</f>
        <v>2.8316153785225714E-2</v>
      </c>
      <c r="G62" s="36">
        <f>8.1*((F62/MPM!$AE63)^(1/6))</f>
        <v>9.5685495338140232</v>
      </c>
      <c r="H62" s="43">
        <f t="shared" si="20"/>
        <v>1.6573230237582748</v>
      </c>
      <c r="I62" s="38">
        <f>(MPM!$Q63^2)/(9.81*MPM!$F63*(G62^2))</f>
        <v>2.926251171095064E-2</v>
      </c>
      <c r="J62" s="36">
        <f>8.1*((I62/MPM!$AE63)^(1/6))</f>
        <v>9.6211207611296778</v>
      </c>
      <c r="K62" s="43">
        <f t="shared" si="21"/>
        <v>0.54641479533286663</v>
      </c>
      <c r="L62" s="38">
        <f>(MPM!$Q63^2)/(9.81*MPM!$F63*(J62^2))</f>
        <v>2.8943596012263442E-2</v>
      </c>
      <c r="M62" s="36">
        <f>8.1*((L62/MPM!$AE63)^(1/6))</f>
        <v>9.6035650040065104</v>
      </c>
      <c r="N62" s="43">
        <f t="shared" si="22"/>
        <v>0.18280458471248329</v>
      </c>
      <c r="O62" s="38">
        <f>(MPM!$Q63^2)/(9.81*MPM!$F63*(M62^2))</f>
        <v>2.9049513175554435E-2</v>
      </c>
      <c r="P62" s="36">
        <f>8.1*((O62/MPM!$AE63)^(1/6))</f>
        <v>9.6094133608058119</v>
      </c>
      <c r="Q62" s="43">
        <f t="shared" si="23"/>
        <v>6.0860705848656403E-2</v>
      </c>
      <c r="R62" s="38">
        <f>(MPM!$Q63^2)/(9.81*MPM!$F63*(P62^2))</f>
        <v>2.9014164458039757E-2</v>
      </c>
      <c r="S62" s="36">
        <f>8.1*((R62/MPM!$AE63)^(1/6))</f>
        <v>9.6074635129221342</v>
      </c>
      <c r="T62" s="43">
        <f t="shared" si="24"/>
        <v>2.0295137015666272E-2</v>
      </c>
      <c r="U62" s="38">
        <f>(MPM!$Q63^2)/(9.81*MPM!$F63*(S62^2))</f>
        <v>2.9025942581973101E-2</v>
      </c>
      <c r="V62" s="36">
        <f>8.1*((U62/MPM!$AE63)^(1/6))</f>
        <v>9.6081134182522838</v>
      </c>
      <c r="W62" s="43">
        <f t="shared" si="25"/>
        <v>6.7641304994904379E-3</v>
      </c>
      <c r="X62" s="38">
        <f>(MPM!$Q63^2)/(9.81*MPM!$F63*(V62^2))</f>
        <v>2.9022016009506931E-2</v>
      </c>
      <c r="Y62" s="36">
        <f>8.1*((X62/MPM!$AE63)^(1/6))</f>
        <v>9.6078967782575564</v>
      </c>
      <c r="Z62" s="43">
        <f t="shared" si="26"/>
        <v>2.2548118462063539E-3</v>
      </c>
      <c r="AA62" s="38">
        <f>(MPM!$Q63^2)/(9.81*MPM!$F63*(Y62^2))</f>
        <v>2.9023324807972217E-2</v>
      </c>
      <c r="AB62" s="36">
        <f>8.1*((AA62/MPM!$AE63)^(1/6))</f>
        <v>9.6079689910463788</v>
      </c>
      <c r="AC62" s="43">
        <f t="shared" si="27"/>
        <v>7.5159265074342956E-4</v>
      </c>
      <c r="AD62" s="38">
        <f>(MPM!$Q63^2)/(9.81*MPM!$F63*(AB62^2))</f>
        <v>2.9022888535259209E-2</v>
      </c>
      <c r="AE62" s="36">
        <f>8.1*((AD62/MPM!$AE63)^(1/6))</f>
        <v>9.6079449200564664</v>
      </c>
      <c r="AF62" s="43">
        <f t="shared" si="28"/>
        <v>2.505321388986012E-4</v>
      </c>
      <c r="AG62" s="38">
        <f>(MPM!$Q63^2)/(9.81*MPM!$F63*(AE62^2))</f>
        <v>2.9023033958768207E-2</v>
      </c>
      <c r="AH62" s="36">
        <f>8.1*((AG62/MPM!$AE63)^(1/6))</f>
        <v>9.6079529437130713</v>
      </c>
      <c r="AI62" s="43">
        <f t="shared" si="29"/>
        <v>8.3510573500003216E-5</v>
      </c>
      <c r="AJ62" s="38">
        <f>(MPM!$Q63^2)/(9.81*MPM!$F63*(AH62^2))</f>
        <v>2.9022985484184236E-2</v>
      </c>
      <c r="AK62" s="36">
        <f>8.1*((AJ62/MPM!$AE63)^(1/6))</f>
        <v>9.607950269160126</v>
      </c>
      <c r="AL62" s="43">
        <f t="shared" si="30"/>
        <v>2.7836873322724507E-5</v>
      </c>
      <c r="AM62" s="38">
        <f>(MPM!$Q63^2)/(9.81*MPM!$F63*(AK62^2))</f>
        <v>2.9023001642369893E-2</v>
      </c>
      <c r="AN62" s="36">
        <f>8.1*((AM62/MPM!$AE63)^(1/6))</f>
        <v>9.6079511606776897</v>
      </c>
      <c r="AO62" s="43">
        <f t="shared" si="31"/>
        <v>9.2789560319704929E-6</v>
      </c>
      <c r="AP62" s="38">
        <f>(MPM!$Q63^2)/(9.81*MPM!$F63*(AN62^2))</f>
        <v>2.902299625630702E-2</v>
      </c>
      <c r="AQ62" s="36">
        <f>8.1*((AP62/MPM!$AE63)^(1/6))</f>
        <v>9.6079508635051596</v>
      </c>
      <c r="AR62" s="43">
        <f t="shared" si="32"/>
        <v>3.0929855320977771E-6</v>
      </c>
      <c r="AS62" s="38">
        <f>(MPM!$Q63^2)/(9.81*MPM!$F63*(AQ62^2))</f>
        <v>2.9022998051661197E-2</v>
      </c>
      <c r="AT62" s="36">
        <f>8.1*((AS62/MPM!$AE63)^(1/6))</f>
        <v>9.6079509625626702</v>
      </c>
      <c r="AU62" s="43">
        <f t="shared" si="33"/>
        <v>1.0309951728992168E-6</v>
      </c>
      <c r="AV62" s="38">
        <f>(MPM!$Q63^2)/(9.81*MPM!$F63*(AT62^2))</f>
        <v>2.902299745320978E-2</v>
      </c>
      <c r="AW62" s="36">
        <f>8.1*((AV62/MPM!$AE63)^(1/6))</f>
        <v>9.6079509295434988</v>
      </c>
      <c r="AX62" s="43">
        <f t="shared" si="34"/>
        <v>3.4366507113973203E-7</v>
      </c>
      <c r="AY62" s="38">
        <f>(MPM!$Q63^2)/(9.81*MPM!$F63*(AW62^2))</f>
        <v>2.9022997652693592E-2</v>
      </c>
      <c r="AZ62" s="36">
        <f>8.1*((AY62/MPM!$AE63)^(1/6))</f>
        <v>9.6079509405498893</v>
      </c>
      <c r="BA62" s="43">
        <f t="shared" si="35"/>
        <v>1.1455502358201548E-7</v>
      </c>
      <c r="BB62" s="38">
        <f>(MPM!$Q63^2)/(9.81*MPM!$F63*(AZ62^2))</f>
        <v>2.9022997586198987E-2</v>
      </c>
      <c r="BC62" s="36">
        <f>8.1*((BB62/MPM!$AE63)^(1/6))</f>
        <v>9.6079509368810925</v>
      </c>
      <c r="BD62" s="43">
        <f t="shared" si="36"/>
        <v>3.8185007875252776E-8</v>
      </c>
      <c r="BE62" s="38">
        <f>(MPM!$Q63^2)/(9.81*MPM!$F63*(BC62^2))</f>
        <v>2.9022997608363854E-2</v>
      </c>
      <c r="BF62" s="36">
        <f>8.1*((BE62/MPM!$AE63)^(1/6))</f>
        <v>9.6079509381040236</v>
      </c>
      <c r="BG62" s="43">
        <f t="shared" si="37"/>
        <v>1.2728323631194447E-8</v>
      </c>
      <c r="BH62" s="38">
        <f>(MPM!$Q63^2)/(9.81*MPM!$F63*(BF62^2))</f>
        <v>2.9022997600975573E-2</v>
      </c>
      <c r="BI62" s="36">
        <f>8.1*((BH62/MPM!$AE63)^(1/6))</f>
        <v>9.6079509376963816</v>
      </c>
      <c r="BJ62" s="43">
        <f t="shared" si="38"/>
        <v>4.2427560555069321E-9</v>
      </c>
      <c r="BK62" s="38">
        <f>(MPM!$Q63^2)/(9.81*MPM!$F63*(BI62^2))</f>
        <v>2.9022997603438322E-2</v>
      </c>
      <c r="BL62" s="36">
        <f>8.1*((BK62/MPM!$AE63)^(1/6))</f>
        <v>9.6079509378322623</v>
      </c>
      <c r="BM62" s="43">
        <f t="shared" si="39"/>
        <v>1.4142520184823095E-9</v>
      </c>
      <c r="BN62" s="43">
        <f t="shared" si="40"/>
        <v>8.4855079016236506E-9</v>
      </c>
    </row>
    <row r="63" spans="1:66">
      <c r="A63" s="36">
        <f>MPM!B64</f>
        <v>59</v>
      </c>
      <c r="B63" s="41">
        <f>1/(MPM!AC64^0.5)</f>
        <v>9.9486333923085795</v>
      </c>
      <c r="C63" s="38">
        <f>(MPM!$Q64^2)/(9.81*MPM!$F64*(Sheet1!B63^2))</f>
        <v>0.10004038657694461</v>
      </c>
      <c r="D63" s="36">
        <f>8.1*((C63/MPM!$AE64)^(1/6))</f>
        <v>11.808723649519393</v>
      </c>
      <c r="E63" s="41">
        <f t="shared" si="19"/>
        <v>15.751831547743251</v>
      </c>
      <c r="F63" s="38">
        <f>(MPM!$Q64^2)/(9.81*MPM!$F64*(D63^2))</f>
        <v>7.1006204273949672E-2</v>
      </c>
      <c r="G63" s="36">
        <f>8.1*((F63/MPM!$AE64)^(1/6))</f>
        <v>11.152950687183496</v>
      </c>
      <c r="H63" s="43">
        <f t="shared" si="20"/>
        <v>5.879815850790802</v>
      </c>
      <c r="I63" s="38">
        <f>(MPM!$Q64^2)/(9.81*MPM!$F64*(G63^2))</f>
        <v>7.9601756695918596E-2</v>
      </c>
      <c r="J63" s="36">
        <f>8.1*((I63/MPM!$AE64)^(1/6))</f>
        <v>11.367392113642119</v>
      </c>
      <c r="K63" s="43">
        <f t="shared" si="21"/>
        <v>1.8864610661337953</v>
      </c>
      <c r="L63" s="38">
        <f>(MPM!$Q64^2)/(9.81*MPM!$F64*(J63^2))</f>
        <v>7.6626772558444231E-2</v>
      </c>
      <c r="M63" s="36">
        <f>8.1*((L63/MPM!$AE64)^(1/6))</f>
        <v>11.295457383557414</v>
      </c>
      <c r="N63" s="43">
        <f t="shared" si="22"/>
        <v>0.63684654496079507</v>
      </c>
      <c r="O63" s="38">
        <f>(MPM!$Q64^2)/(9.81*MPM!$F64*(M63^2))</f>
        <v>7.7605870244552344E-2</v>
      </c>
      <c r="P63" s="36">
        <f>8.1*((O63/MPM!$AE64)^(1/6))</f>
        <v>11.319384904711296</v>
      </c>
      <c r="Q63" s="43">
        <f t="shared" si="23"/>
        <v>0.2113853478374291</v>
      </c>
      <c r="R63" s="38">
        <f>(MPM!$Q64^2)/(9.81*MPM!$F64*(P63^2))</f>
        <v>7.7278122139283964E-2</v>
      </c>
      <c r="S63" s="36">
        <f>8.1*((R63/MPM!$AE64)^(1/6))</f>
        <v>11.311403437798212</v>
      </c>
      <c r="T63" s="43">
        <f t="shared" si="24"/>
        <v>7.056124341222271E-2</v>
      </c>
      <c r="U63" s="38">
        <f>(MPM!$Q64^2)/(9.81*MPM!$F64*(S63^2))</f>
        <v>7.7387217422937943E-2</v>
      </c>
      <c r="V63" s="36">
        <f>8.1*((U63/MPM!$AE64)^(1/6))</f>
        <v>11.314063301256393</v>
      </c>
      <c r="W63" s="43">
        <f t="shared" si="25"/>
        <v>2.3509356341373414E-2</v>
      </c>
      <c r="X63" s="38">
        <f>(MPM!$Q64^2)/(9.81*MPM!$F64*(V63^2))</f>
        <v>7.7350835226637521E-2</v>
      </c>
      <c r="Y63" s="36">
        <f>8.1*((X63/MPM!$AE64)^(1/6))</f>
        <v>11.313176610614947</v>
      </c>
      <c r="Z63" s="43">
        <f t="shared" si="26"/>
        <v>7.8376805380531885E-3</v>
      </c>
      <c r="AA63" s="38">
        <f>(MPM!$Q64^2)/(9.81*MPM!$F64*(Y63^2))</f>
        <v>7.7362960724514956E-2</v>
      </c>
      <c r="AB63" s="36">
        <f>8.1*((AA63/MPM!$AE64)^(1/6))</f>
        <v>11.313472166440658</v>
      </c>
      <c r="AC63" s="43">
        <f t="shared" si="27"/>
        <v>2.6124236782673407E-3</v>
      </c>
      <c r="AD63" s="38">
        <f>(MPM!$Q64^2)/(9.81*MPM!$F64*(AB63^2))</f>
        <v>7.7358918680704949E-2</v>
      </c>
      <c r="AE63" s="36">
        <f>8.1*((AD63/MPM!$AE64)^(1/6))</f>
        <v>11.313373646974167</v>
      </c>
      <c r="AF63" s="43">
        <f t="shared" si="28"/>
        <v>8.7082305919413067E-4</v>
      </c>
      <c r="AG63" s="38">
        <f>(MPM!$Q64^2)/(9.81*MPM!$F64*(AE63^2))</f>
        <v>7.736026600517576E-2</v>
      </c>
      <c r="AH63" s="36">
        <f>8.1*((AG63/MPM!$AE64)^(1/6))</f>
        <v>11.313406486701005</v>
      </c>
      <c r="AI63" s="43">
        <f t="shared" si="29"/>
        <v>2.9027266789115932E-4</v>
      </c>
      <c r="AJ63" s="38">
        <f>(MPM!$Q64^2)/(9.81*MPM!$F64*(AH63^2))</f>
        <v>7.7359816894411543E-2</v>
      </c>
      <c r="AK63" s="36">
        <f>8.1*((AJ63/MPM!$AE64)^(1/6))</f>
        <v>11.313395540114803</v>
      </c>
      <c r="AL63" s="43">
        <f t="shared" si="30"/>
        <v>9.6757743190415359E-5</v>
      </c>
      <c r="AM63" s="38">
        <f>(MPM!$Q64^2)/(9.81*MPM!$F64*(AK63^2))</f>
        <v>7.7359966597709884E-2</v>
      </c>
      <c r="AN63" s="36">
        <f>8.1*((AM63/MPM!$AE64)^(1/6))</f>
        <v>11.313399188975692</v>
      </c>
      <c r="AO63" s="43">
        <f t="shared" si="31"/>
        <v>3.2252560251191043E-5</v>
      </c>
      <c r="AP63" s="38">
        <f>(MPM!$Q64^2)/(9.81*MPM!$F64*(AN63^2))</f>
        <v>7.7359916696578254E-2</v>
      </c>
      <c r="AQ63" s="36">
        <f>8.1*((AP63/MPM!$AE64)^(1/6))</f>
        <v>11.313397972688598</v>
      </c>
      <c r="AR63" s="43">
        <f t="shared" si="32"/>
        <v>1.0750855729538946E-5</v>
      </c>
      <c r="AS63" s="38">
        <f>(MPM!$Q64^2)/(9.81*MPM!$F64*(AQ63^2))</f>
        <v>7.7359933330285235E-2</v>
      </c>
      <c r="AT63" s="36">
        <f>8.1*((AS63/MPM!$AE64)^(1/6))</f>
        <v>11.313398378117615</v>
      </c>
      <c r="AU63" s="43">
        <f t="shared" si="33"/>
        <v>3.5836183172451455E-6</v>
      </c>
      <c r="AV63" s="38">
        <f>(MPM!$Q64^2)/(9.81*MPM!$F64*(AT63^2))</f>
        <v>7.7359927785715848E-2</v>
      </c>
      <c r="AW63" s="36">
        <f>8.1*((AV63/MPM!$AE64)^(1/6))</f>
        <v>11.313398242974607</v>
      </c>
      <c r="AX63" s="43">
        <f t="shared" si="34"/>
        <v>1.1945394742861006E-6</v>
      </c>
      <c r="AY63" s="38">
        <f>(MPM!$Q64^2)/(9.81*MPM!$F64*(AW63^2))</f>
        <v>7.7359929633905616E-2</v>
      </c>
      <c r="AZ63" s="36">
        <f>8.1*((AY63/MPM!$AE64)^(1/6))</f>
        <v>11.313398288022276</v>
      </c>
      <c r="BA63" s="43">
        <f t="shared" si="35"/>
        <v>3.9817981794277679E-7</v>
      </c>
      <c r="BB63" s="38">
        <f>(MPM!$Q64^2)/(9.81*MPM!$F64*(AZ63^2))</f>
        <v>7.735992901784236E-2</v>
      </c>
      <c r="BC63" s="36">
        <f>8.1*((BB63/MPM!$AE64)^(1/6))</f>
        <v>11.313398273006387</v>
      </c>
      <c r="BD63" s="43">
        <f t="shared" si="36"/>
        <v>1.3272660092330405E-7</v>
      </c>
      <c r="BE63" s="38">
        <f>(MPM!$Q64^2)/(9.81*MPM!$F64*(BC63^2))</f>
        <v>7.7359929223196761E-2</v>
      </c>
      <c r="BF63" s="36">
        <f>8.1*((BE63/MPM!$AE64)^(1/6))</f>
        <v>11.313398278011684</v>
      </c>
      <c r="BG63" s="43">
        <f t="shared" si="37"/>
        <v>4.4242210755764374E-8</v>
      </c>
      <c r="BH63" s="38">
        <f>(MPM!$Q64^2)/(9.81*MPM!$F64*(BF63^2))</f>
        <v>7.735992915474528E-2</v>
      </c>
      <c r="BI63" s="36">
        <f>8.1*((BH63/MPM!$AE64)^(1/6))</f>
        <v>11.313398276343252</v>
      </c>
      <c r="BJ63" s="43">
        <f t="shared" si="38"/>
        <v>1.474740358742965E-8</v>
      </c>
      <c r="BK63" s="38">
        <f>(MPM!$Q64^2)/(9.81*MPM!$F64*(BI63^2))</f>
        <v>7.7359929177562445E-2</v>
      </c>
      <c r="BL63" s="36">
        <f>8.1*((BK63/MPM!$AE64)^(1/6))</f>
        <v>11.313398276899395</v>
      </c>
      <c r="BM63" s="43">
        <f t="shared" si="39"/>
        <v>4.9157959617831931E-9</v>
      </c>
      <c r="BN63" s="43">
        <f t="shared" si="40"/>
        <v>2.9494810901192051E-8</v>
      </c>
    </row>
    <row r="64" spans="1:66">
      <c r="A64" s="36">
        <f>MPM!B65</f>
        <v>60</v>
      </c>
      <c r="B64" s="41">
        <f>1/(MPM!AC65^0.5)</f>
        <v>10.255950228918818</v>
      </c>
      <c r="C64" s="38">
        <f>(MPM!$Q65^2)/(9.81*MPM!$F65*(Sheet1!B64^2))</f>
        <v>4.2105348940544893E-2</v>
      </c>
      <c r="D64" s="36">
        <f>8.1*((C64/MPM!$AE65)^(1/6))</f>
        <v>10.222644956150194</v>
      </c>
      <c r="E64" s="41">
        <f t="shared" si="19"/>
        <v>0.3257989777742088</v>
      </c>
      <c r="F64" s="38">
        <f>(MPM!$Q65^2)/(9.81*MPM!$F65*(D64^2))</f>
        <v>4.2380153460534517E-2</v>
      </c>
      <c r="G64" s="36">
        <f>8.1*((F64/MPM!$AE65)^(1/6))</f>
        <v>10.233734679043682</v>
      </c>
      <c r="H64" s="43">
        <f t="shared" si="20"/>
        <v>0.10836437763230859</v>
      </c>
      <c r="I64" s="38">
        <f>(MPM!$Q65^2)/(9.81*MPM!$F65*(G64^2))</f>
        <v>4.2288353247789352E-2</v>
      </c>
      <c r="J64" s="36">
        <f>8.1*((I64/MPM!$AE65)^(1/6))</f>
        <v>10.230036768684835</v>
      </c>
      <c r="K64" s="43">
        <f t="shared" si="21"/>
        <v>3.6147576420902855E-2</v>
      </c>
      <c r="L64" s="38">
        <f>(MPM!$Q65^2)/(9.81*MPM!$F65*(J64^2))</f>
        <v>4.2318931203000308E-2</v>
      </c>
      <c r="M64" s="36">
        <f>8.1*((L64/MPM!$AE65)^(1/6))</f>
        <v>10.231269256978162</v>
      </c>
      <c r="N64" s="43">
        <f t="shared" si="22"/>
        <v>1.2046289295796216E-2</v>
      </c>
      <c r="O64" s="38">
        <f>(MPM!$Q65^2)/(9.81*MPM!$F65*(M64^2))</f>
        <v>4.2308736095344177E-2</v>
      </c>
      <c r="P64" s="36">
        <f>8.1*((O64/MPM!$AE65)^(1/6))</f>
        <v>10.230858411049384</v>
      </c>
      <c r="Q64" s="43">
        <f t="shared" si="23"/>
        <v>4.0157522689830468E-3</v>
      </c>
      <c r="R64" s="38">
        <f>(MPM!$Q65^2)/(9.81*MPM!$F65*(P64^2))</f>
        <v>4.2312134191631816E-2</v>
      </c>
      <c r="S64" s="36">
        <f>8.1*((R64/MPM!$AE65)^(1/6))</f>
        <v>10.230995357859177</v>
      </c>
      <c r="T64" s="43">
        <f t="shared" si="24"/>
        <v>1.3385482546183069E-3</v>
      </c>
      <c r="U64" s="38">
        <f>(MPM!$Q65^2)/(9.81*MPM!$F65*(S64^2))</f>
        <v>4.231100146254551E-2</v>
      </c>
      <c r="V64" s="36">
        <f>8.1*((U64/MPM!$AE65)^(1/6))</f>
        <v>10.230949708718899</v>
      </c>
      <c r="W64" s="43">
        <f t="shared" si="25"/>
        <v>4.4618673317005196E-4</v>
      </c>
      <c r="X64" s="38">
        <f>(MPM!$Q65^2)/(9.81*MPM!$F65*(V64^2))</f>
        <v>4.2311379035538242E-2</v>
      </c>
      <c r="Y64" s="36">
        <f>8.1*((X64/MPM!$AE65)^(1/6))</f>
        <v>10.230964925076362</v>
      </c>
      <c r="Z64" s="43">
        <f t="shared" si="26"/>
        <v>1.4872846866708552E-4</v>
      </c>
      <c r="AA64" s="38">
        <f>(MPM!$Q65^2)/(9.81*MPM!$F65*(Y64^2))</f>
        <v>4.2311253177499612E-2</v>
      </c>
      <c r="AB64" s="36">
        <f>8.1*((AA64/MPM!$AE65)^(1/6))</f>
        <v>10.230959852954692</v>
      </c>
      <c r="AC64" s="43">
        <f t="shared" si="27"/>
        <v>4.9576205391515456E-5</v>
      </c>
      <c r="AD64" s="38">
        <f>(MPM!$Q65^2)/(9.81*MPM!$F65*(AB64^2))</f>
        <v>4.2311295130137566E-2</v>
      </c>
      <c r="AE64" s="36">
        <f>8.1*((AD64/MPM!$AE65)^(1/6))</f>
        <v>10.230961543661635</v>
      </c>
      <c r="AF64" s="43">
        <f t="shared" si="28"/>
        <v>1.6525396328786713E-5</v>
      </c>
      <c r="AG64" s="38">
        <f>(MPM!$Q65^2)/(9.81*MPM!$F65*(AE64^2))</f>
        <v>4.2311281145920296E-2</v>
      </c>
      <c r="AH64" s="36">
        <f>8.1*((AG64/MPM!$AE65)^(1/6))</f>
        <v>10.230960980092624</v>
      </c>
      <c r="AI64" s="43">
        <f t="shared" si="29"/>
        <v>5.5084660473119098E-6</v>
      </c>
      <c r="AJ64" s="38">
        <f>(MPM!$Q65^2)/(9.81*MPM!$F65*(AH64^2))</f>
        <v>4.2311285807325544E-2</v>
      </c>
      <c r="AK64" s="36">
        <f>8.1*((AJ64/MPM!$AE65)^(1/6))</f>
        <v>10.230961167948958</v>
      </c>
      <c r="AL64" s="43">
        <f t="shared" si="30"/>
        <v>1.8361552922392253E-6</v>
      </c>
      <c r="AM64" s="38">
        <f>(MPM!$Q65^2)/(9.81*MPM!$F65*(AK64^2))</f>
        <v>4.2311284253523727E-2</v>
      </c>
      <c r="AN64" s="36">
        <f>8.1*((AM64/MPM!$AE65)^(1/6))</f>
        <v>10.230961105330179</v>
      </c>
      <c r="AO64" s="43">
        <f t="shared" si="31"/>
        <v>6.1205177940085604E-7</v>
      </c>
      <c r="AP64" s="38">
        <f>(MPM!$Q65^2)/(9.81*MPM!$F65*(AN64^2))</f>
        <v>4.2311284771457666E-2</v>
      </c>
      <c r="AQ64" s="36">
        <f>8.1*((AP64/MPM!$AE65)^(1/6))</f>
        <v>10.230961126203105</v>
      </c>
      <c r="AR64" s="43">
        <f t="shared" si="32"/>
        <v>2.0401725938405491E-7</v>
      </c>
      <c r="AS64" s="38">
        <f>(MPM!$Q65^2)/(9.81*MPM!$F65*(AQ64^2))</f>
        <v>4.2311284598813018E-2</v>
      </c>
      <c r="AT64" s="36">
        <f>8.1*((AS64/MPM!$AE65)^(1/6))</f>
        <v>10.230961119245464</v>
      </c>
      <c r="AU64" s="43">
        <f t="shared" si="33"/>
        <v>6.8005747386745876E-8</v>
      </c>
      <c r="AV64" s="38">
        <f>(MPM!$Q65^2)/(9.81*MPM!$F65*(AT64^2))</f>
        <v>4.2311284656361234E-2</v>
      </c>
      <c r="AW64" s="36">
        <f>8.1*((AV64/MPM!$AE65)^(1/6))</f>
        <v>10.230961121564679</v>
      </c>
      <c r="AX64" s="43">
        <f t="shared" si="34"/>
        <v>2.2668594032150471E-8</v>
      </c>
      <c r="AY64" s="38">
        <f>(MPM!$Q65^2)/(9.81*MPM!$F65*(AW64^2))</f>
        <v>4.2311284637178481E-2</v>
      </c>
      <c r="AZ64" s="36">
        <f>8.1*((AY64/MPM!$AE65)^(1/6))</f>
        <v>10.230961120791607</v>
      </c>
      <c r="BA64" s="43">
        <f t="shared" si="35"/>
        <v>7.5562037988080348E-9</v>
      </c>
      <c r="BB64" s="38">
        <f>(MPM!$Q65^2)/(9.81*MPM!$F65*(AZ64^2))</f>
        <v>4.2311284643572734E-2</v>
      </c>
      <c r="BC64" s="36">
        <f>8.1*((BB64/MPM!$AE65)^(1/6))</f>
        <v>10.230961121049297</v>
      </c>
      <c r="BD64" s="43">
        <f t="shared" si="36"/>
        <v>2.5187345995392379E-9</v>
      </c>
      <c r="BE64" s="38">
        <f>(MPM!$Q65^2)/(9.81*MPM!$F65*(BC64^2))</f>
        <v>4.2311284641441321E-2</v>
      </c>
      <c r="BF64" s="36">
        <f>8.1*((BE64/MPM!$AE65)^(1/6))</f>
        <v>10.2309611209634</v>
      </c>
      <c r="BG64" s="43">
        <f t="shared" si="37"/>
        <v>8.3958398737370983E-10</v>
      </c>
      <c r="BH64" s="38">
        <f>(MPM!$Q65^2)/(9.81*MPM!$F65*(BF64^2))</f>
        <v>4.2311284642151795E-2</v>
      </c>
      <c r="BI64" s="36">
        <f>8.1*((BH64/MPM!$AE65)^(1/6))</f>
        <v>10.230961120992031</v>
      </c>
      <c r="BJ64" s="43">
        <f t="shared" si="38"/>
        <v>2.7984975408329028E-10</v>
      </c>
      <c r="BK64" s="38">
        <f>(MPM!$Q65^2)/(9.81*MPM!$F65*(BI64^2))</f>
        <v>4.2311284641914984E-2</v>
      </c>
      <c r="BL64" s="36">
        <f>8.1*((BK64/MPM!$AE65)^(1/6))</f>
        <v>10.23096112098249</v>
      </c>
      <c r="BM64" s="43">
        <f t="shared" si="39"/>
        <v>9.3254313759942528E-11</v>
      </c>
      <c r="BN64" s="43">
        <f t="shared" si="40"/>
        <v>5.5968655444215313E-10</v>
      </c>
    </row>
    <row r="65" spans="1:66">
      <c r="A65" s="36">
        <f>MPM!B66</f>
        <v>61</v>
      </c>
      <c r="B65" s="41">
        <f>1/(MPM!AC66^0.5)</f>
        <v>11.656539857426305</v>
      </c>
      <c r="C65" s="38">
        <f>(MPM!$Q66^2)/(9.81*MPM!$F66*(Sheet1!B65^2))</f>
        <v>6.9558064367303218E-2</v>
      </c>
      <c r="D65" s="36">
        <f>8.1*((C65/MPM!$AE66)^(1/6))</f>
        <v>11.114714554793295</v>
      </c>
      <c r="E65" s="41">
        <f t="shared" si="19"/>
        <v>4.8748467624779783</v>
      </c>
      <c r="F65" s="38">
        <f>(MPM!$Q66^2)/(9.81*MPM!$F66*(D65^2))</f>
        <v>7.6505061160085347E-2</v>
      </c>
      <c r="G65" s="36">
        <f>8.1*((F65/MPM!$AE66)^(1/6))</f>
        <v>11.292465181634068</v>
      </c>
      <c r="H65" s="43">
        <f t="shared" si="20"/>
        <v>1.5740639796690648</v>
      </c>
      <c r="I65" s="38">
        <f>(MPM!$Q66^2)/(9.81*MPM!$F66*(G65^2))</f>
        <v>7.4115539425590682E-2</v>
      </c>
      <c r="J65" s="36">
        <f>8.1*((I65/MPM!$AE66)^(1/6))</f>
        <v>11.232901346521105</v>
      </c>
      <c r="K65" s="43">
        <f t="shared" si="21"/>
        <v>0.53026224726356974</v>
      </c>
      <c r="L65" s="38">
        <f>(MPM!$Q66^2)/(9.81*MPM!$F66*(J65^2))</f>
        <v>7.4903636841741505E-2</v>
      </c>
      <c r="M65" s="36">
        <f>8.1*((L65/MPM!$AE66)^(1/6))</f>
        <v>11.252720967407619</v>
      </c>
      <c r="N65" s="43">
        <f t="shared" si="22"/>
        <v>0.17613180797710473</v>
      </c>
      <c r="O65" s="38">
        <f>(MPM!$Q66^2)/(9.81*MPM!$F66*(M65^2))</f>
        <v>7.4640010951283156E-2</v>
      </c>
      <c r="P65" s="36">
        <f>8.1*((O65/MPM!$AE66)^(1/6))</f>
        <v>11.246110544572643</v>
      </c>
      <c r="Q65" s="43">
        <f t="shared" si="23"/>
        <v>5.8779635935255224E-2</v>
      </c>
      <c r="R65" s="38">
        <f>(MPM!$Q66^2)/(9.81*MPM!$F66*(P65^2))</f>
        <v>7.4727782993145683E-2</v>
      </c>
      <c r="S65" s="36">
        <f>8.1*((R65/MPM!$AE66)^(1/6))</f>
        <v>11.248313587260512</v>
      </c>
      <c r="T65" s="43">
        <f t="shared" si="24"/>
        <v>1.9585537607735879E-2</v>
      </c>
      <c r="U65" s="38">
        <f>(MPM!$Q66^2)/(9.81*MPM!$F66*(S65^2))</f>
        <v>7.4698514183570153E-2</v>
      </c>
      <c r="V65" s="36">
        <f>8.1*((U65/MPM!$AE66)^(1/6))</f>
        <v>11.247579191750697</v>
      </c>
      <c r="W65" s="43">
        <f t="shared" si="25"/>
        <v>6.5293650953203901E-3</v>
      </c>
      <c r="X65" s="38">
        <f>(MPM!$Q66^2)/(9.81*MPM!$F66*(V65^2))</f>
        <v>7.4708269179453057E-2</v>
      </c>
      <c r="Y65" s="36">
        <f>8.1*((X65/MPM!$AE66)^(1/6))</f>
        <v>11.247823984926233</v>
      </c>
      <c r="Z65" s="43">
        <f t="shared" si="26"/>
        <v>2.1763602974613806E-3</v>
      </c>
      <c r="AA65" s="38">
        <f>(MPM!$Q66^2)/(9.81*MPM!$F66*(Y65^2))</f>
        <v>7.4705017372620267E-2</v>
      </c>
      <c r="AB65" s="36">
        <f>8.1*((AA65/MPM!$AE66)^(1/6))</f>
        <v>11.247742386609094</v>
      </c>
      <c r="AC65" s="43">
        <f t="shared" si="27"/>
        <v>7.2546395832069025E-4</v>
      </c>
      <c r="AD65" s="38">
        <f>(MPM!$Q66^2)/(9.81*MPM!$F66*(AB65^2))</f>
        <v>7.4706101292504171E-2</v>
      </c>
      <c r="AE65" s="36">
        <f>8.1*((AD65/MPM!$AE66)^(1/6))</f>
        <v>11.247769585982367</v>
      </c>
      <c r="AF65" s="43">
        <f t="shared" si="28"/>
        <v>2.418201498960006E-4</v>
      </c>
      <c r="AG65" s="38">
        <f>(MPM!$Q66^2)/(9.81*MPM!$F66*(AE65^2))</f>
        <v>7.4705739984128772E-2</v>
      </c>
      <c r="AH65" s="36">
        <f>8.1*((AG65/MPM!$AE66)^(1/6))</f>
        <v>11.247760519517302</v>
      </c>
      <c r="AI65" s="43">
        <f t="shared" si="29"/>
        <v>8.0606846573597879E-5</v>
      </c>
      <c r="AJ65" s="38">
        <f>(MPM!$Q66^2)/(9.81*MPM!$F66*(AH65^2))</f>
        <v>7.4705860420059736E-2</v>
      </c>
      <c r="AK65" s="36">
        <f>8.1*((AJ65/MPM!$AE66)^(1/6))</f>
        <v>11.247763541671512</v>
      </c>
      <c r="AL65" s="43">
        <f t="shared" si="30"/>
        <v>2.6868934426339017E-5</v>
      </c>
      <c r="AM65" s="38">
        <f>(MPM!$Q66^2)/(9.81*MPM!$F66*(AK65^2))</f>
        <v>7.470582027472783E-2</v>
      </c>
      <c r="AN65" s="36">
        <f>8.1*((AM65/MPM!$AE66)^(1/6))</f>
        <v>11.247762534286684</v>
      </c>
      <c r="AO65" s="43">
        <f t="shared" si="31"/>
        <v>8.9563130883079212E-6</v>
      </c>
      <c r="AP65" s="38">
        <f>(MPM!$Q66^2)/(9.81*MPM!$F66*(AN65^2))</f>
        <v>7.4705833656502754E-2</v>
      </c>
      <c r="AQ65" s="36">
        <f>8.1*((AP65/MPM!$AE66)^(1/6))</f>
        <v>11.247762870081615</v>
      </c>
      <c r="AR65" s="43">
        <f t="shared" si="32"/>
        <v>2.9854375069520626E-6</v>
      </c>
      <c r="AS65" s="38">
        <f>(MPM!$Q66^2)/(9.81*MPM!$F66*(AQ65^2))</f>
        <v>7.4705829195910858E-2</v>
      </c>
      <c r="AT65" s="36">
        <f>8.1*((AS65/MPM!$AE66)^(1/6))</f>
        <v>11.247762758149969</v>
      </c>
      <c r="AU65" s="43">
        <f t="shared" si="33"/>
        <v>9.9514586661114586E-7</v>
      </c>
      <c r="AV65" s="38">
        <f>(MPM!$Q66^2)/(9.81*MPM!$F66*(AT65^2))</f>
        <v>7.470583068277481E-2</v>
      </c>
      <c r="AW65" s="36">
        <f>8.1*((AV65/MPM!$AE66)^(1/6))</f>
        <v>11.24776279546052</v>
      </c>
      <c r="AX65" s="43">
        <f t="shared" si="34"/>
        <v>3.3171530882733719E-7</v>
      </c>
      <c r="AY65" s="38">
        <f>(MPM!$Q66^2)/(9.81*MPM!$F66*(AW65^2))</f>
        <v>7.470583018715346E-2</v>
      </c>
      <c r="AZ65" s="36">
        <f>8.1*((AY65/MPM!$AE66)^(1/6))</f>
        <v>11.247762783023671</v>
      </c>
      <c r="BA65" s="43">
        <f t="shared" si="35"/>
        <v>1.1057176446704713E-7</v>
      </c>
      <c r="BB65" s="38">
        <f>(MPM!$Q66^2)/(9.81*MPM!$F66*(AZ65^2))</f>
        <v>7.4705830352360572E-2</v>
      </c>
      <c r="BC65" s="36">
        <f>8.1*((BB65/MPM!$AE66)^(1/6))</f>
        <v>11.247762787169286</v>
      </c>
      <c r="BD65" s="43">
        <f t="shared" si="36"/>
        <v>3.6857244280111667E-8</v>
      </c>
      <c r="BE65" s="38">
        <f>(MPM!$Q66^2)/(9.81*MPM!$F66*(BC65^2))</f>
        <v>7.4705830297291553E-2</v>
      </c>
      <c r="BF65" s="36">
        <f>8.1*((BE65/MPM!$AE66)^(1/6))</f>
        <v>11.247762785787415</v>
      </c>
      <c r="BG65" s="43">
        <f t="shared" si="37"/>
        <v>1.2285737566227138E-8</v>
      </c>
      <c r="BH65" s="38">
        <f>(MPM!$Q66^2)/(9.81*MPM!$F66*(BF65^2))</f>
        <v>7.470583031564787E-2</v>
      </c>
      <c r="BI65" s="36">
        <f>8.1*((BH65/MPM!$AE66)^(1/6))</f>
        <v>11.247762786248037</v>
      </c>
      <c r="BJ65" s="43">
        <f t="shared" si="38"/>
        <v>4.0952300622621173E-9</v>
      </c>
      <c r="BK65" s="38">
        <f>(MPM!$Q66^2)/(9.81*MPM!$F66*(BI65^2))</f>
        <v>7.4705830309529125E-2</v>
      </c>
      <c r="BL65" s="36">
        <f>8.1*((BK65/MPM!$AE66)^(1/6))</f>
        <v>11.247762786094498</v>
      </c>
      <c r="BM65" s="43">
        <f t="shared" si="39"/>
        <v>1.3650661587865273E-9</v>
      </c>
      <c r="BN65" s="43">
        <f t="shared" si="40"/>
        <v>8.1904509657267415E-9</v>
      </c>
    </row>
    <row r="66" spans="1:66">
      <c r="A66" s="36">
        <f>MPM!B67</f>
        <v>62</v>
      </c>
      <c r="B66" s="41">
        <f>1/(MPM!AC67^0.5)</f>
        <v>10.230157397643735</v>
      </c>
      <c r="C66" s="38">
        <f>(MPM!$Q67^2)/(9.81*MPM!$F67*(Sheet1!B66^2))</f>
        <v>4.6838050047769669E-2</v>
      </c>
      <c r="D66" s="36">
        <f>8.1*((C66/MPM!$AE67)^(1/6))</f>
        <v>10.405753492297679</v>
      </c>
      <c r="E66" s="41">
        <f t="shared" si="19"/>
        <v>1.6874904329025266</v>
      </c>
      <c r="F66" s="38">
        <f>(MPM!$Q67^2)/(9.81*MPM!$F67*(D66^2))</f>
        <v>4.5270612536102151E-2</v>
      </c>
      <c r="G66" s="36">
        <f>8.1*((F66/MPM!$AE67)^(1/6))</f>
        <v>10.346889098160739</v>
      </c>
      <c r="H66" s="43">
        <f t="shared" si="20"/>
        <v>0.56890910474147738</v>
      </c>
      <c r="I66" s="38">
        <f>(MPM!$Q67^2)/(9.81*MPM!$F67*(G66^2))</f>
        <v>4.5787175026724525E-2</v>
      </c>
      <c r="J66" s="36">
        <f>8.1*((I66/MPM!$AE67)^(1/6))</f>
        <v>10.36647347060015</v>
      </c>
      <c r="K66" s="43">
        <f t="shared" si="21"/>
        <v>0.18892029671375898</v>
      </c>
      <c r="L66" s="38">
        <f>(MPM!$Q67^2)/(9.81*MPM!$F67*(J66^2))</f>
        <v>4.5614335911339968E-2</v>
      </c>
      <c r="M66" s="36">
        <f>8.1*((L66/MPM!$AE67)^(1/6))</f>
        <v>10.359941231149689</v>
      </c>
      <c r="N66" s="43">
        <f t="shared" si="22"/>
        <v>6.3052862026093823E-2</v>
      </c>
      <c r="O66" s="38">
        <f>(MPM!$Q67^2)/(9.81*MPM!$F67*(M66^2))</f>
        <v>4.5671876334637186E-2</v>
      </c>
      <c r="P66" s="36">
        <f>8.1*((O66/MPM!$AE67)^(1/6))</f>
        <v>10.362118186819648</v>
      </c>
      <c r="Q66" s="43">
        <f t="shared" si="23"/>
        <v>2.1008790198210638E-2</v>
      </c>
      <c r="R66" s="38">
        <f>(MPM!$Q67^2)/(9.81*MPM!$F67*(P66^2))</f>
        <v>4.5652688133095982E-2</v>
      </c>
      <c r="S66" s="36">
        <f>8.1*((R66/MPM!$AE67)^(1/6))</f>
        <v>10.361392484106835</v>
      </c>
      <c r="T66" s="43">
        <f t="shared" si="24"/>
        <v>7.0039110469611275E-3</v>
      </c>
      <c r="U66" s="38">
        <f>(MPM!$Q67^2)/(9.81*MPM!$F67*(S66^2))</f>
        <v>4.5659083304378963E-2</v>
      </c>
      <c r="V66" s="36">
        <f>8.1*((U66/MPM!$AE67)^(1/6))</f>
        <v>10.361634379363817</v>
      </c>
      <c r="W66" s="43">
        <f t="shared" si="25"/>
        <v>2.3345280109865509E-3</v>
      </c>
      <c r="X66" s="38">
        <f>(MPM!$Q67^2)/(9.81*MPM!$F67*(V66^2))</f>
        <v>4.5656951481084659E-2</v>
      </c>
      <c r="Y66" s="36">
        <f>8.1*((X66/MPM!$AE67)^(1/6))</f>
        <v>10.361553746984026</v>
      </c>
      <c r="Z66" s="43">
        <f t="shared" si="26"/>
        <v>7.7818811503239027E-4</v>
      </c>
      <c r="AA66" s="38">
        <f>(MPM!$Q67^2)/(9.81*MPM!$F67*(Y66^2))</f>
        <v>4.5657662077789762E-2</v>
      </c>
      <c r="AB66" s="36">
        <f>8.1*((AA66/MPM!$AE67)^(1/6))</f>
        <v>10.361580624374236</v>
      </c>
      <c r="AC66" s="43">
        <f t="shared" si="27"/>
        <v>2.5939469261204479E-4</v>
      </c>
      <c r="AD66" s="38">
        <f>(MPM!$Q67^2)/(9.81*MPM!$F67*(AB66^2))</f>
        <v>4.5657425210992572E-2</v>
      </c>
      <c r="AE66" s="36">
        <f>8.1*((AD66/MPM!$AE67)^(1/6))</f>
        <v>10.361571665236418</v>
      </c>
      <c r="AF66" s="43">
        <f t="shared" si="28"/>
        <v>8.6465047068656162E-5</v>
      </c>
      <c r="AG66" s="38">
        <f>(MPM!$Q67^2)/(9.81*MPM!$F67*(AE66^2))</f>
        <v>4.5657504166455108E-2</v>
      </c>
      <c r="AH66" s="36">
        <f>8.1*((AG66/MPM!$AE67)^(1/6))</f>
        <v>10.361574651614832</v>
      </c>
      <c r="AI66" s="43">
        <f t="shared" si="29"/>
        <v>2.8821665763210126E-5</v>
      </c>
      <c r="AJ66" s="38">
        <f>(MPM!$Q67^2)/(9.81*MPM!$F67*(AH66^2))</f>
        <v>4.5657477847952405E-2</v>
      </c>
      <c r="AK66" s="36">
        <f>8.1*((AJ66/MPM!$AE67)^(1/6))</f>
        <v>10.361573656155263</v>
      </c>
      <c r="AL66" s="43">
        <f t="shared" si="30"/>
        <v>9.6072237869607113E-6</v>
      </c>
      <c r="AM66" s="38">
        <f>(MPM!$Q67^2)/(9.81*MPM!$F67*(AK66^2))</f>
        <v>4.5657486620784969E-2</v>
      </c>
      <c r="AN66" s="36">
        <f>8.1*((AM66/MPM!$AE67)^(1/6))</f>
        <v>10.36157398797511</v>
      </c>
      <c r="AO66" s="43">
        <f t="shared" si="31"/>
        <v>3.2024077292851291E-6</v>
      </c>
      <c r="AP66" s="38">
        <f>(MPM!$Q67^2)/(9.81*MPM!$F67*(AN66^2))</f>
        <v>4.565748369650726E-2</v>
      </c>
      <c r="AQ66" s="36">
        <f>8.1*((AP66/MPM!$AE67)^(1/6))</f>
        <v>10.361573877368492</v>
      </c>
      <c r="AR66" s="43">
        <f t="shared" si="32"/>
        <v>1.0674692716336463E-6</v>
      </c>
      <c r="AS66" s="38">
        <f>(MPM!$Q67^2)/(9.81*MPM!$F67*(AQ66^2))</f>
        <v>4.5657484671266485E-2</v>
      </c>
      <c r="AT66" s="36">
        <f>8.1*((AS66/MPM!$AE67)^(1/6))</f>
        <v>10.361573914237367</v>
      </c>
      <c r="AU66" s="43">
        <f t="shared" si="33"/>
        <v>3.5582310642214498E-7</v>
      </c>
      <c r="AV66" s="38">
        <f>(MPM!$Q67^2)/(9.81*MPM!$F67*(AT66^2))</f>
        <v>4.5657484346346727E-2</v>
      </c>
      <c r="AW66" s="36">
        <f>8.1*((AV66/MPM!$AE67)^(1/6))</f>
        <v>10.361573901947741</v>
      </c>
      <c r="AX66" s="43">
        <f t="shared" si="34"/>
        <v>1.1860770799595855E-7</v>
      </c>
      <c r="AY66" s="38">
        <f>(MPM!$Q67^2)/(9.81*MPM!$F67*(AW66^2))</f>
        <v>4.5657484454653313E-2</v>
      </c>
      <c r="AZ66" s="36">
        <f>8.1*((AY66/MPM!$AE67)^(1/6))</f>
        <v>10.361573906044283</v>
      </c>
      <c r="BA66" s="43">
        <f t="shared" si="35"/>
        <v>3.9535902649688643E-8</v>
      </c>
      <c r="BB66" s="38">
        <f>(MPM!$Q67^2)/(9.81*MPM!$F67*(AZ66^2))</f>
        <v>4.5657484418551116E-2</v>
      </c>
      <c r="BC66" s="36">
        <f>8.1*((BB66/MPM!$AE67)^(1/6))</f>
        <v>10.361573904678767</v>
      </c>
      <c r="BD66" s="43">
        <f t="shared" si="36"/>
        <v>1.3178651361996694E-8</v>
      </c>
      <c r="BE66" s="38">
        <f>(MPM!$Q67^2)/(9.81*MPM!$F67*(BC66^2))</f>
        <v>4.5657484430585198E-2</v>
      </c>
      <c r="BF66" s="36">
        <f>8.1*((BE66/MPM!$AE67)^(1/6))</f>
        <v>10.361573905133941</v>
      </c>
      <c r="BG66" s="43">
        <f t="shared" si="37"/>
        <v>4.3929009308363013E-9</v>
      </c>
      <c r="BH66" s="38">
        <f>(MPM!$Q67^2)/(9.81*MPM!$F67*(BF66^2))</f>
        <v>4.5657484426573823E-2</v>
      </c>
      <c r="BI66" s="36">
        <f>8.1*((BH66/MPM!$AE67)^(1/6))</f>
        <v>10.361573904982215</v>
      </c>
      <c r="BJ66" s="43">
        <f t="shared" si="38"/>
        <v>1.4643117394315726E-9</v>
      </c>
      <c r="BK66" s="38">
        <f>(MPM!$Q67^2)/(9.81*MPM!$F67*(BI66^2))</f>
        <v>4.5657484427910955E-2</v>
      </c>
      <c r="BL66" s="36">
        <f>8.1*((BK66/MPM!$AE67)^(1/6))</f>
        <v>10.361573905032792</v>
      </c>
      <c r="BM66" s="43">
        <f t="shared" si="39"/>
        <v>4.8811534227283847E-10</v>
      </c>
      <c r="BN66" s="43">
        <f t="shared" si="40"/>
        <v>2.928614685918663E-9</v>
      </c>
    </row>
    <row r="67" spans="1:66">
      <c r="A67" s="36">
        <f>MPM!B68</f>
        <v>63</v>
      </c>
      <c r="B67" s="41">
        <f>1/(MPM!AC68^0.5)</f>
        <v>10.964791564590646</v>
      </c>
      <c r="C67" s="38">
        <f>(MPM!$Q68^2)/(9.81*MPM!$F68*(Sheet1!B67^2))</f>
        <v>8.4062499938261051E-2</v>
      </c>
      <c r="D67" s="36">
        <f>8.1*((C67/MPM!$AE68)^(1/6))</f>
        <v>11.471162956294705</v>
      </c>
      <c r="E67" s="41">
        <f t="shared" si="19"/>
        <v>4.4142986516131044</v>
      </c>
      <c r="F67" s="38">
        <f>(MPM!$Q68^2)/(9.81*MPM!$F68*(D67^2))</f>
        <v>7.6804764796989861E-2</v>
      </c>
      <c r="G67" s="36">
        <f>8.1*((F67/MPM!$AE68)^(1/6))</f>
        <v>11.299826093004761</v>
      </c>
      <c r="H67" s="43">
        <f t="shared" si="20"/>
        <v>1.5162787628741641</v>
      </c>
      <c r="I67" s="38">
        <f>(MPM!$Q68^2)/(9.81*MPM!$F68*(G67^2))</f>
        <v>7.9151571665331558E-2</v>
      </c>
      <c r="J67" s="36">
        <f>8.1*((I67/MPM!$AE68)^(1/6))</f>
        <v>11.356652127571326</v>
      </c>
      <c r="K67" s="43">
        <f t="shared" si="21"/>
        <v>0.50037664206166166</v>
      </c>
      <c r="L67" s="38">
        <f>(MPM!$Q68^2)/(9.81*MPM!$F68*(J67^2))</f>
        <v>7.8361441484051109E-2</v>
      </c>
      <c r="M67" s="36">
        <f>8.1*((L67/MPM!$AE68)^(1/6))</f>
        <v>11.337678434128021</v>
      </c>
      <c r="N67" s="43">
        <f t="shared" si="22"/>
        <v>0.16735078132214298</v>
      </c>
      <c r="O67" s="38">
        <f>(MPM!$Q68^2)/(9.81*MPM!$F68*(M67^2))</f>
        <v>7.862393791448738E-2</v>
      </c>
      <c r="P67" s="36">
        <f>8.1*((O67/MPM!$AE68)^(1/6))</f>
        <v>11.343999473816249</v>
      </c>
      <c r="Q67" s="43">
        <f t="shared" si="23"/>
        <v>5.5721438482235278E-2</v>
      </c>
      <c r="R67" s="38">
        <f>(MPM!$Q68^2)/(9.81*MPM!$F68*(P67^2))</f>
        <v>7.8536341547871771E-2</v>
      </c>
      <c r="S67" s="36">
        <f>8.1*((R67/MPM!$AE68)^(1/6))</f>
        <v>11.341892069112951</v>
      </c>
      <c r="T67" s="43">
        <f t="shared" si="24"/>
        <v>1.8580715549535269E-2</v>
      </c>
      <c r="U67" s="38">
        <f>(MPM!$Q68^2)/(9.81*MPM!$F68*(S67^2))</f>
        <v>7.8565529487735972E-2</v>
      </c>
      <c r="V67" s="36">
        <f>8.1*((U67/MPM!$AE68)^(1/6))</f>
        <v>11.342594493844</v>
      </c>
      <c r="W67" s="43">
        <f t="shared" si="25"/>
        <v>6.1928047540640496E-3</v>
      </c>
      <c r="X67" s="38">
        <f>(MPM!$Q68^2)/(9.81*MPM!$F68*(V67^2))</f>
        <v>7.8555798969350943E-2</v>
      </c>
      <c r="Y67" s="36">
        <f>8.1*((X67/MPM!$AE68)^(1/6))</f>
        <v>11.342360347433509</v>
      </c>
      <c r="Z67" s="43">
        <f t="shared" si="26"/>
        <v>2.0643534795167858E-3</v>
      </c>
      <c r="AA67" s="38">
        <f>(MPM!$Q68^2)/(9.81*MPM!$F68*(Y67^2))</f>
        <v>7.8559042341566715E-2</v>
      </c>
      <c r="AB67" s="36">
        <f>8.1*((AA67/MPM!$AE68)^(1/6))</f>
        <v>11.342438395699945</v>
      </c>
      <c r="AC67" s="43">
        <f t="shared" si="27"/>
        <v>6.8810835654187674E-4</v>
      </c>
      <c r="AD67" s="38">
        <f>(MPM!$Q68^2)/(9.81*MPM!$F68*(AB67^2))</f>
        <v>7.8557961202616086E-2</v>
      </c>
      <c r="AE67" s="36">
        <f>8.1*((AD67/MPM!$AE68)^(1/6))</f>
        <v>11.34241237955146</v>
      </c>
      <c r="AF67" s="43">
        <f t="shared" si="28"/>
        <v>2.2937050439287613E-4</v>
      </c>
      <c r="AG67" s="38">
        <f>(MPM!$Q68^2)/(9.81*MPM!$F68*(AE67^2))</f>
        <v>7.8558321580613086E-2</v>
      </c>
      <c r="AH67" s="36">
        <f>8.1*((AG67/MPM!$AE68)^(1/6))</f>
        <v>11.342421051594323</v>
      </c>
      <c r="AI67" s="43">
        <f t="shared" si="29"/>
        <v>7.6456717872838107E-5</v>
      </c>
      <c r="AJ67" s="38">
        <f>(MPM!$Q68^2)/(9.81*MPM!$F68*(AH67^2))</f>
        <v>7.8558201454430404E-2</v>
      </c>
      <c r="AK67" s="36">
        <f>8.1*((AJ67/MPM!$AE68)^(1/6))</f>
        <v>11.342418160912633</v>
      </c>
      <c r="AL67" s="43">
        <f t="shared" si="30"/>
        <v>2.5485585608376862E-5</v>
      </c>
      <c r="AM67" s="38">
        <f>(MPM!$Q68^2)/(9.81*MPM!$F68*(AK67^2))</f>
        <v>7.8558241496470879E-2</v>
      </c>
      <c r="AN67" s="36">
        <f>8.1*((AM67/MPM!$AE68)^(1/6))</f>
        <v>11.342419124473114</v>
      </c>
      <c r="AO67" s="43">
        <f t="shared" si="31"/>
        <v>8.4951937554742545E-6</v>
      </c>
      <c r="AP67" s="38">
        <f>(MPM!$Q68^2)/(9.81*MPM!$F68*(AN67^2))</f>
        <v>7.8558228149121792E-2</v>
      </c>
      <c r="AQ67" s="36">
        <f>8.1*((AP67/MPM!$AE68)^(1/6))</f>
        <v>11.342418803286277</v>
      </c>
      <c r="AR67" s="43">
        <f t="shared" si="32"/>
        <v>2.8317314207584722E-6</v>
      </c>
      <c r="AS67" s="38">
        <f>(MPM!$Q68^2)/(9.81*MPM!$F68*(AQ67^2))</f>
        <v>7.8558232598237909E-2</v>
      </c>
      <c r="AT67" s="36">
        <f>8.1*((AS67/MPM!$AE68)^(1/6))</f>
        <v>11.342418910348556</v>
      </c>
      <c r="AU67" s="43">
        <f t="shared" si="33"/>
        <v>9.4391046467648776E-7</v>
      </c>
      <c r="AV67" s="38">
        <f>(MPM!$Q68^2)/(9.81*MPM!$F68*(AT67^2))</f>
        <v>7.8558231115199176E-2</v>
      </c>
      <c r="AW67" s="36">
        <f>8.1*((AV67/MPM!$AE68)^(1/6))</f>
        <v>11.34241887466113</v>
      </c>
      <c r="AX67" s="43">
        <f t="shared" si="34"/>
        <v>3.1463682254879257E-7</v>
      </c>
      <c r="AY67" s="38">
        <f>(MPM!$Q68^2)/(9.81*MPM!$F68*(AW67^2))</f>
        <v>7.855823160954542E-2</v>
      </c>
      <c r="AZ67" s="36">
        <f>8.1*((AY67/MPM!$AE68)^(1/6))</f>
        <v>11.342418886556938</v>
      </c>
      <c r="BA67" s="43">
        <f t="shared" si="35"/>
        <v>1.0487894073960159E-7</v>
      </c>
      <c r="BB67" s="38">
        <f>(MPM!$Q68^2)/(9.81*MPM!$F68*(AZ67^2))</f>
        <v>7.8558231444763343E-2</v>
      </c>
      <c r="BC67" s="36">
        <f>8.1*((BB67/MPM!$AE68)^(1/6))</f>
        <v>11.342418882591669</v>
      </c>
      <c r="BD67" s="43">
        <f t="shared" si="36"/>
        <v>3.4959641705028375E-8</v>
      </c>
      <c r="BE67" s="38">
        <f>(MPM!$Q68^2)/(9.81*MPM!$F68*(BC67^2))</f>
        <v>7.8558231499690698E-2</v>
      </c>
      <c r="BF67" s="36">
        <f>8.1*((BE67/MPM!$AE68)^(1/6))</f>
        <v>11.342418883913425</v>
      </c>
      <c r="BG67" s="43">
        <f t="shared" si="37"/>
        <v>1.16532034595303E-8</v>
      </c>
      <c r="BH67" s="38">
        <f>(MPM!$Q68^2)/(9.81*MPM!$F68*(BF67^2))</f>
        <v>7.8558231481381594E-2</v>
      </c>
      <c r="BI67" s="36">
        <f>8.1*((BH67/MPM!$AE68)^(1/6))</f>
        <v>11.342418883472842</v>
      </c>
      <c r="BJ67" s="43">
        <f t="shared" si="38"/>
        <v>3.8843802717519466E-9</v>
      </c>
      <c r="BK67" s="38">
        <f>(MPM!$Q68^2)/(9.81*MPM!$F68*(BI67^2))</f>
        <v>7.8558231487484587E-2</v>
      </c>
      <c r="BL67" s="36">
        <f>8.1*((BK67/MPM!$AE68)^(1/6))</f>
        <v>11.3424188836197</v>
      </c>
      <c r="BM67" s="43">
        <f t="shared" si="39"/>
        <v>1.2947725423248467E-9</v>
      </c>
      <c r="BN67" s="43">
        <f t="shared" si="40"/>
        <v>7.7687506392648755E-9</v>
      </c>
    </row>
    <row r="68" spans="1:66">
      <c r="A68" s="36">
        <f>MPM!B69</f>
        <v>64</v>
      </c>
      <c r="B68" s="41">
        <f>1/(MPM!AC69^0.5)</f>
        <v>6.83451377494033</v>
      </c>
      <c r="C68" s="38">
        <f>(MPM!$Q69^2)/(9.81*MPM!$F69*(Sheet1!B68^2))</f>
        <v>2.3309303651855441E-2</v>
      </c>
      <c r="D68" s="36">
        <f>8.1*((C68/MPM!$AE69)^(1/6))</f>
        <v>9.263219367959973</v>
      </c>
      <c r="E68" s="41">
        <f t="shared" si="19"/>
        <v>26.218806837503557</v>
      </c>
      <c r="F68" s="38">
        <f>(MPM!$Q69^2)/(9.81*MPM!$F69*(D68^2))</f>
        <v>1.2688802798141692E-2</v>
      </c>
      <c r="G68" s="36">
        <f>8.1*((F68/MPM!$AE69)^(1/6))</f>
        <v>8.3703542842989762</v>
      </c>
      <c r="H68" s="43">
        <f t="shared" si="20"/>
        <v>10.666992738118909</v>
      </c>
      <c r="I68" s="38">
        <f>(MPM!$Q69^2)/(9.81*MPM!$F69*(G68^2))</f>
        <v>1.554020934941747E-2</v>
      </c>
      <c r="J68" s="36">
        <f>8.1*((I68/MPM!$AE69)^(1/6))</f>
        <v>8.6579793018111673</v>
      </c>
      <c r="K68" s="43">
        <f t="shared" si="21"/>
        <v>3.3220802162465626</v>
      </c>
      <c r="L68" s="38">
        <f>(MPM!$Q69^2)/(9.81*MPM!$F69*(J68^2))</f>
        <v>1.4524843420900211E-2</v>
      </c>
      <c r="M68" s="36">
        <f>8.1*((L68/MPM!$AE69)^(1/6))</f>
        <v>8.5610225752304832</v>
      </c>
      <c r="N68" s="43">
        <f t="shared" si="22"/>
        <v>1.132536746967681</v>
      </c>
      <c r="O68" s="38">
        <f>(MPM!$Q69^2)/(9.81*MPM!$F69*(M68^2))</f>
        <v>1.4855704813028579E-2</v>
      </c>
      <c r="P68" s="36">
        <f>8.1*((O68/MPM!$AE69)^(1/6))</f>
        <v>8.5932202381603044</v>
      </c>
      <c r="Q68" s="43">
        <f t="shared" si="23"/>
        <v>0.37468681166624429</v>
      </c>
      <c r="R68" s="38">
        <f>(MPM!$Q69^2)/(9.81*MPM!$F69*(P68^2))</f>
        <v>1.4744588639146747E-2</v>
      </c>
      <c r="S68" s="36">
        <f>8.1*((R68/MPM!$AE69)^(1/6))</f>
        <v>8.5824742513892609</v>
      </c>
      <c r="T68" s="43">
        <f t="shared" si="24"/>
        <v>0.12520849415078728</v>
      </c>
      <c r="U68" s="38">
        <f>(MPM!$Q69^2)/(9.81*MPM!$F69*(S68^2))</f>
        <v>1.4781534709292211E-2</v>
      </c>
      <c r="V68" s="36">
        <f>8.1*((U68/MPM!$AE69)^(1/6))</f>
        <v>8.5860547530310782</v>
      </c>
      <c r="W68" s="43">
        <f t="shared" si="25"/>
        <v>4.1701360459567703E-2</v>
      </c>
      <c r="X68" s="38">
        <f>(MPM!$Q69^2)/(9.81*MPM!$F69*(V68^2))</f>
        <v>1.4769209077665064E-2</v>
      </c>
      <c r="Y68" s="36">
        <f>8.1*((X68/MPM!$AE69)^(1/6))</f>
        <v>8.5848610865433717</v>
      </c>
      <c r="Z68" s="43">
        <f t="shared" si="26"/>
        <v>1.3904319192510081E-2</v>
      </c>
      <c r="AA68" s="38">
        <f>(MPM!$Q69^2)/(9.81*MPM!$F69*(Y68^2))</f>
        <v>1.4773316479143052E-2</v>
      </c>
      <c r="AB68" s="36">
        <f>8.1*((AA68/MPM!$AE69)^(1/6))</f>
        <v>8.5852589569327886</v>
      </c>
      <c r="AC68" s="43">
        <f t="shared" si="27"/>
        <v>4.6343434882144853E-3</v>
      </c>
      <c r="AD68" s="38">
        <f>(MPM!$Q69^2)/(9.81*MPM!$F69*(AB68^2))</f>
        <v>1.4771947218411421E-2</v>
      </c>
      <c r="AE68" s="36">
        <f>8.1*((AD68/MPM!$AE69)^(1/6))</f>
        <v>8.5851263314208541</v>
      </c>
      <c r="AF68" s="43">
        <f t="shared" si="28"/>
        <v>1.5448288914409296E-3</v>
      </c>
      <c r="AG68" s="38">
        <f>(MPM!$Q69^2)/(9.81*MPM!$F69*(AE68^2))</f>
        <v>1.4772403624553655E-2</v>
      </c>
      <c r="AH68" s="36">
        <f>8.1*((AG68/MPM!$AE69)^(1/6))</f>
        <v>8.5851705396971845</v>
      </c>
      <c r="AI68" s="43">
        <f t="shared" si="29"/>
        <v>5.1493766053827092E-4</v>
      </c>
      <c r="AJ68" s="38">
        <f>(MPM!$Q69^2)/(9.81*MPM!$F69*(AH68^2))</f>
        <v>1.4772251487606105E-2</v>
      </c>
      <c r="AK68" s="36">
        <f>8.1*((AJ68/MPM!$AE69)^(1/6))</f>
        <v>8.5851558035797826</v>
      </c>
      <c r="AL68" s="43">
        <f t="shared" si="30"/>
        <v>1.7164647606903789E-4</v>
      </c>
      <c r="AM68" s="38">
        <f>(MPM!$Q69^2)/(9.81*MPM!$F69*(AK68^2))</f>
        <v>1.4772302199747855E-2</v>
      </c>
      <c r="AN68" s="36">
        <f>8.1*((AM68/MPM!$AE69)^(1/6))</f>
        <v>8.5851607156161052</v>
      </c>
      <c r="AO68" s="43">
        <f t="shared" si="31"/>
        <v>5.7215426539946037E-5</v>
      </c>
      <c r="AP68" s="38">
        <f>(MPM!$Q69^2)/(9.81*MPM!$F69*(AN68^2))</f>
        <v>1.4772285295681266E-2</v>
      </c>
      <c r="AQ68" s="36">
        <f>8.1*((AP68/MPM!$AE69)^(1/6))</f>
        <v>8.5851590782703511</v>
      </c>
      <c r="AR68" s="43">
        <f t="shared" si="32"/>
        <v>1.9071816132505229E-5</v>
      </c>
      <c r="AS68" s="38">
        <f>(MPM!$Q69^2)/(9.81*MPM!$F69*(AQ68^2))</f>
        <v>1.4772290930367981E-2</v>
      </c>
      <c r="AT68" s="36">
        <f>8.1*((AS68/MPM!$AE69)^(1/6))</f>
        <v>8.5851596240522348</v>
      </c>
      <c r="AU68" s="43">
        <f t="shared" si="33"/>
        <v>6.3572712399930534E-6</v>
      </c>
      <c r="AV68" s="38">
        <f>(MPM!$Q69^2)/(9.81*MPM!$F69*(AT68^2))</f>
        <v>1.4772289052138838E-2</v>
      </c>
      <c r="AW68" s="36">
        <f>8.1*((AV68/MPM!$AE69)^(1/6))</f>
        <v>8.5851594421249384</v>
      </c>
      <c r="AX68" s="43">
        <f t="shared" si="34"/>
        <v>2.1190904789274784E-6</v>
      </c>
      <c r="AY68" s="38">
        <f>(MPM!$Q69^2)/(9.81*MPM!$F69*(AW68^2))</f>
        <v>1.4772289678215183E-2</v>
      </c>
      <c r="AZ68" s="36">
        <f>8.1*((AY68/MPM!$AE69)^(1/6))</f>
        <v>8.5851595027673682</v>
      </c>
      <c r="BA68" s="43">
        <f t="shared" si="35"/>
        <v>7.0636346039830945E-7</v>
      </c>
      <c r="BB68" s="38">
        <f>(MPM!$Q69^2)/(9.81*MPM!$F69*(AZ68^2))</f>
        <v>1.4772289469523071E-2</v>
      </c>
      <c r="BC68" s="36">
        <f>8.1*((BB68/MPM!$AE69)^(1/6))</f>
        <v>8.5851594825532249</v>
      </c>
      <c r="BD68" s="43">
        <f t="shared" si="36"/>
        <v>2.3545448735382465E-7</v>
      </c>
      <c r="BE68" s="38">
        <f>(MPM!$Q69^2)/(9.81*MPM!$F69*(BC68^2))</f>
        <v>1.4772289539087109E-2</v>
      </c>
      <c r="BF68" s="36">
        <f>8.1*((BE68/MPM!$AE69)^(1/6))</f>
        <v>8.5851594892912733</v>
      </c>
      <c r="BG68" s="43">
        <f t="shared" si="37"/>
        <v>7.8484835953348633E-8</v>
      </c>
      <c r="BH68" s="38">
        <f>(MPM!$Q69^2)/(9.81*MPM!$F69*(BF68^2))</f>
        <v>1.4772289515899095E-2</v>
      </c>
      <c r="BI68" s="36">
        <f>8.1*((BH68/MPM!$AE69)^(1/6))</f>
        <v>8.5851594870452583</v>
      </c>
      <c r="BJ68" s="43">
        <f t="shared" si="38"/>
        <v>2.6161598197282272E-8</v>
      </c>
      <c r="BK68" s="38">
        <f>(MPM!$Q69^2)/(9.81*MPM!$F69*(BI68^2))</f>
        <v>1.4772289523628428E-2</v>
      </c>
      <c r="BL68" s="36">
        <f>8.1*((BK68/MPM!$AE69)^(1/6))</f>
        <v>8.5851594877939288</v>
      </c>
      <c r="BM68" s="43">
        <f t="shared" si="39"/>
        <v>8.7205189376553804E-9</v>
      </c>
      <c r="BN68" s="43">
        <f t="shared" si="40"/>
        <v>5.2323187860874546E-8</v>
      </c>
    </row>
    <row r="69" spans="1:66">
      <c r="A69" s="36">
        <f>MPM!B70</f>
        <v>65</v>
      </c>
      <c r="B69" s="41">
        <f>1/(MPM!AC70^0.5)</f>
        <v>7.6067962470459252</v>
      </c>
      <c r="C69" s="38">
        <f>(MPM!$Q70^2)/(9.81*MPM!$F70*(Sheet1!B69^2))</f>
        <v>1.2724569076419374E-2</v>
      </c>
      <c r="D69" s="36">
        <f>8.1*((C69/MPM!$AE70)^(1/6))</f>
        <v>8.3742819652795983</v>
      </c>
      <c r="E69" s="41">
        <f t="shared" si="19"/>
        <v>9.1647943240474419</v>
      </c>
      <c r="F69" s="38">
        <f>(MPM!$Q70^2)/(9.81*MPM!$F70*(D69^2))</f>
        <v>1.0499085959483144E-2</v>
      </c>
      <c r="G69" s="36">
        <f>8.1*((F69/MPM!$AE70)^(1/6))</f>
        <v>8.110214007986599</v>
      </c>
      <c r="H69" s="43">
        <f t="shared" si="20"/>
        <v>3.255992468669215</v>
      </c>
      <c r="I69" s="38">
        <f>(MPM!$Q70^2)/(9.81*MPM!$F70*(G69^2))</f>
        <v>1.1193915448007869E-2</v>
      </c>
      <c r="J69" s="36">
        <f>8.1*((I69/MPM!$AE70)^(1/6))</f>
        <v>8.1972982380089068</v>
      </c>
      <c r="K69" s="43">
        <f t="shared" si="21"/>
        <v>1.0623528325286387</v>
      </c>
      <c r="L69" s="38">
        <f>(MPM!$Q70^2)/(9.81*MPM!$F70*(J69^2))</f>
        <v>1.0957341030409393E-2</v>
      </c>
      <c r="M69" s="36">
        <f>8.1*((L69/MPM!$AE70)^(1/6))</f>
        <v>8.1681667567893825</v>
      </c>
      <c r="N69" s="43">
        <f t="shared" si="22"/>
        <v>0.35664650449637492</v>
      </c>
      <c r="O69" s="38">
        <f>(MPM!$Q70^2)/(9.81*MPM!$F70*(M69^2))</f>
        <v>1.1035638351744745E-2</v>
      </c>
      <c r="P69" s="36">
        <f>8.1*((O69/MPM!$AE70)^(1/6))</f>
        <v>8.1778657293025052</v>
      </c>
      <c r="Q69" s="43">
        <f t="shared" si="23"/>
        <v>0.11860029051797497</v>
      </c>
      <c r="R69" s="38">
        <f>(MPM!$Q70^2)/(9.81*MPM!$F70*(P69^2))</f>
        <v>1.1009477276214191E-2</v>
      </c>
      <c r="S69" s="36">
        <f>8.1*((R69/MPM!$AE70)^(1/6))</f>
        <v>8.1746314595098202</v>
      </c>
      <c r="T69" s="43">
        <f t="shared" si="24"/>
        <v>3.9564716876899782E-2</v>
      </c>
      <c r="U69" s="38">
        <f>(MPM!$Q70^2)/(9.81*MPM!$F70*(S69^2))</f>
        <v>1.1018190736629154E-2</v>
      </c>
      <c r="V69" s="36">
        <f>8.1*((U69/MPM!$AE70)^(1/6))</f>
        <v>8.1757094072908814</v>
      </c>
      <c r="W69" s="43">
        <f t="shared" si="25"/>
        <v>1.3184761436113402E-2</v>
      </c>
      <c r="X69" s="38">
        <f>(MPM!$Q70^2)/(9.81*MPM!$F70*(V69^2))</f>
        <v>1.1015285483840707E-2</v>
      </c>
      <c r="Y69" s="36">
        <f>8.1*((X69/MPM!$AE70)^(1/6))</f>
        <v>8.1753500755710551</v>
      </c>
      <c r="Z69" s="43">
        <f t="shared" si="26"/>
        <v>4.3953068248416601E-3</v>
      </c>
      <c r="AA69" s="38">
        <f>(MPM!$Q70^2)/(9.81*MPM!$F70*(Y69^2))</f>
        <v>1.1016253816310124E-2</v>
      </c>
      <c r="AB69" s="36">
        <f>8.1*((AA69/MPM!$AE70)^(1/6))</f>
        <v>8.1754698510561816</v>
      </c>
      <c r="AC69" s="43">
        <f t="shared" si="27"/>
        <v>1.4650593459293963E-3</v>
      </c>
      <c r="AD69" s="38">
        <f>(MPM!$Q70^2)/(9.81*MPM!$F70*(AB69^2))</f>
        <v>1.1015931029362437E-2</v>
      </c>
      <c r="AE69" s="36">
        <f>8.1*((AD69/MPM!$AE70)^(1/6))</f>
        <v>8.1754299256994951</v>
      </c>
      <c r="AF69" s="43">
        <f t="shared" si="28"/>
        <v>4.8835788514319423E-4</v>
      </c>
      <c r="AG69" s="38">
        <f>(MPM!$Q70^2)/(9.81*MPM!$F70*(AE69^2))</f>
        <v>1.1016038623960767E-2</v>
      </c>
      <c r="AH69" s="36">
        <f>8.1*((AG69/MPM!$AE70)^(1/6))</f>
        <v>8.1754432341300607</v>
      </c>
      <c r="AI69" s="43">
        <f t="shared" si="29"/>
        <v>1.6278543174288193E-4</v>
      </c>
      <c r="AJ69" s="38">
        <f>(MPM!$Q70^2)/(9.81*MPM!$F70*(AH69^2))</f>
        <v>1.101600275897789E-2</v>
      </c>
      <c r="AK69" s="36">
        <f>8.1*((AJ69/MPM!$AE70)^(1/6))</f>
        <v>8.1754387979841301</v>
      </c>
      <c r="AL69" s="43">
        <f t="shared" si="30"/>
        <v>5.4261869487559969E-5</v>
      </c>
      <c r="AM69" s="38">
        <f>(MPM!$Q70^2)/(9.81*MPM!$F70*(AK69^2))</f>
        <v>1.1016014713959212E-2</v>
      </c>
      <c r="AN69" s="36">
        <f>8.1*((AM69/MPM!$AE70)^(1/6))</f>
        <v>8.1754402766991738</v>
      </c>
      <c r="AO69" s="43">
        <f t="shared" si="31"/>
        <v>1.8087283298492485E-5</v>
      </c>
      <c r="AP69" s="38">
        <f>(MPM!$Q70^2)/(9.81*MPM!$F70*(AN69^2))</f>
        <v>1.1016010728963993E-2</v>
      </c>
      <c r="AQ69" s="36">
        <f>8.1*((AP69/MPM!$AE70)^(1/6))</f>
        <v>8.1754397837941291</v>
      </c>
      <c r="AR69" s="43">
        <f t="shared" si="32"/>
        <v>6.029095165706105E-6</v>
      </c>
      <c r="AS69" s="38">
        <f>(MPM!$Q70^2)/(9.81*MPM!$F70*(AQ69^2))</f>
        <v>1.1016012057295573E-2</v>
      </c>
      <c r="AT69" s="36">
        <f>8.1*((AS69/MPM!$AE70)^(1/6))</f>
        <v>8.1754399480958071</v>
      </c>
      <c r="AU69" s="43">
        <f t="shared" si="33"/>
        <v>2.0096983047238945E-6</v>
      </c>
      <c r="AV69" s="38">
        <f>(MPM!$Q70^2)/(9.81*MPM!$F70*(AT69^2))</f>
        <v>1.1016011614518362E-2</v>
      </c>
      <c r="AW69" s="36">
        <f>8.1*((AV69/MPM!$AE70)^(1/6))</f>
        <v>8.1754398933285799</v>
      </c>
      <c r="AX69" s="43">
        <f t="shared" si="34"/>
        <v>6.6989945388092852E-7</v>
      </c>
      <c r="AY69" s="38">
        <f>(MPM!$Q70^2)/(9.81*MPM!$F70*(AW69^2))</f>
        <v>1.1016011762110766E-2</v>
      </c>
      <c r="AZ69" s="36">
        <f>8.1*((AY69/MPM!$AE70)^(1/6))</f>
        <v>8.1754399115843235</v>
      </c>
      <c r="BA69" s="43">
        <f t="shared" si="35"/>
        <v>2.2329983194699233E-7</v>
      </c>
      <c r="BB69" s="38">
        <f>(MPM!$Q70^2)/(9.81*MPM!$F70*(AZ69^2))</f>
        <v>1.1016011712913295E-2</v>
      </c>
      <c r="BC69" s="36">
        <f>8.1*((BB69/MPM!$AE70)^(1/6))</f>
        <v>8.1754399054990756</v>
      </c>
      <c r="BD69" s="43">
        <f t="shared" si="36"/>
        <v>7.4433277371067242E-8</v>
      </c>
      <c r="BE69" s="38">
        <f>(MPM!$Q70^2)/(9.81*MPM!$F70*(BC69^2))</f>
        <v>1.1016011729312453E-2</v>
      </c>
      <c r="BF69" s="36">
        <f>8.1*((BE69/MPM!$AE70)^(1/6))</f>
        <v>8.1754399075274922</v>
      </c>
      <c r="BG69" s="43">
        <f t="shared" si="37"/>
        <v>2.4811099693521988E-8</v>
      </c>
      <c r="BH69" s="38">
        <f>(MPM!$Q70^2)/(9.81*MPM!$F70*(BF69^2))</f>
        <v>1.1016011723846067E-2</v>
      </c>
      <c r="BI69" s="36">
        <f>8.1*((BH69/MPM!$AE70)^(1/6))</f>
        <v>8.1754399068513539</v>
      </c>
      <c r="BJ69" s="43">
        <f t="shared" si="38"/>
        <v>8.270359322535837E-9</v>
      </c>
      <c r="BK69" s="38">
        <f>(MPM!$Q70^2)/(9.81*MPM!$F70*(BI69^2))</f>
        <v>1.1016011725668193E-2</v>
      </c>
      <c r="BL69" s="36">
        <f>8.1*((BK69/MPM!$AE70)^(1/6))</f>
        <v>8.1754399070767327</v>
      </c>
      <c r="BM69" s="43">
        <f t="shared" si="39"/>
        <v>2.7567791981138005E-9</v>
      </c>
      <c r="BN69" s="43">
        <f t="shared" si="40"/>
        <v>1.6540703014546752E-8</v>
      </c>
    </row>
    <row r="70" spans="1:66">
      <c r="A70" s="36">
        <f>MPM!B71</f>
        <v>66</v>
      </c>
      <c r="B70" s="41">
        <f>1/(MPM!AC71^0.5)</f>
        <v>9.8852736618203778</v>
      </c>
      <c r="C70" s="38">
        <f>(MPM!$Q71^2)/(9.81*MPM!$F71*(Sheet1!B70^2))</f>
        <v>7.8309384516000342E-3</v>
      </c>
      <c r="D70" s="36">
        <f>8.1*((C70/MPM!$AE71)^(1/6))</f>
        <v>7.7234149323801704</v>
      </c>
      <c r="E70" s="41">
        <f t="shared" ref="E70:E133" si="41">100*ABS(D70-B70)/D70</f>
        <v>27.990969647075204</v>
      </c>
      <c r="F70" s="38">
        <f>(MPM!$Q71^2)/(9.81*MPM!$F71*(D70^2))</f>
        <v>1.2828399289829137E-2</v>
      </c>
      <c r="G70" s="36">
        <f>8.1*((F70/MPM!$AE71)^(1/6))</f>
        <v>8.3856322107249905</v>
      </c>
      <c r="H70" s="43">
        <f t="shared" ref="H70:H133" si="42">100*ABS(G70-D70)/G70</f>
        <v>7.8970465398883416</v>
      </c>
      <c r="I70" s="38">
        <f>(MPM!$Q71^2)/(9.81*MPM!$F71*(G70^2))</f>
        <v>1.0882272153204408E-2</v>
      </c>
      <c r="J70" s="36">
        <f>8.1*((I70/MPM!$AE71)^(1/6))</f>
        <v>8.1588133191844694</v>
      </c>
      <c r="K70" s="43">
        <f t="shared" ref="K70:K133" si="43">100*ABS(J70-G70)/J70</f>
        <v>2.780047571467088</v>
      </c>
      <c r="L70" s="38">
        <f>(MPM!$Q71^2)/(9.81*MPM!$F71*(J70^2))</f>
        <v>1.1495747381682171E-2</v>
      </c>
      <c r="M70" s="36">
        <f>8.1*((L70/MPM!$AE71)^(1/6))</f>
        <v>8.2337296105023388</v>
      </c>
      <c r="N70" s="43">
        <f t="shared" ref="N70:N133" si="44">100*ABS(M70-J70)/M70</f>
        <v>0.90987067661672627</v>
      </c>
      <c r="O70" s="38">
        <f>(MPM!$Q71^2)/(9.81*MPM!$F71*(M70^2))</f>
        <v>1.1287506205000603E-2</v>
      </c>
      <c r="P70" s="36">
        <f>8.1*((O70/MPM!$AE71)^(1/6))</f>
        <v>8.2086813902859959</v>
      </c>
      <c r="Q70" s="43">
        <f t="shared" ref="Q70:Q133" si="45">100*ABS(P70-M70)/P70</f>
        <v>0.3051430433879978</v>
      </c>
      <c r="R70" s="38">
        <f>(MPM!$Q71^2)/(9.81*MPM!$F71*(P70^2))</f>
        <v>1.1356497385454058E-2</v>
      </c>
      <c r="S70" s="36">
        <f>8.1*((R70/MPM!$AE71)^(1/6))</f>
        <v>8.2170223188478388</v>
      </c>
      <c r="T70" s="43">
        <f t="shared" ref="T70:T133" si="46">100*ABS(S70-P70)/S70</f>
        <v>0.10150792146092796</v>
      </c>
      <c r="U70" s="38">
        <f>(MPM!$Q71^2)/(9.81*MPM!$F71*(S70^2))</f>
        <v>1.1333453598134362E-2</v>
      </c>
      <c r="V70" s="36">
        <f>8.1*((U70/MPM!$AE71)^(1/6))</f>
        <v>8.2142410680515479</v>
      </c>
      <c r="W70" s="43">
        <f t="shared" ref="W70:W133" si="47">100*ABS(V70-S70)/V70</f>
        <v>3.3858889375774248E-2</v>
      </c>
      <c r="X70" s="38">
        <f>(MPM!$Q71^2)/(9.81*MPM!$F71*(V70^2))</f>
        <v>1.1341129660461616E-2</v>
      </c>
      <c r="Y70" s="36">
        <f>8.1*((X70/MPM!$AE71)^(1/6))</f>
        <v>8.2151680470365847</v>
      </c>
      <c r="Z70" s="43">
        <f t="shared" ref="Z70:Z133" si="48">100*ABS(Y70-V70)/Y70</f>
        <v>1.1283749519538817E-2</v>
      </c>
      <c r="AA70" s="38">
        <f>(MPM!$Q71^2)/(9.81*MPM!$F71*(Y70^2))</f>
        <v>1.133857039553314E-2</v>
      </c>
      <c r="AB70" s="36">
        <f>8.1*((AA70/MPM!$AE71)^(1/6))</f>
        <v>8.2148590424188477</v>
      </c>
      <c r="AC70" s="43">
        <f t="shared" ref="AC70:AC133" si="49">100*ABS(AB70-Y70)/AB70</f>
        <v>3.7615328046576991E-3</v>
      </c>
      <c r="AD70" s="38">
        <f>(MPM!$Q71^2)/(9.81*MPM!$F71*(AB70^2))</f>
        <v>1.1339423419666244E-2</v>
      </c>
      <c r="AE70" s="36">
        <f>8.1*((AD70/MPM!$AE71)^(1/6))</f>
        <v>8.2149620426666417</v>
      </c>
      <c r="AF70" s="43">
        <f t="shared" ref="AF70:AF133" si="50">100*ABS(AE70-AB70)/AE70</f>
        <v>1.2538128266328188E-3</v>
      </c>
      <c r="AG70" s="38">
        <f>(MPM!$Q71^2)/(9.81*MPM!$F71*(AE70^2))</f>
        <v>1.1339139071158251E-2</v>
      </c>
      <c r="AH70" s="36">
        <f>8.1*((AG70/MPM!$AE71)^(1/6))</f>
        <v>8.214927709107215</v>
      </c>
      <c r="AI70" s="43">
        <f t="shared" ref="AI70:AI133" si="51">100*ABS(AH70-AE70)/AH70</f>
        <v>4.1794110237331552E-4</v>
      </c>
      <c r="AJ70" s="38">
        <f>(MPM!$Q71^2)/(9.81*MPM!$F71*(AH70^2))</f>
        <v>1.1339233853201984E-2</v>
      </c>
      <c r="AK70" s="36">
        <f>8.1*((AJ70/MPM!$AE71)^(1/6))</f>
        <v>8.2149391536110805</v>
      </c>
      <c r="AL70" s="43">
        <f t="shared" ref="AL70:AL133" si="52">100*ABS(AK70-AH70)/AK70</f>
        <v>1.3931331263051104E-4</v>
      </c>
      <c r="AM70" s="38">
        <f>(MPM!$Q71^2)/(9.81*MPM!$F71*(AK70^2))</f>
        <v>1.1339202259099375E-2</v>
      </c>
      <c r="AN70" s="36">
        <f>8.1*((AM70/MPM!$AE71)^(1/6))</f>
        <v>8.2149353387746871</v>
      </c>
      <c r="AO70" s="43">
        <f t="shared" ref="AO70:AO133" si="53">100*ABS(AN70-AK70)/AN70</f>
        <v>4.6437814007363619E-5</v>
      </c>
      <c r="AP70" s="38">
        <f>(MPM!$Q71^2)/(9.81*MPM!$F71*(AN70^2))</f>
        <v>1.1339212790457132E-2</v>
      </c>
      <c r="AQ70" s="36">
        <f>8.1*((AP70/MPM!$AE71)^(1/6))</f>
        <v>8.214936610386621</v>
      </c>
      <c r="AR70" s="43">
        <f t="shared" ref="AR70:AR133" si="54">100*ABS(AQ70-AN70)/AQ70</f>
        <v>1.5479266539501674E-5</v>
      </c>
      <c r="AS70" s="38">
        <f>(MPM!$Q71^2)/(9.81*MPM!$F71*(AQ70^2))</f>
        <v>1.1339209280003459E-2</v>
      </c>
      <c r="AT70" s="36">
        <f>8.1*((AS70/MPM!$AE71)^(1/6))</f>
        <v>8.2149361865159545</v>
      </c>
      <c r="AU70" s="43">
        <f t="shared" ref="AU70:AU133" si="55">100*ABS(AT70-AQ70)/AT70</f>
        <v>5.1597560460878722E-6</v>
      </c>
      <c r="AV70" s="38">
        <f>(MPM!$Q71^2)/(9.81*MPM!$F71*(AT70^2))</f>
        <v>1.1339210450154562E-2</v>
      </c>
      <c r="AW70" s="36">
        <f>8.1*((AV70/MPM!$AE71)^(1/6))</f>
        <v>8.2149363278061749</v>
      </c>
      <c r="AX70" s="43">
        <f t="shared" ref="AX70:AX133" si="56">100*ABS(AW70-AT70)/AW70</f>
        <v>1.7199186308245879E-6</v>
      </c>
      <c r="AY70" s="38">
        <f>(MPM!$Q71^2)/(9.81*MPM!$F71*(AW70^2))</f>
        <v>1.1339210060104181E-2</v>
      </c>
      <c r="AZ70" s="36">
        <f>8.1*((AY70/MPM!$AE71)^(1/6))</f>
        <v>8.2149362807094342</v>
      </c>
      <c r="BA70" s="43">
        <f t="shared" ref="BA70:BA133" si="57">100*ABS(AZ70-AW70)/AZ70</f>
        <v>5.7330622076949649E-7</v>
      </c>
      <c r="BB70" s="38">
        <f>(MPM!$Q71^2)/(9.81*MPM!$F71*(AZ70^2))</f>
        <v>1.1339210190120973E-2</v>
      </c>
      <c r="BC70" s="36">
        <f>8.1*((BB70/MPM!$AE71)^(1/6))</f>
        <v>8.2149362964083465</v>
      </c>
      <c r="BD70" s="43">
        <f t="shared" ref="BD70:BD133" si="58">100*ABS(BC70-AZ70)/BC70</f>
        <v>1.9110205880896478E-7</v>
      </c>
      <c r="BE70" s="38">
        <f>(MPM!$Q71^2)/(9.81*MPM!$F71*(BC70^2))</f>
        <v>1.1339210146782045E-2</v>
      </c>
      <c r="BF70" s="36">
        <f>8.1*((BE70/MPM!$AE71)^(1/6))</f>
        <v>8.2149362911753769</v>
      </c>
      <c r="BG70" s="43">
        <f t="shared" ref="BG70:BG133" si="59">100*ABS(BF70-BC70)/BF70</f>
        <v>6.3700671894565293E-8</v>
      </c>
      <c r="BH70" s="38">
        <f>(MPM!$Q71^2)/(9.81*MPM!$F71*(BF70^2))</f>
        <v>1.1339210161228352E-2</v>
      </c>
      <c r="BI70" s="36">
        <f>8.1*((BH70/MPM!$AE71)^(1/6))</f>
        <v>8.2149362929197007</v>
      </c>
      <c r="BJ70" s="43">
        <f t="shared" ref="BJ70:BJ133" si="60">100*ABS(BI70-BF70)/BI70</f>
        <v>2.1233564501513488E-8</v>
      </c>
      <c r="BK70" s="38">
        <f>(MPM!$Q71^2)/(9.81*MPM!$F71*(BI70^2))</f>
        <v>1.1339210156412914E-2</v>
      </c>
      <c r="BL70" s="36">
        <f>8.1*((BK70/MPM!$AE71)^(1/6))</f>
        <v>8.2149362923382583</v>
      </c>
      <c r="BM70" s="43">
        <f t="shared" ref="BM70:BM133" si="61">100*ABS(BL70-BI70)/BL70</f>
        <v>7.0778692500061901E-9</v>
      </c>
      <c r="BN70" s="43">
        <f t="shared" ref="BN70:BN133" si="62">100*ABS(BK70-BH70)/BK70</f>
        <v>4.2467137591579721E-8</v>
      </c>
    </row>
    <row r="71" spans="1:66">
      <c r="A71" s="36">
        <f>MPM!B72</f>
        <v>67</v>
      </c>
      <c r="B71" s="41">
        <f>1/(MPM!AC72^0.5)</f>
        <v>12.153810561492442</v>
      </c>
      <c r="C71" s="38">
        <f>(MPM!$Q72^2)/(9.81*MPM!$F72*(Sheet1!B71^2))</f>
        <v>0.43471966884782859</v>
      </c>
      <c r="D71" s="36">
        <f>8.1*((C71/MPM!$AE72)^(1/6))</f>
        <v>21.078121066396118</v>
      </c>
      <c r="E71" s="41">
        <f t="shared" si="41"/>
        <v>42.339212668871589</v>
      </c>
      <c r="F71" s="38">
        <f>(MPM!$Q72^2)/(9.81*MPM!$F72*(D71^2))</f>
        <v>0.14453413465114523</v>
      </c>
      <c r="G71" s="36">
        <f>8.1*((F71/MPM!$AE72)^(1/6))</f>
        <v>17.543870678888364</v>
      </c>
      <c r="H71" s="43">
        <f t="shared" si="42"/>
        <v>20.145214543565569</v>
      </c>
      <c r="I71" s="38">
        <f>(MPM!$Q72^2)/(9.81*MPM!$F72*(G71^2))</f>
        <v>0.20863318168202191</v>
      </c>
      <c r="J71" s="36">
        <f>8.1*((I71/MPM!$AE72)^(1/6))</f>
        <v>18.650661636938079</v>
      </c>
      <c r="K71" s="43">
        <f t="shared" si="43"/>
        <v>5.9343254389307489</v>
      </c>
      <c r="L71" s="38">
        <f>(MPM!$Q72^2)/(9.81*MPM!$F72*(J71^2))</f>
        <v>0.18460596490228426</v>
      </c>
      <c r="M71" s="36">
        <f>8.1*((L71/MPM!$AE72)^(1/6))</f>
        <v>18.274182924013008</v>
      </c>
      <c r="N71" s="43">
        <f t="shared" si="44"/>
        <v>2.0601671466819047</v>
      </c>
      <c r="O71" s="38">
        <f>(MPM!$Q72^2)/(9.81*MPM!$F72*(M71^2))</f>
        <v>0.19229069988231498</v>
      </c>
      <c r="P71" s="36">
        <f>8.1*((O71/MPM!$AE72)^(1/6))</f>
        <v>18.398823770487834</v>
      </c>
      <c r="Q71" s="43">
        <f t="shared" si="45"/>
        <v>0.67743921040622523</v>
      </c>
      <c r="R71" s="38">
        <f>(MPM!$Q72^2)/(9.81*MPM!$F72*(P71^2))</f>
        <v>0.18969421936386105</v>
      </c>
      <c r="S71" s="36">
        <f>8.1*((R71/MPM!$AE72)^(1/6))</f>
        <v>18.35718264852909</v>
      </c>
      <c r="T71" s="43">
        <f t="shared" si="46"/>
        <v>0.22683830496222904</v>
      </c>
      <c r="U71" s="38">
        <f>(MPM!$Q72^2)/(9.81*MPM!$F72*(S71^2))</f>
        <v>0.19055579375079595</v>
      </c>
      <c r="V71" s="36">
        <f>8.1*((U71/MPM!$AE72)^(1/6))</f>
        <v>18.371052540386703</v>
      </c>
      <c r="W71" s="43">
        <f t="shared" si="47"/>
        <v>7.5498623865572323E-2</v>
      </c>
      <c r="X71" s="38">
        <f>(MPM!$Q72^2)/(9.81*MPM!$F72*(V71^2))</f>
        <v>0.19026816836444668</v>
      </c>
      <c r="Y71" s="36">
        <f>8.1*((X71/MPM!$AE72)^(1/6))</f>
        <v>18.366428079103958</v>
      </c>
      <c r="Z71" s="43">
        <f t="shared" si="48"/>
        <v>2.5178882158401087E-2</v>
      </c>
      <c r="AA71" s="38">
        <f>(MPM!$Q72^2)/(9.81*MPM!$F72*(Y71^2))</f>
        <v>0.19036399522278882</v>
      </c>
      <c r="AB71" s="36">
        <f>8.1*((AA71/MPM!$AE72)^(1/6))</f>
        <v>18.367969436839893</v>
      </c>
      <c r="AC71" s="43">
        <f t="shared" si="49"/>
        <v>8.3915521595066943E-3</v>
      </c>
      <c r="AD71" s="38">
        <f>(MPM!$Q72^2)/(9.81*MPM!$F72*(AB71^2))</f>
        <v>0.19033204757539271</v>
      </c>
      <c r="AE71" s="36">
        <f>8.1*((AD71/MPM!$AE72)^(1/6))</f>
        <v>18.367455636555707</v>
      </c>
      <c r="AF71" s="43">
        <f t="shared" si="50"/>
        <v>2.7973405481528046E-3</v>
      </c>
      <c r="AG71" s="38">
        <f>(MPM!$Q72^2)/(9.81*MPM!$F72*(AE71^2))</f>
        <v>0.19034269619541563</v>
      </c>
      <c r="AH71" s="36">
        <f>8.1*((AG71/MPM!$AE72)^(1/6))</f>
        <v>18.367626901720154</v>
      </c>
      <c r="AI71" s="43">
        <f t="shared" si="51"/>
        <v>9.324294606110837E-4</v>
      </c>
      <c r="AJ71" s="38">
        <f>(MPM!$Q72^2)/(9.81*MPM!$F72*(AH71^2))</f>
        <v>0.19033914658921361</v>
      </c>
      <c r="AK71" s="36">
        <f>8.1*((AJ71/MPM!$AE72)^(1/6))</f>
        <v>18.367569813154567</v>
      </c>
      <c r="AL71" s="43">
        <f t="shared" si="52"/>
        <v>3.1081175227629798E-4</v>
      </c>
      <c r="AM71" s="38">
        <f>(MPM!$Q72^2)/(9.81*MPM!$F72*(AK71^2))</f>
        <v>0.19034032978392593</v>
      </c>
      <c r="AN71" s="36">
        <f>8.1*((AM71/MPM!$AE72)^(1/6))</f>
        <v>18.367588842656719</v>
      </c>
      <c r="AO71" s="43">
        <f t="shared" si="53"/>
        <v>1.0360370277687141E-4</v>
      </c>
      <c r="AP71" s="38">
        <f>(MPM!$Q72^2)/(9.81*MPM!$F72*(AN71^2))</f>
        <v>0.19033993538487115</v>
      </c>
      <c r="AQ71" s="36">
        <f>8.1*((AP71/MPM!$AE72)^(1/6))</f>
        <v>18.367582499487138</v>
      </c>
      <c r="AR71" s="43">
        <f t="shared" si="54"/>
        <v>3.4534591478653733E-5</v>
      </c>
      <c r="AS71" s="38">
        <f>(MPM!$Q72^2)/(9.81*MPM!$F72*(AQ71^2))</f>
        <v>0.19034006685113206</v>
      </c>
      <c r="AT71" s="36">
        <f>8.1*((AS71/MPM!$AE72)^(1/6))</f>
        <v>18.367584613876758</v>
      </c>
      <c r="AU71" s="43">
        <f t="shared" si="55"/>
        <v>1.1511527858902437E-5</v>
      </c>
      <c r="AV71" s="38">
        <f>(MPM!$Q72^2)/(9.81*MPM!$F72*(AT71^2))</f>
        <v>0.19034002302903494</v>
      </c>
      <c r="AW71" s="36">
        <f>8.1*((AV71/MPM!$AE72)^(1/6))</f>
        <v>18.367583909080192</v>
      </c>
      <c r="AX71" s="43">
        <f t="shared" si="56"/>
        <v>3.8371762420502361E-6</v>
      </c>
      <c r="AY71" s="38">
        <f>(MPM!$Q72^2)/(9.81*MPM!$F72*(AW71^2))</f>
        <v>0.19034003763639951</v>
      </c>
      <c r="AZ71" s="36">
        <f>8.1*((AY71/MPM!$AE72)^(1/6))</f>
        <v>18.367584144012376</v>
      </c>
      <c r="BA71" s="43">
        <f t="shared" si="57"/>
        <v>1.27905870520043E-6</v>
      </c>
      <c r="BB71" s="38">
        <f>(MPM!$Q72^2)/(9.81*MPM!$F72*(AZ71^2))</f>
        <v>0.19034003276727793</v>
      </c>
      <c r="BC71" s="36">
        <f>8.1*((BB71/MPM!$AE72)^(1/6))</f>
        <v>18.367584065701649</v>
      </c>
      <c r="BD71" s="43">
        <f t="shared" si="58"/>
        <v>4.2635289710381043E-7</v>
      </c>
      <c r="BE71" s="38">
        <f>(MPM!$Q72^2)/(9.81*MPM!$F72*(BC71^2))</f>
        <v>0.19034003439031841</v>
      </c>
      <c r="BF71" s="36">
        <f>8.1*((BE71/MPM!$AE72)^(1/6))</f>
        <v>18.367584091805224</v>
      </c>
      <c r="BG71" s="43">
        <f t="shared" si="59"/>
        <v>1.4211762571852843E-7</v>
      </c>
      <c r="BH71" s="38">
        <f>(MPM!$Q72^2)/(9.81*MPM!$F72*(BF71^2))</f>
        <v>0.19034003384930492</v>
      </c>
      <c r="BI71" s="36">
        <f>8.1*((BH71/MPM!$AE72)^(1/6))</f>
        <v>18.367584083104035</v>
      </c>
      <c r="BJ71" s="43">
        <f t="shared" si="60"/>
        <v>4.7372529033749368E-8</v>
      </c>
      <c r="BK71" s="38">
        <f>(MPM!$Q72^2)/(9.81*MPM!$F72*(BI71^2))</f>
        <v>0.1903400340296427</v>
      </c>
      <c r="BL71" s="36">
        <f>8.1*((BK71/MPM!$AE72)^(1/6))</f>
        <v>18.367584086004431</v>
      </c>
      <c r="BM71" s="43">
        <f t="shared" si="61"/>
        <v>1.5790843008756281E-8</v>
      </c>
      <c r="BN71" s="43">
        <f t="shared" si="62"/>
        <v>9.4745056347341196E-8</v>
      </c>
    </row>
    <row r="72" spans="1:66">
      <c r="A72" s="36">
        <f>MPM!B73</f>
        <v>68</v>
      </c>
      <c r="B72" s="41">
        <f>1/(MPM!AC73^0.5)</f>
        <v>11.718477489944844</v>
      </c>
      <c r="C72" s="38">
        <f>(MPM!$Q73^2)/(9.81*MPM!$F73*(Sheet1!B72^2))</f>
        <v>0.32094935935632402</v>
      </c>
      <c r="D72" s="36">
        <f>8.1*((C72/MPM!$AE73)^(1/6))</f>
        <v>20.038710226423287</v>
      </c>
      <c r="E72" s="41">
        <f t="shared" si="41"/>
        <v>41.520799704500362</v>
      </c>
      <c r="F72" s="38">
        <f>(MPM!$Q73^2)/(9.81*MPM!$F73*(D72^2))</f>
        <v>0.1097588032644165</v>
      </c>
      <c r="G72" s="36">
        <f>8.1*((F72/MPM!$AE73)^(1/6))</f>
        <v>16.7572818150397</v>
      </c>
      <c r="H72" s="43">
        <f t="shared" si="42"/>
        <v>19.582104350829123</v>
      </c>
      <c r="I72" s="38">
        <f>(MPM!$Q73^2)/(9.81*MPM!$F73*(G72^2))</f>
        <v>0.15695376806086972</v>
      </c>
      <c r="J72" s="36">
        <f>8.1*((I72/MPM!$AE73)^(1/6))</f>
        <v>17.78657401867201</v>
      </c>
      <c r="K72" s="43">
        <f t="shared" si="43"/>
        <v>5.7869053509224297</v>
      </c>
      <c r="L72" s="38">
        <f>(MPM!$Q73^2)/(9.81*MPM!$F73*(J72^2))</f>
        <v>0.13931384712789602</v>
      </c>
      <c r="M72" s="36">
        <f>8.1*((L72/MPM!$AE73)^(1/6))</f>
        <v>17.436637030431992</v>
      </c>
      <c r="N72" s="43">
        <f t="shared" si="44"/>
        <v>2.0069064214003869</v>
      </c>
      <c r="O72" s="38">
        <f>(MPM!$Q73^2)/(9.81*MPM!$F73*(M72^2))</f>
        <v>0.14496175528312893</v>
      </c>
      <c r="P72" s="36">
        <f>8.1*((O72/MPM!$AE73)^(1/6))</f>
        <v>17.552510955560511</v>
      </c>
      <c r="Q72" s="43">
        <f t="shared" si="45"/>
        <v>0.66015583423869229</v>
      </c>
      <c r="R72" s="38">
        <f>(MPM!$Q73^2)/(9.81*MPM!$F73*(P72^2))</f>
        <v>0.14305412582958893</v>
      </c>
      <c r="S72" s="36">
        <f>8.1*((R72/MPM!$AE73)^(1/6))</f>
        <v>17.513801006477948</v>
      </c>
      <c r="T72" s="43">
        <f t="shared" si="46"/>
        <v>0.22102540201435847</v>
      </c>
      <c r="U72" s="38">
        <f>(MPM!$Q73^2)/(9.81*MPM!$F73*(S72^2))</f>
        <v>0.1436871965942968</v>
      </c>
      <c r="V72" s="36">
        <f>8.1*((U72/MPM!$AE73)^(1/6))</f>
        <v>17.526694827959261</v>
      </c>
      <c r="W72" s="43">
        <f t="shared" si="47"/>
        <v>7.3566759779171348E-2</v>
      </c>
      <c r="X72" s="38">
        <f>(MPM!$Q73^2)/(9.81*MPM!$F73*(V72^2))</f>
        <v>0.14347586232928286</v>
      </c>
      <c r="Y72" s="36">
        <f>8.1*((X72/MPM!$AE73)^(1/6))</f>
        <v>17.522395833082673</v>
      </c>
      <c r="Z72" s="43">
        <f t="shared" si="48"/>
        <v>2.4534286963612487E-2</v>
      </c>
      <c r="AA72" s="38">
        <f>(MPM!$Q73^2)/(9.81*MPM!$F73*(Y72^2))</f>
        <v>0.14354627252511795</v>
      </c>
      <c r="AB72" s="36">
        <f>8.1*((AA72/MPM!$AE73)^(1/6))</f>
        <v>17.523828714198871</v>
      </c>
      <c r="AC72" s="43">
        <f t="shared" si="49"/>
        <v>8.1767582847753831E-3</v>
      </c>
      <c r="AD72" s="38">
        <f>(MPM!$Q73^2)/(9.81*MPM!$F73*(AB72^2))</f>
        <v>0.14352279862139702</v>
      </c>
      <c r="AE72" s="36">
        <f>8.1*((AD72/MPM!$AE73)^(1/6))</f>
        <v>17.523351074141409</v>
      </c>
      <c r="AF72" s="43">
        <f t="shared" si="50"/>
        <v>2.7257346807720555E-3</v>
      </c>
      <c r="AG72" s="38">
        <f>(MPM!$Q73^2)/(9.81*MPM!$F73*(AE72^2))</f>
        <v>0.1435306228294228</v>
      </c>
      <c r="AH72" s="36">
        <f>8.1*((AG72/MPM!$AE73)^(1/6))</f>
        <v>17.52351028604734</v>
      </c>
      <c r="AI72" s="43">
        <f t="shared" si="51"/>
        <v>9.0856171698551382E-4</v>
      </c>
      <c r="AJ72" s="38">
        <f>(MPM!$Q73^2)/(9.81*MPM!$F73*(AH72^2))</f>
        <v>0.14352801471268867</v>
      </c>
      <c r="AK72" s="36">
        <f>8.1*((AJ72/MPM!$AE73)^(1/6))</f>
        <v>17.523457215251302</v>
      </c>
      <c r="AL72" s="43">
        <f t="shared" si="52"/>
        <v>3.0285574009036517E-4</v>
      </c>
      <c r="AM72" s="38">
        <f>(MPM!$Q73^2)/(9.81*MPM!$F73*(AK72^2))</f>
        <v>0.14352888407966752</v>
      </c>
      <c r="AN72" s="36">
        <f>8.1*((AM72/MPM!$AE73)^(1/6))</f>
        <v>17.523474905498791</v>
      </c>
      <c r="AO72" s="43">
        <f t="shared" si="53"/>
        <v>1.0095170954676516E-4</v>
      </c>
      <c r="AP72" s="38">
        <f>(MPM!$Q73^2)/(9.81*MPM!$F73*(AN72^2))</f>
        <v>0.14352859429008943</v>
      </c>
      <c r="AQ72" s="36">
        <f>8.1*((AP72/MPM!$AE73)^(1/6))</f>
        <v>17.523469008747643</v>
      </c>
      <c r="AR72" s="43">
        <f t="shared" si="54"/>
        <v>3.365059249896362E-5</v>
      </c>
      <c r="AS72" s="38">
        <f>(MPM!$Q73^2)/(9.81*MPM!$F73*(AQ72^2))</f>
        <v>0.14352869088655049</v>
      </c>
      <c r="AT72" s="36">
        <f>8.1*((AS72/MPM!$AE73)^(1/6))</f>
        <v>17.52347097433114</v>
      </c>
      <c r="AU72" s="43">
        <f t="shared" si="55"/>
        <v>1.1216861657909249E-5</v>
      </c>
      <c r="AV72" s="38">
        <f>(MPM!$Q73^2)/(9.81*MPM!$F73*(AT72^2))</f>
        <v>0.14352865868772288</v>
      </c>
      <c r="AW72" s="36">
        <f>8.1*((AV72/MPM!$AE73)^(1/6))</f>
        <v>17.523470319136617</v>
      </c>
      <c r="AX72" s="43">
        <f t="shared" si="56"/>
        <v>3.7389541609277237E-6</v>
      </c>
      <c r="AY72" s="38">
        <f>(MPM!$Q73^2)/(9.81*MPM!$F73*(AW72^2))</f>
        <v>0.14352866942066458</v>
      </c>
      <c r="AZ72" s="36">
        <f>8.1*((AY72/MPM!$AE73)^(1/6))</f>
        <v>17.523470537534784</v>
      </c>
      <c r="BA72" s="43">
        <f t="shared" si="57"/>
        <v>1.2463179975614283E-6</v>
      </c>
      <c r="BB72" s="38">
        <f>(MPM!$Q73^2)/(9.81*MPM!$F73*(AZ72^2))</f>
        <v>0.14352866584301735</v>
      </c>
      <c r="BC72" s="36">
        <f>8.1*((BB72/MPM!$AE73)^(1/6))</f>
        <v>17.5234704647354</v>
      </c>
      <c r="BD72" s="43">
        <f t="shared" si="58"/>
        <v>4.1543930721433422E-7</v>
      </c>
      <c r="BE72" s="38">
        <f>(MPM!$Q73^2)/(9.81*MPM!$F73*(BC72^2))</f>
        <v>0.14352866703556633</v>
      </c>
      <c r="BF72" s="36">
        <f>8.1*((BE72/MPM!$AE73)^(1/6))</f>
        <v>17.523470489001859</v>
      </c>
      <c r="BG72" s="43">
        <f t="shared" si="59"/>
        <v>1.3847975536365823E-7</v>
      </c>
      <c r="BH72" s="38">
        <f>(MPM!$Q73^2)/(9.81*MPM!$F73*(BF72^2))</f>
        <v>0.14352866663805003</v>
      </c>
      <c r="BI72" s="36">
        <f>8.1*((BH72/MPM!$AE73)^(1/6))</f>
        <v>17.523470480913037</v>
      </c>
      <c r="BJ72" s="43">
        <f t="shared" si="60"/>
        <v>4.6159931991880193E-8</v>
      </c>
      <c r="BK72" s="38">
        <f>(MPM!$Q73^2)/(9.81*MPM!$F73*(BI72^2))</f>
        <v>0.14352866677055551</v>
      </c>
      <c r="BL72" s="36">
        <f>8.1*((BK72/MPM!$AE73)^(1/6))</f>
        <v>17.523470483609312</v>
      </c>
      <c r="BM72" s="43">
        <f t="shared" si="61"/>
        <v>1.538665075293594E-8</v>
      </c>
      <c r="BN72" s="43">
        <f t="shared" si="62"/>
        <v>9.2319870164556254E-8</v>
      </c>
    </row>
    <row r="73" spans="1:66">
      <c r="A73" s="36">
        <f>MPM!B74</f>
        <v>69</v>
      </c>
      <c r="B73" s="41">
        <f>1/(MPM!AC74^0.5)</f>
        <v>12.138370344699538</v>
      </c>
      <c r="C73" s="38">
        <f>(MPM!$Q74^2)/(9.81*MPM!$F74*(Sheet1!B73^2))</f>
        <v>0.36033711437420141</v>
      </c>
      <c r="D73" s="36">
        <f>8.1*((C73/MPM!$AE74)^(1/6))</f>
        <v>20.429066038577155</v>
      </c>
      <c r="E73" s="41">
        <f t="shared" si="41"/>
        <v>40.582842496186117</v>
      </c>
      <c r="F73" s="38">
        <f>(MPM!$Q74^2)/(9.81*MPM!$F74*(D73^2))</f>
        <v>0.12721336462165761</v>
      </c>
      <c r="G73" s="36">
        <f>8.1*((F73/MPM!$AE74)^(1/6))</f>
        <v>17.174567246879121</v>
      </c>
      <c r="H73" s="43">
        <f t="shared" si="42"/>
        <v>18.94952428736989</v>
      </c>
      <c r="I73" s="38">
        <f>(MPM!$Q74^2)/(9.81*MPM!$F74*(G73^2))</f>
        <v>0.17999405384351802</v>
      </c>
      <c r="J73" s="36">
        <f>8.1*((I73/MPM!$AE74)^(1/6))</f>
        <v>18.197289569965168</v>
      </c>
      <c r="K73" s="43">
        <f t="shared" si="43"/>
        <v>5.6201904088730963</v>
      </c>
      <c r="L73" s="38">
        <f>(MPM!$Q74^2)/(9.81*MPM!$F74*(J73^2))</f>
        <v>0.16033057568453218</v>
      </c>
      <c r="M73" s="36">
        <f>8.1*((L73/MPM!$AE74)^(1/6))</f>
        <v>17.84978837734333</v>
      </c>
      <c r="N73" s="43">
        <f t="shared" si="44"/>
        <v>1.9468084734434155</v>
      </c>
      <c r="O73" s="38">
        <f>(MPM!$Q74^2)/(9.81*MPM!$F74*(M73^2))</f>
        <v>0.16663400045241741</v>
      </c>
      <c r="P73" s="36">
        <f>8.1*((O73/MPM!$AE74)^(1/6))</f>
        <v>17.964878447169799</v>
      </c>
      <c r="Q73" s="43">
        <f t="shared" si="45"/>
        <v>0.64063929051855006</v>
      </c>
      <c r="R73" s="38">
        <f>(MPM!$Q74^2)/(9.81*MPM!$F74*(P73^2))</f>
        <v>0.16450579366688875</v>
      </c>
      <c r="S73" s="36">
        <f>8.1*((R73/MPM!$AE74)^(1/6))</f>
        <v>17.926432874156475</v>
      </c>
      <c r="T73" s="43">
        <f t="shared" si="46"/>
        <v>0.21446304060161409</v>
      </c>
      <c r="U73" s="38">
        <f>(MPM!$Q74^2)/(9.81*MPM!$F74*(S73^2))</f>
        <v>0.16521215855547466</v>
      </c>
      <c r="V73" s="36">
        <f>8.1*((U73/MPM!$AE74)^(1/6))</f>
        <v>17.939238914777885</v>
      </c>
      <c r="W73" s="43">
        <f t="shared" si="47"/>
        <v>7.1385640618568141E-2</v>
      </c>
      <c r="X73" s="38">
        <f>(MPM!$Q74^2)/(9.81*MPM!$F74*(V73^2))</f>
        <v>0.16497636723056941</v>
      </c>
      <c r="Y73" s="36">
        <f>8.1*((X73/MPM!$AE74)^(1/6))</f>
        <v>17.934969218426161</v>
      </c>
      <c r="Z73" s="43">
        <f t="shared" si="48"/>
        <v>2.3806544074450171E-2</v>
      </c>
      <c r="AA73" s="38">
        <f>(MPM!$Q74^2)/(9.81*MPM!$F74*(Y73^2))</f>
        <v>0.16505492692378479</v>
      </c>
      <c r="AB73" s="36">
        <f>8.1*((AA73/MPM!$AE74)^(1/6))</f>
        <v>17.936392337617541</v>
      </c>
      <c r="AC73" s="43">
        <f t="shared" si="49"/>
        <v>7.9342554767533342E-3</v>
      </c>
      <c r="AD73" s="38">
        <f>(MPM!$Q74^2)/(9.81*MPM!$F74*(AB73^2))</f>
        <v>0.1650287362036871</v>
      </c>
      <c r="AE73" s="36">
        <f>8.1*((AD73/MPM!$AE74)^(1/6))</f>
        <v>17.935917952007205</v>
      </c>
      <c r="AF73" s="43">
        <f t="shared" si="50"/>
        <v>2.6448917284560588E-3</v>
      </c>
      <c r="AG73" s="38">
        <f>(MPM!$Q74^2)/(9.81*MPM!$F74*(AE73^2))</f>
        <v>0.16503746598191904</v>
      </c>
      <c r="AH73" s="36">
        <f>8.1*((AG73/MPM!$AE74)^(1/6))</f>
        <v>17.936076079149892</v>
      </c>
      <c r="AI73" s="43">
        <f t="shared" si="51"/>
        <v>8.8161503100613698E-4</v>
      </c>
      <c r="AJ73" s="38">
        <f>(MPM!$Q74^2)/(9.81*MPM!$F74*(AH73^2))</f>
        <v>0.16503455600453273</v>
      </c>
      <c r="AK73" s="36">
        <f>8.1*((AJ73/MPM!$AE74)^(1/6))</f>
        <v>17.936023369947431</v>
      </c>
      <c r="AL73" s="43">
        <f t="shared" si="52"/>
        <v>2.9387340422846152E-4</v>
      </c>
      <c r="AM73" s="38">
        <f>(MPM!$Q74^2)/(9.81*MPM!$F74*(AK73^2))</f>
        <v>0.16503552599129376</v>
      </c>
      <c r="AN73" s="36">
        <f>8.1*((AM73/MPM!$AE74)^(1/6))</f>
        <v>17.936040939664373</v>
      </c>
      <c r="AO73" s="43">
        <f t="shared" si="53"/>
        <v>9.7957609490757273E-5</v>
      </c>
      <c r="AP73" s="38">
        <f>(MPM!$Q74^2)/(9.81*MPM!$F74*(AN73^2))</f>
        <v>0.16503520266173996</v>
      </c>
      <c r="AQ73" s="36">
        <f>8.1*((AP73/MPM!$AE74)^(1/6))</f>
        <v>17.93603508309015</v>
      </c>
      <c r="AR73" s="43">
        <f t="shared" si="54"/>
        <v>3.2652557802137899E-5</v>
      </c>
      <c r="AS73" s="38">
        <f>(MPM!$Q74^2)/(9.81*MPM!$F74*(AQ73^2))</f>
        <v>0.16503531043818748</v>
      </c>
      <c r="AT73" s="36">
        <f>8.1*((AS73/MPM!$AE74)^(1/6))</f>
        <v>17.936037035281345</v>
      </c>
      <c r="AU73" s="43">
        <f t="shared" si="55"/>
        <v>1.0884183560930102E-5</v>
      </c>
      <c r="AV73" s="38">
        <f>(MPM!$Q74^2)/(9.81*MPM!$F74*(AT73^2))</f>
        <v>0.16503527451269714</v>
      </c>
      <c r="AW73" s="36">
        <f>8.1*((AV73/MPM!$AE74)^(1/6))</f>
        <v>17.936036384550921</v>
      </c>
      <c r="AX73" s="43">
        <f t="shared" si="56"/>
        <v>3.6280614638613509E-6</v>
      </c>
      <c r="AY73" s="38">
        <f>(MPM!$Q74^2)/(9.81*MPM!$F74*(AW73^2))</f>
        <v>0.16503528648785978</v>
      </c>
      <c r="AZ73" s="36">
        <f>8.1*((AY73/MPM!$AE74)^(1/6))</f>
        <v>17.936036601461062</v>
      </c>
      <c r="BA73" s="43">
        <f t="shared" si="57"/>
        <v>1.2093538066617506E-6</v>
      </c>
      <c r="BB73" s="38">
        <f>(MPM!$Q74^2)/(9.81*MPM!$F74*(AZ73^2))</f>
        <v>0.16503528249613875</v>
      </c>
      <c r="BC73" s="36">
        <f>8.1*((BB73/MPM!$AE74)^(1/6))</f>
        <v>17.936036529157683</v>
      </c>
      <c r="BD73" s="43">
        <f t="shared" si="58"/>
        <v>4.0311793057639574E-7</v>
      </c>
      <c r="BE73" s="38">
        <f>(MPM!$Q74^2)/(9.81*MPM!$F74*(BC73^2))</f>
        <v>0.16503528382671234</v>
      </c>
      <c r="BF73" s="36">
        <f>8.1*((BE73/MPM!$AE74)^(1/6))</f>
        <v>17.936036553258806</v>
      </c>
      <c r="BG73" s="43">
        <f t="shared" si="59"/>
        <v>1.3437262353721989E-7</v>
      </c>
      <c r="BH73" s="38">
        <f>(MPM!$Q74^2)/(9.81*MPM!$F74*(BF73^2))</f>
        <v>0.1650352833831879</v>
      </c>
      <c r="BI73" s="36">
        <f>8.1*((BH73/MPM!$AE74)^(1/6))</f>
        <v>17.9360365452251</v>
      </c>
      <c r="BJ73" s="43">
        <f t="shared" si="60"/>
        <v>4.4790861327345292E-8</v>
      </c>
      <c r="BK73" s="38">
        <f>(MPM!$Q74^2)/(9.81*MPM!$F74*(BI73^2))</f>
        <v>0.16503528353102934</v>
      </c>
      <c r="BL73" s="36">
        <f>8.1*((BK73/MPM!$AE74)^(1/6))</f>
        <v>17.936036547903001</v>
      </c>
      <c r="BM73" s="43">
        <f t="shared" si="61"/>
        <v>1.493028050432419E-8</v>
      </c>
      <c r="BN73" s="43">
        <f t="shared" si="62"/>
        <v>8.9581712696034464E-8</v>
      </c>
    </row>
    <row r="74" spans="1:66">
      <c r="A74" s="36">
        <f>MPM!B75</f>
        <v>70</v>
      </c>
      <c r="B74" s="41">
        <f>1/(MPM!AC75^0.5)</f>
        <v>10.879221094548056</v>
      </c>
      <c r="C74" s="38">
        <f>(MPM!$Q75^2)/(9.81*MPM!$F75*(Sheet1!B74^2))</f>
        <v>0.2650853185917369</v>
      </c>
      <c r="D74" s="36">
        <f>8.1*((C74/MPM!$AE75)^(1/6))</f>
        <v>19.410108312899023</v>
      </c>
      <c r="E74" s="41">
        <f t="shared" si="41"/>
        <v>43.950745049071934</v>
      </c>
      <c r="F74" s="38">
        <f>(MPM!$Q75^2)/(9.81*MPM!$F75*(D74^2))</f>
        <v>8.3277055982218129E-2</v>
      </c>
      <c r="G74" s="36">
        <f>8.1*((F74/MPM!$AE75)^(1/6))</f>
        <v>16.003608067701176</v>
      </c>
      <c r="H74" s="43">
        <f t="shared" si="42"/>
        <v>21.28582648854616</v>
      </c>
      <c r="I74" s="38">
        <f>(MPM!$Q75^2)/(9.81*MPM!$F75*(G74^2))</f>
        <v>0.12250264549171687</v>
      </c>
      <c r="J74" s="36">
        <f>8.1*((I74/MPM!$AE75)^(1/6))</f>
        <v>17.066897918117458</v>
      </c>
      <c r="K74" s="43">
        <f t="shared" si="43"/>
        <v>6.2301295497147215</v>
      </c>
      <c r="L74" s="38">
        <f>(MPM!$Q75^2)/(9.81*MPM!$F75*(J74^2))</f>
        <v>0.10771398652716731</v>
      </c>
      <c r="M74" s="36">
        <f>8.1*((L74/MPM!$AE75)^(1/6))</f>
        <v>16.704841637201323</v>
      </c>
      <c r="N74" s="43">
        <f t="shared" si="44"/>
        <v>2.1673733207374086</v>
      </c>
      <c r="O74" s="38">
        <f>(MPM!$Q75^2)/(9.81*MPM!$F75*(M74^2))</f>
        <v>0.11243371366232364</v>
      </c>
      <c r="P74" s="36">
        <f>8.1*((O74/MPM!$AE75)^(1/6))</f>
        <v>16.824665512131418</v>
      </c>
      <c r="Q74" s="43">
        <f t="shared" si="45"/>
        <v>0.71219172139675457</v>
      </c>
      <c r="R74" s="38">
        <f>(MPM!$Q75^2)/(9.81*MPM!$F75*(P74^2))</f>
        <v>0.1108379292904339</v>
      </c>
      <c r="S74" s="36">
        <f>8.1*((R74/MPM!$AE75)^(1/6))</f>
        <v>16.784629024008382</v>
      </c>
      <c r="T74" s="43">
        <f t="shared" si="46"/>
        <v>0.23853067032800426</v>
      </c>
      <c r="U74" s="38">
        <f>(MPM!$Q75^2)/(9.81*MPM!$F75*(S74^2))</f>
        <v>0.11136732483510604</v>
      </c>
      <c r="V74" s="36">
        <f>8.1*((U74/MPM!$AE75)^(1/6))</f>
        <v>16.797963923054773</v>
      </c>
      <c r="W74" s="43">
        <f t="shared" si="47"/>
        <v>7.9384020036438505E-2</v>
      </c>
      <c r="X74" s="38">
        <f>(MPM!$Q75^2)/(9.81*MPM!$F75*(V74^2))</f>
        <v>0.11119057929789662</v>
      </c>
      <c r="Y74" s="36">
        <f>8.1*((X74/MPM!$AE75)^(1/6))</f>
        <v>16.793517779989315</v>
      </c>
      <c r="Z74" s="43">
        <f t="shared" si="48"/>
        <v>2.6475352714699085E-2</v>
      </c>
      <c r="AA74" s="38">
        <f>(MPM!$Q75^2)/(9.81*MPM!$F75*(Y74^2))</f>
        <v>0.1112494632878462</v>
      </c>
      <c r="AB74" s="36">
        <f>8.1*((AA74/MPM!$AE75)^(1/6))</f>
        <v>16.794999696904586</v>
      </c>
      <c r="AC74" s="43">
        <f t="shared" si="49"/>
        <v>8.8235602382536055E-3</v>
      </c>
      <c r="AD74" s="38">
        <f>(MPM!$Q75^2)/(9.81*MPM!$F75*(AB74^2))</f>
        <v>0.11122983182716541</v>
      </c>
      <c r="AE74" s="36">
        <f>8.1*((AD74/MPM!$AE75)^(1/6))</f>
        <v>16.794505710070137</v>
      </c>
      <c r="AF74" s="43">
        <f t="shared" si="50"/>
        <v>2.9413597695414507E-3</v>
      </c>
      <c r="AG74" s="38">
        <f>(MPM!$Q75^2)/(9.81*MPM!$F75*(AE74^2))</f>
        <v>0.11123637526244716</v>
      </c>
      <c r="AH74" s="36">
        <f>8.1*((AG74/MPM!$AE75)^(1/6))</f>
        <v>16.794670370733876</v>
      </c>
      <c r="AI74" s="43">
        <f t="shared" si="51"/>
        <v>9.8043403117689838E-4</v>
      </c>
      <c r="AJ74" s="38">
        <f>(MPM!$Q75^2)/(9.81*MPM!$F75*(AH74^2))</f>
        <v>0.11123419407458353</v>
      </c>
      <c r="AK74" s="36">
        <f>8.1*((AJ74/MPM!$AE75)^(1/6))</f>
        <v>16.794615483666586</v>
      </c>
      <c r="AL74" s="43">
        <f t="shared" si="52"/>
        <v>3.2681347984882139E-4</v>
      </c>
      <c r="AM74" s="38">
        <f>(MPM!$Q75^2)/(9.81*MPM!$F75*(AK74^2))</f>
        <v>0.11123492113245245</v>
      </c>
      <c r="AN74" s="36">
        <f>8.1*((AM74/MPM!$AE75)^(1/6))</f>
        <v>16.794633779335747</v>
      </c>
      <c r="AO74" s="43">
        <f t="shared" si="53"/>
        <v>1.0893758924065989E-4</v>
      </c>
      <c r="AP74" s="38">
        <f>(MPM!$Q75^2)/(9.81*MPM!$F75*(AN74^2))</f>
        <v>0.1112346787793015</v>
      </c>
      <c r="AQ74" s="36">
        <f>8.1*((AP74/MPM!$AE75)^(1/6))</f>
        <v>16.79462768077715</v>
      </c>
      <c r="AR74" s="43">
        <f t="shared" si="54"/>
        <v>3.6312556090601397E-5</v>
      </c>
      <c r="AS74" s="38">
        <f>(MPM!$Q75^2)/(9.81*MPM!$F75*(AQ74^2))</f>
        <v>0.11123475956362644</v>
      </c>
      <c r="AT74" s="36">
        <f>8.1*((AS74/MPM!$AE75)^(1/6))</f>
        <v>16.794629713629767</v>
      </c>
      <c r="AU74" s="43">
        <f t="shared" si="55"/>
        <v>1.2104182417650414E-5</v>
      </c>
      <c r="AV74" s="38">
        <f>(MPM!$Q75^2)/(9.81*MPM!$F75*(AT74^2))</f>
        <v>0.11123473263551165</v>
      </c>
      <c r="AW74" s="36">
        <f>8.1*((AV74/MPM!$AE75)^(1/6))</f>
        <v>16.7946290360122</v>
      </c>
      <c r="AX74" s="43">
        <f t="shared" si="56"/>
        <v>4.0347278045713544E-6</v>
      </c>
      <c r="AY74" s="38">
        <f>(MPM!$Q75^2)/(9.81*MPM!$F75*(AW74^2))</f>
        <v>0.11123474161154921</v>
      </c>
      <c r="AZ74" s="36">
        <f>8.1*((AY74/MPM!$AE75)^(1/6))</f>
        <v>16.794629261884722</v>
      </c>
      <c r="BA74" s="43">
        <f t="shared" si="57"/>
        <v>1.3449092501026421E-6</v>
      </c>
      <c r="BB74" s="38">
        <f>(MPM!$Q75^2)/(9.81*MPM!$F75*(AZ74^2))</f>
        <v>0.11123473861953656</v>
      </c>
      <c r="BC74" s="36">
        <f>8.1*((BB74/MPM!$AE75)^(1/6))</f>
        <v>16.794629186593877</v>
      </c>
      <c r="BD74" s="43">
        <f t="shared" si="58"/>
        <v>4.4830311358246133E-7</v>
      </c>
      <c r="BE74" s="38">
        <f>(MPM!$Q75^2)/(9.81*MPM!$F75*(BC74^2))</f>
        <v>0.11123473961687416</v>
      </c>
      <c r="BF74" s="36">
        <f>8.1*((BE74/MPM!$AE75)^(1/6))</f>
        <v>16.794629211690829</v>
      </c>
      <c r="BG74" s="43">
        <f t="shared" si="59"/>
        <v>1.4943439212471534E-7</v>
      </c>
      <c r="BH74" s="38">
        <f>(MPM!$Q75^2)/(9.81*MPM!$F75*(BF74^2))</f>
        <v>0.11123473928442823</v>
      </c>
      <c r="BI74" s="36">
        <f>8.1*((BH74/MPM!$AE75)^(1/6))</f>
        <v>16.794629203325179</v>
      </c>
      <c r="BJ74" s="43">
        <f t="shared" si="60"/>
        <v>4.9811457015094291E-8</v>
      </c>
      <c r="BK74" s="38">
        <f>(MPM!$Q75^2)/(9.81*MPM!$F75*(BI74^2))</f>
        <v>0.11123473939524353</v>
      </c>
      <c r="BL74" s="36">
        <f>8.1*((BK74/MPM!$AE75)^(1/6))</f>
        <v>16.794629206113729</v>
      </c>
      <c r="BM74" s="43">
        <f t="shared" si="61"/>
        <v>1.6603819002274561E-8</v>
      </c>
      <c r="BN74" s="43">
        <f t="shared" si="62"/>
        <v>9.9622925339736826E-8</v>
      </c>
    </row>
    <row r="75" spans="1:66">
      <c r="A75" s="36">
        <f>MPM!B76</f>
        <v>71</v>
      </c>
      <c r="B75" s="41">
        <f>1/(MPM!AC76^0.5)</f>
        <v>12.208643807969427</v>
      </c>
      <c r="C75" s="38">
        <f>(MPM!$Q76^2)/(9.81*MPM!$F76*(Sheet1!B75^2))</f>
        <v>0.33633638348336276</v>
      </c>
      <c r="D75" s="36">
        <f>8.1*((C75/MPM!$AE76)^(1/6))</f>
        <v>20.195719088869556</v>
      </c>
      <c r="E75" s="41">
        <f t="shared" si="41"/>
        <v>39.548357975042521</v>
      </c>
      <c r="F75" s="38">
        <f>(MPM!$Q76^2)/(9.81*MPM!$F76*(D75^2))</f>
        <v>0.1229108024046465</v>
      </c>
      <c r="G75" s="36">
        <f>8.1*((F75/MPM!$AE76)^(1/6))</f>
        <v>17.076362096640487</v>
      </c>
      <c r="H75" s="43">
        <f t="shared" si="42"/>
        <v>18.267104987441993</v>
      </c>
      <c r="I75" s="38">
        <f>(MPM!$Q76^2)/(9.81*MPM!$F76*(G75^2))</f>
        <v>0.17191666826091653</v>
      </c>
      <c r="J75" s="36">
        <f>8.1*((I75/MPM!$AE76)^(1/6))</f>
        <v>18.058569458058948</v>
      </c>
      <c r="K75" s="43">
        <f t="shared" si="43"/>
        <v>5.4390097936585633</v>
      </c>
      <c r="L75" s="38">
        <f>(MPM!$Q76^2)/(9.81*MPM!$F76*(J75^2))</f>
        <v>0.15372411752839529</v>
      </c>
      <c r="M75" s="36">
        <f>8.1*((L75/MPM!$AE76)^(1/6))</f>
        <v>17.725045051621549</v>
      </c>
      <c r="N75" s="43">
        <f t="shared" si="44"/>
        <v>1.8816561846023976</v>
      </c>
      <c r="O75" s="38">
        <f>(MPM!$Q76^2)/(9.81*MPM!$F76*(M75^2))</f>
        <v>0.15956366427997146</v>
      </c>
      <c r="P75" s="36">
        <f>8.1*((O75/MPM!$AE76)^(1/6))</f>
        <v>17.83552974381254</v>
      </c>
      <c r="Q75" s="43">
        <f t="shared" si="45"/>
        <v>0.6194640348673659</v>
      </c>
      <c r="R75" s="38">
        <f>(MPM!$Q76^2)/(9.81*MPM!$F76*(P75^2))</f>
        <v>0.15759290828139863</v>
      </c>
      <c r="S75" s="36">
        <f>8.1*((R75/MPM!$AE76)^(1/6))</f>
        <v>17.798625204405745</v>
      </c>
      <c r="T75" s="43">
        <f t="shared" si="46"/>
        <v>0.20734488750097127</v>
      </c>
      <c r="U75" s="38">
        <f>(MPM!$Q76^2)/(9.81*MPM!$F76*(S75^2))</f>
        <v>0.15824710748006254</v>
      </c>
      <c r="V75" s="36">
        <f>8.1*((U75/MPM!$AE76)^(1/6))</f>
        <v>17.810918225135442</v>
      </c>
      <c r="W75" s="43">
        <f t="shared" si="47"/>
        <v>6.9019578745515536E-2</v>
      </c>
      <c r="X75" s="38">
        <f>(MPM!$Q76^2)/(9.81*MPM!$F76*(V75^2))</f>
        <v>0.15802873989035332</v>
      </c>
      <c r="Y75" s="36">
        <f>8.1*((X75/MPM!$AE76)^(1/6))</f>
        <v>17.806819608464878</v>
      </c>
      <c r="Z75" s="43">
        <f t="shared" si="48"/>
        <v>2.3017117939555892E-2</v>
      </c>
      <c r="AA75" s="38">
        <f>(MPM!$Q76^2)/(9.81*MPM!$F76*(Y75^2))</f>
        <v>0.15810149558539979</v>
      </c>
      <c r="AB75" s="36">
        <f>8.1*((AA75/MPM!$AE76)^(1/6))</f>
        <v>17.808185709214754</v>
      </c>
      <c r="AC75" s="43">
        <f t="shared" si="49"/>
        <v>7.6711955512120599E-3</v>
      </c>
      <c r="AD75" s="38">
        <f>(MPM!$Q76^2)/(9.81*MPM!$F76*(AB75^2))</f>
        <v>0.15807723996599196</v>
      </c>
      <c r="AE75" s="36">
        <f>8.1*((AD75/MPM!$AE76)^(1/6))</f>
        <v>17.807730330653602</v>
      </c>
      <c r="AF75" s="43">
        <f t="shared" si="50"/>
        <v>2.5571959631984597E-3</v>
      </c>
      <c r="AG75" s="38">
        <f>(MPM!$Q76^2)/(9.81*MPM!$F76*(AE75^2))</f>
        <v>0.15808532475896095</v>
      </c>
      <c r="AH75" s="36">
        <f>8.1*((AG75/MPM!$AE76)^(1/6))</f>
        <v>17.80788212221346</v>
      </c>
      <c r="AI75" s="43">
        <f t="shared" si="51"/>
        <v>8.5238412303389284E-4</v>
      </c>
      <c r="AJ75" s="38">
        <f>(MPM!$Q76^2)/(9.81*MPM!$F76*(AH75^2))</f>
        <v>0.15808262978202858</v>
      </c>
      <c r="AK75" s="36">
        <f>8.1*((AJ75/MPM!$AE76)^(1/6))</f>
        <v>17.807831524883081</v>
      </c>
      <c r="AL75" s="43">
        <f t="shared" si="52"/>
        <v>2.8412965558507645E-4</v>
      </c>
      <c r="AM75" s="38">
        <f>(MPM!$Q76^2)/(9.81*MPM!$F76*(AK75^2))</f>
        <v>0.15808352810256787</v>
      </c>
      <c r="AN75" s="36">
        <f>8.1*((AM75/MPM!$AE76)^(1/6))</f>
        <v>17.807848390643901</v>
      </c>
      <c r="AO75" s="43">
        <f t="shared" si="53"/>
        <v>9.470970579916189E-5</v>
      </c>
      <c r="AP75" s="38">
        <f>(MPM!$Q76^2)/(9.81*MPM!$F76*(AN75^2))</f>
        <v>0.15808322866182092</v>
      </c>
      <c r="AQ75" s="36">
        <f>8.1*((AP75/MPM!$AE76)^(1/6))</f>
        <v>17.807842768721851</v>
      </c>
      <c r="AR75" s="43">
        <f t="shared" si="54"/>
        <v>3.1569921874785048E-5</v>
      </c>
      <c r="AS75" s="38">
        <f>(MPM!$Q76^2)/(9.81*MPM!$F76*(AQ75^2))</f>
        <v>0.15808332847534023</v>
      </c>
      <c r="AT75" s="36">
        <f>8.1*((AS75/MPM!$AE76)^(1/6))</f>
        <v>17.807844642695667</v>
      </c>
      <c r="AU75" s="43">
        <f t="shared" si="55"/>
        <v>1.05233050536798E-5</v>
      </c>
      <c r="AV75" s="38">
        <f>(MPM!$Q76^2)/(9.81*MPM!$F76*(AT75^2))</f>
        <v>0.1580832952041602</v>
      </c>
      <c r="AW75" s="36">
        <f>8.1*((AV75/MPM!$AE76)^(1/6))</f>
        <v>17.807844018037709</v>
      </c>
      <c r="AX75" s="43">
        <f t="shared" si="56"/>
        <v>3.5077685806724574E-6</v>
      </c>
      <c r="AY75" s="38">
        <f>(MPM!$Q76^2)/(9.81*MPM!$F76*(AW75^2))</f>
        <v>0.15808330629455272</v>
      </c>
      <c r="AZ75" s="36">
        <f>8.1*((AY75/MPM!$AE76)^(1/6))</f>
        <v>17.807844226257025</v>
      </c>
      <c r="BA75" s="43">
        <f t="shared" si="57"/>
        <v>1.1692561599356119E-6</v>
      </c>
      <c r="BB75" s="38">
        <f>(MPM!$Q76^2)/(9.81*MPM!$F76*(AZ75^2))</f>
        <v>0.15808330259775513</v>
      </c>
      <c r="BC75" s="36">
        <f>8.1*((BB75/MPM!$AE76)^(1/6))</f>
        <v>17.807844156850589</v>
      </c>
      <c r="BD75" s="43">
        <f t="shared" si="58"/>
        <v>3.8975204153075465E-7</v>
      </c>
      <c r="BE75" s="38">
        <f>(MPM!$Q76^2)/(9.81*MPM!$F76*(BC75^2))</f>
        <v>0.15808330383002095</v>
      </c>
      <c r="BF75" s="36">
        <f>8.1*((BE75/MPM!$AE76)^(1/6))</f>
        <v>17.807844179986066</v>
      </c>
      <c r="BG75" s="43">
        <f t="shared" si="59"/>
        <v>1.2991734035804178E-7</v>
      </c>
      <c r="BH75" s="38">
        <f>(MPM!$Q76^2)/(9.81*MPM!$F76*(BF75^2))</f>
        <v>0.15808330341926569</v>
      </c>
      <c r="BI75" s="36">
        <f>8.1*((BH75/MPM!$AE76)^(1/6))</f>
        <v>17.807844172274237</v>
      </c>
      <c r="BJ75" s="43">
        <f t="shared" si="60"/>
        <v>4.3305800088375024E-8</v>
      </c>
      <c r="BK75" s="38">
        <f>(MPM!$Q76^2)/(9.81*MPM!$F76*(BI75^2))</f>
        <v>0.15808330355618416</v>
      </c>
      <c r="BL75" s="36">
        <f>8.1*((BK75/MPM!$AE76)^(1/6))</f>
        <v>17.807844174844849</v>
      </c>
      <c r="BM75" s="43">
        <f t="shared" si="61"/>
        <v>1.4435279994223801E-8</v>
      </c>
      <c r="BN75" s="43">
        <f t="shared" si="62"/>
        <v>8.661159874346904E-8</v>
      </c>
    </row>
    <row r="76" spans="1:66">
      <c r="A76" s="36">
        <f>MPM!B77</f>
        <v>72</v>
      </c>
      <c r="B76" s="41">
        <f>1/(MPM!AC77^0.5)</f>
        <v>11.172818295477844</v>
      </c>
      <c r="C76" s="38">
        <f>(MPM!$Q77^2)/(9.81*MPM!$F77*(Sheet1!B76^2))</f>
        <v>0.18131085475116304</v>
      </c>
      <c r="D76" s="36">
        <f>8.1*((C76/MPM!$AE77)^(1/6))</f>
        <v>16.330332435644095</v>
      </c>
      <c r="E76" s="41">
        <f t="shared" si="41"/>
        <v>31.582419773090368</v>
      </c>
      <c r="F76" s="38">
        <f>(MPM!$Q77^2)/(9.81*MPM!$F77*(D76^2))</f>
        <v>8.4870981672170984E-2</v>
      </c>
      <c r="G76" s="36">
        <f>8.1*((F76/MPM!$AE77)^(1/6))</f>
        <v>14.389673140507533</v>
      </c>
      <c r="H76" s="43">
        <f t="shared" si="42"/>
        <v>13.486472390213821</v>
      </c>
      <c r="I76" s="38">
        <f>(MPM!$Q77^2)/(9.81*MPM!$F77*(G76^2))</f>
        <v>0.10930686001318474</v>
      </c>
      <c r="J76" s="36">
        <f>8.1*((I76/MPM!$AE77)^(1/6))</f>
        <v>15.009479361059682</v>
      </c>
      <c r="K76" s="43">
        <f t="shared" si="43"/>
        <v>4.1294318453187886</v>
      </c>
      <c r="L76" s="38">
        <f>(MPM!$Q77^2)/(9.81*MPM!$F77*(J76^2))</f>
        <v>0.10046574776451743</v>
      </c>
      <c r="M76" s="36">
        <f>8.1*((L76/MPM!$AE77)^(1/6))</f>
        <v>14.79996636354428</v>
      </c>
      <c r="N76" s="43">
        <f t="shared" si="44"/>
        <v>1.4156315789438594</v>
      </c>
      <c r="O76" s="38">
        <f>(MPM!$Q77^2)/(9.81*MPM!$F77*(M76^2))</f>
        <v>0.10333033093139028</v>
      </c>
      <c r="P76" s="36">
        <f>8.1*((O76/MPM!$AE77)^(1/6))</f>
        <v>14.869477048926655</v>
      </c>
      <c r="Q76" s="43">
        <f t="shared" si="45"/>
        <v>0.4674722934347697</v>
      </c>
      <c r="R76" s="38">
        <f>(MPM!$Q77^2)/(9.81*MPM!$F77*(P76^2))</f>
        <v>0.10236650767704095</v>
      </c>
      <c r="S76" s="36">
        <f>8.1*((R76/MPM!$AE77)^(1/6))</f>
        <v>14.846270621606546</v>
      </c>
      <c r="T76" s="43">
        <f t="shared" si="46"/>
        <v>0.1563114933816088</v>
      </c>
      <c r="U76" s="38">
        <f>(MPM!$Q77^2)/(9.81*MPM!$F77*(S76^2))</f>
        <v>0.10268677902577093</v>
      </c>
      <c r="V76" s="36">
        <f>8.1*((U76/MPM!$AE77)^(1/6))</f>
        <v>14.854002070397094</v>
      </c>
      <c r="W76" s="43">
        <f t="shared" si="47"/>
        <v>5.2049600867874794E-2</v>
      </c>
      <c r="X76" s="38">
        <f>(MPM!$Q77^2)/(9.81*MPM!$F77*(V76^2))</f>
        <v>0.10257991072801814</v>
      </c>
      <c r="Y76" s="36">
        <f>8.1*((X76/MPM!$AE77)^(1/6))</f>
        <v>14.851424473538881</v>
      </c>
      <c r="Z76" s="43">
        <f t="shared" si="48"/>
        <v>1.7355889751893429E-2</v>
      </c>
      <c r="AA76" s="38">
        <f>(MPM!$Q77^2)/(9.81*MPM!$F77*(Y76^2))</f>
        <v>0.10261552113042817</v>
      </c>
      <c r="AB76" s="36">
        <f>8.1*((AA76/MPM!$AE77)^(1/6))</f>
        <v>14.852283622789201</v>
      </c>
      <c r="AC76" s="43">
        <f t="shared" si="49"/>
        <v>5.7846272811707001E-3</v>
      </c>
      <c r="AD76" s="38">
        <f>(MPM!$Q77^2)/(9.81*MPM!$F77*(AB76^2))</f>
        <v>0.10260364962293926</v>
      </c>
      <c r="AE76" s="36">
        <f>8.1*((AD76/MPM!$AE77)^(1/6))</f>
        <v>14.85199723418352</v>
      </c>
      <c r="AF76" s="43">
        <f t="shared" si="50"/>
        <v>1.9282834568721111E-3</v>
      </c>
      <c r="AG76" s="38">
        <f>(MPM!$Q77^2)/(9.81*MPM!$F77*(AE76^2))</f>
        <v>0.10260760663949381</v>
      </c>
      <c r="AH76" s="36">
        <f>8.1*((AG76/MPM!$AE77)^(1/6))</f>
        <v>14.85209269643849</v>
      </c>
      <c r="AI76" s="43">
        <f t="shared" si="51"/>
        <v>6.4275288958538107E-4</v>
      </c>
      <c r="AJ76" s="38">
        <f>(MPM!$Q77^2)/(9.81*MPM!$F77*(AH76^2))</f>
        <v>0.10260628761701963</v>
      </c>
      <c r="AK76" s="36">
        <f>8.1*((AJ76/MPM!$AE77)^(1/6))</f>
        <v>14.852060875618655</v>
      </c>
      <c r="AL76" s="43">
        <f t="shared" si="52"/>
        <v>2.1425188128162013E-4</v>
      </c>
      <c r="AM76" s="38">
        <f>(MPM!$Q77^2)/(9.81*MPM!$F77*(AK76^2))</f>
        <v>0.10260672728929369</v>
      </c>
      <c r="AN76" s="36">
        <f>8.1*((AM76/MPM!$AE77)^(1/6))</f>
        <v>14.852071482551024</v>
      </c>
      <c r="AO76" s="43">
        <f t="shared" si="53"/>
        <v>7.1417191745504725E-5</v>
      </c>
      <c r="AP76" s="38">
        <f>(MPM!$Q77^2)/(9.81*MPM!$F77*(AN76^2))</f>
        <v>0.10260658073165969</v>
      </c>
      <c r="AQ76" s="36">
        <f>8.1*((AP76/MPM!$AE77)^(1/6))</f>
        <v>14.852067946906061</v>
      </c>
      <c r="AR76" s="43">
        <f t="shared" si="54"/>
        <v>2.3805741902216595E-5</v>
      </c>
      <c r="AS76" s="38">
        <f>(MPM!$Q77^2)/(9.81*MPM!$F77*(AQ76^2))</f>
        <v>0.10260662958418107</v>
      </c>
      <c r="AT76" s="36">
        <f>8.1*((AS76/MPM!$AE77)^(1/6))</f>
        <v>14.852069125454287</v>
      </c>
      <c r="AU76" s="43">
        <f t="shared" si="55"/>
        <v>7.935246033173072E-6</v>
      </c>
      <c r="AV76" s="38">
        <f>(MPM!$Q77^2)/(9.81*MPM!$F77*(AT76^2))</f>
        <v>0.1026066133000047</v>
      </c>
      <c r="AW76" s="36">
        <f>8.1*((AV76/MPM!$AE77)^(1/6))</f>
        <v>14.85206873260487</v>
      </c>
      <c r="AX76" s="43">
        <f t="shared" si="56"/>
        <v>2.6450821368371687E-6</v>
      </c>
      <c r="AY76" s="38">
        <f>(MPM!$Q77^2)/(9.81*MPM!$F77*(AW76^2))</f>
        <v>0.10260661872806318</v>
      </c>
      <c r="AZ76" s="36">
        <f>8.1*((AY76/MPM!$AE77)^(1/6))</f>
        <v>14.852068863554674</v>
      </c>
      <c r="BA76" s="43">
        <f t="shared" si="57"/>
        <v>8.8169402587821317E-7</v>
      </c>
      <c r="BB76" s="38">
        <f>(MPM!$Q77^2)/(9.81*MPM!$F77*(AZ76^2))</f>
        <v>0.10260661691871033</v>
      </c>
      <c r="BC76" s="36">
        <f>8.1*((BB76/MPM!$AE77)^(1/6))</f>
        <v>14.852068819904739</v>
      </c>
      <c r="BD76" s="43">
        <f t="shared" si="58"/>
        <v>2.9389801347660902E-7</v>
      </c>
      <c r="BE76" s="38">
        <f>(MPM!$Q77^2)/(9.81*MPM!$F77*(BC76^2))</f>
        <v>0.10260661752182794</v>
      </c>
      <c r="BF76" s="36">
        <f>8.1*((BE76/MPM!$AE77)^(1/6))</f>
        <v>14.852068834454718</v>
      </c>
      <c r="BG76" s="43">
        <f t="shared" si="59"/>
        <v>9.7966008383007184E-8</v>
      </c>
      <c r="BH76" s="38">
        <f>(MPM!$Q77^2)/(9.81*MPM!$F77*(BF76^2))</f>
        <v>0.10260661732078874</v>
      </c>
      <c r="BI76" s="36">
        <f>8.1*((BH76/MPM!$AE77)^(1/6))</f>
        <v>14.852068829604724</v>
      </c>
      <c r="BJ76" s="43">
        <f t="shared" si="60"/>
        <v>3.2655344111887878E-8</v>
      </c>
      <c r="BK76" s="38">
        <f>(MPM!$Q77^2)/(9.81*MPM!$F77*(BI76^2))</f>
        <v>0.10260661738780182</v>
      </c>
      <c r="BL76" s="36">
        <f>8.1*((BK76/MPM!$AE77)^(1/6))</f>
        <v>14.852068831221386</v>
      </c>
      <c r="BM76" s="43">
        <f t="shared" si="61"/>
        <v>1.0885098755667556E-8</v>
      </c>
      <c r="BN76" s="43">
        <f t="shared" si="62"/>
        <v>6.5310676202185161E-8</v>
      </c>
    </row>
    <row r="77" spans="1:66">
      <c r="A77" s="36">
        <f>MPM!B78</f>
        <v>73</v>
      </c>
      <c r="B77" s="41">
        <f>1/(MPM!AC78^0.5)</f>
        <v>11.983228439128004</v>
      </c>
      <c r="C77" s="38">
        <f>(MPM!$Q78^2)/(9.81*MPM!$F78*(Sheet1!B77^2))</f>
        <v>0.14476343529768407</v>
      </c>
      <c r="D77" s="36">
        <f>8.1*((C77/MPM!$AE78)^(1/6))</f>
        <v>15.728991278036112</v>
      </c>
      <c r="E77" s="41">
        <f t="shared" si="41"/>
        <v>23.814386903111032</v>
      </c>
      <c r="F77" s="38">
        <f>(MPM!$Q78^2)/(9.81*MPM!$F78*(D77^2))</f>
        <v>8.4024282811176243E-2</v>
      </c>
      <c r="G77" s="36">
        <f>8.1*((F77/MPM!$AE78)^(1/6))</f>
        <v>14.365647111439049</v>
      </c>
      <c r="H77" s="43">
        <f t="shared" si="42"/>
        <v>9.4903080663276338</v>
      </c>
      <c r="I77" s="38">
        <f>(MPM!$Q78^2)/(9.81*MPM!$F78*(G77^2))</f>
        <v>0.10072938205164911</v>
      </c>
      <c r="J77" s="36">
        <f>8.1*((I77/MPM!$AE78)^(1/6))</f>
        <v>14.806432114900229</v>
      </c>
      <c r="K77" s="43">
        <f t="shared" si="43"/>
        <v>2.9769832464743646</v>
      </c>
      <c r="L77" s="38">
        <f>(MPM!$Q78^2)/(9.81*MPM!$F78*(J77^2))</f>
        <v>9.4821259097920399E-2</v>
      </c>
      <c r="M77" s="36">
        <f>8.1*((L77/MPM!$AE78)^(1/6))</f>
        <v>14.658021166768572</v>
      </c>
      <c r="N77" s="43">
        <f t="shared" si="44"/>
        <v>1.0124896562990484</v>
      </c>
      <c r="O77" s="38">
        <f>(MPM!$Q78^2)/(9.81*MPM!$F78*(M77^2))</f>
        <v>9.6751090440626492E-2</v>
      </c>
      <c r="P77" s="36">
        <f>8.1*((O77/MPM!$AE78)^(1/6))</f>
        <v>14.707325455052882</v>
      </c>
      <c r="Q77" s="43">
        <f t="shared" si="45"/>
        <v>0.33523626328246148</v>
      </c>
      <c r="R77" s="38">
        <f>(MPM!$Q78^2)/(9.81*MPM!$F78*(P77^2))</f>
        <v>9.610348828125756E-2</v>
      </c>
      <c r="S77" s="36">
        <f>8.1*((R77/MPM!$AE78)^(1/6))</f>
        <v>14.690872292916373</v>
      </c>
      <c r="T77" s="43">
        <f t="shared" si="46"/>
        <v>0.1119958148737179</v>
      </c>
      <c r="U77" s="38">
        <f>(MPM!$Q78^2)/(9.81*MPM!$F78*(S77^2))</f>
        <v>9.6318872594109359E-2</v>
      </c>
      <c r="V77" s="36">
        <f>8.1*((U77/MPM!$AE78)^(1/6))</f>
        <v>14.696354634140057</v>
      </c>
      <c r="W77" s="43">
        <f t="shared" si="47"/>
        <v>3.7304089076273313E-2</v>
      </c>
      <c r="X77" s="38">
        <f>(MPM!$Q78^2)/(9.81*MPM!$F78*(V77^2))</f>
        <v>9.6247024241736576E-2</v>
      </c>
      <c r="Y77" s="36">
        <f>8.1*((X77/MPM!$AE78)^(1/6))</f>
        <v>14.694526959780893</v>
      </c>
      <c r="Z77" s="43">
        <f t="shared" si="48"/>
        <v>1.243778968977294E-2</v>
      </c>
      <c r="AA77" s="38">
        <f>(MPM!$Q78^2)/(9.81*MPM!$F78*(Y77^2))</f>
        <v>9.6270967735580387E-2</v>
      </c>
      <c r="AB77" s="36">
        <f>8.1*((AA77/MPM!$AE78)^(1/6))</f>
        <v>14.695136159310994</v>
      </c>
      <c r="AC77" s="43">
        <f t="shared" si="49"/>
        <v>4.145586155155416E-3</v>
      </c>
      <c r="AD77" s="38">
        <f>(MPM!$Q78^2)/(9.81*MPM!$F78*(AB77^2))</f>
        <v>9.6262985909210785E-2</v>
      </c>
      <c r="AE77" s="36">
        <f>8.1*((AD77/MPM!$AE78)^(1/6))</f>
        <v>14.694933089994798</v>
      </c>
      <c r="AF77" s="43">
        <f t="shared" si="50"/>
        <v>1.3819002437959616E-3</v>
      </c>
      <c r="AG77" s="38">
        <f>(MPM!$Q78^2)/(9.81*MPM!$F78*(AE77^2))</f>
        <v>9.626564644446757E-2</v>
      </c>
      <c r="AH77" s="36">
        <f>8.1*((AG77/MPM!$AE78)^(1/6))</f>
        <v>14.695000779455063</v>
      </c>
      <c r="AI77" s="43">
        <f t="shared" si="51"/>
        <v>4.6062917097024631E-4</v>
      </c>
      <c r="AJ77" s="38">
        <f>(MPM!$Q78^2)/(9.81*MPM!$F78*(AH77^2))</f>
        <v>9.6264759591211849E-2</v>
      </c>
      <c r="AK77" s="36">
        <f>8.1*((AJ77/MPM!$AE78)^(1/6))</f>
        <v>14.694978216266998</v>
      </c>
      <c r="AL77" s="43">
        <f t="shared" si="52"/>
        <v>1.5354352849341398E-4</v>
      </c>
      <c r="AM77" s="38">
        <f>(MPM!$Q78^2)/(9.81*MPM!$F78*(AK77^2))</f>
        <v>9.6265055208055936E-2</v>
      </c>
      <c r="AN77" s="36">
        <f>8.1*((AM77/MPM!$AE78)^(1/6))</f>
        <v>14.694985737325837</v>
      </c>
      <c r="AO77" s="43">
        <f t="shared" si="53"/>
        <v>5.1181123774276591E-5</v>
      </c>
      <c r="AP77" s="38">
        <f>(MPM!$Q78^2)/(9.81*MPM!$F78*(AN77^2))</f>
        <v>9.6264956669007043E-2</v>
      </c>
      <c r="AQ77" s="36">
        <f>8.1*((AP77/MPM!$AE78)^(1/6))</f>
        <v>14.694983230305796</v>
      </c>
      <c r="AR77" s="43">
        <f t="shared" si="54"/>
        <v>1.7060380411213658E-5</v>
      </c>
      <c r="AS77" s="38">
        <f>(MPM!$Q78^2)/(9.81*MPM!$F78*(AQ77^2))</f>
        <v>9.6264989515345442E-2</v>
      </c>
      <c r="AT77" s="36">
        <f>8.1*((AS77/MPM!$AE78)^(1/6))</f>
        <v>14.694984065979094</v>
      </c>
      <c r="AU77" s="43">
        <f t="shared" si="55"/>
        <v>5.6867928125686091E-6</v>
      </c>
      <c r="AV77" s="38">
        <f>(MPM!$Q78^2)/(9.81*MPM!$F78*(AT77^2))</f>
        <v>9.6264978566564754E-2</v>
      </c>
      <c r="AW77" s="36">
        <f>8.1*((AV77/MPM!$AE78)^(1/6))</f>
        <v>14.694983787421323</v>
      </c>
      <c r="AX77" s="43">
        <f t="shared" si="56"/>
        <v>1.8955976723576005E-6</v>
      </c>
      <c r="AY77" s="38">
        <f>(MPM!$Q78^2)/(9.81*MPM!$F78*(AW77^2))</f>
        <v>9.6264982216158174E-2</v>
      </c>
      <c r="AZ77" s="36">
        <f>8.1*((AY77/MPM!$AE78)^(1/6))</f>
        <v>14.694983880273915</v>
      </c>
      <c r="BA77" s="43">
        <f t="shared" si="57"/>
        <v>6.3186589485211185E-7</v>
      </c>
      <c r="BB77" s="38">
        <f>(MPM!$Q78^2)/(9.81*MPM!$F78*(AZ77^2))</f>
        <v>9.6264980999627006E-2</v>
      </c>
      <c r="BC77" s="36">
        <f>8.1*((BB77/MPM!$AE78)^(1/6))</f>
        <v>14.69498384932305</v>
      </c>
      <c r="BD77" s="43">
        <f t="shared" si="58"/>
        <v>2.1062197345311011E-7</v>
      </c>
      <c r="BE77" s="38">
        <f>(MPM!$Q78^2)/(9.81*MPM!$F78*(BC77^2))</f>
        <v>9.6264981405137409E-2</v>
      </c>
      <c r="BF77" s="36">
        <f>8.1*((BE77/MPM!$AE78)^(1/6))</f>
        <v>14.694983859640004</v>
      </c>
      <c r="BG77" s="43">
        <f t="shared" si="59"/>
        <v>7.0207320405684336E-8</v>
      </c>
      <c r="BH77" s="38">
        <f>(MPM!$Q78^2)/(9.81*MPM!$F78*(BF77^2))</f>
        <v>9.626498126996727E-2</v>
      </c>
      <c r="BI77" s="36">
        <f>8.1*((BH77/MPM!$AE78)^(1/6))</f>
        <v>14.69498385620102</v>
      </c>
      <c r="BJ77" s="43">
        <f t="shared" si="60"/>
        <v>2.3402436111309844E-8</v>
      </c>
      <c r="BK77" s="38">
        <f>(MPM!$Q78^2)/(9.81*MPM!$F78*(BI77^2))</f>
        <v>9.6264981315023979E-2</v>
      </c>
      <c r="BL77" s="36">
        <f>8.1*((BK77/MPM!$AE78)^(1/6))</f>
        <v>14.694983857347349</v>
      </c>
      <c r="BM77" s="43">
        <f t="shared" si="61"/>
        <v>7.8008200952847764E-9</v>
      </c>
      <c r="BN77" s="43">
        <f t="shared" si="62"/>
        <v>4.6804879353638299E-8</v>
      </c>
    </row>
    <row r="78" spans="1:66">
      <c r="A78" s="36">
        <f>MPM!B79</f>
        <v>74</v>
      </c>
      <c r="B78" s="41">
        <f>1/(MPM!AC79^0.5)</f>
        <v>13.320297738661473</v>
      </c>
      <c r="C78" s="38">
        <f>(MPM!$Q79^2)/(9.81*MPM!$F79*(Sheet1!B78^2))</f>
        <v>0.10700974113357857</v>
      </c>
      <c r="D78" s="36">
        <f>8.1*((C78/MPM!$AE79)^(1/6))</f>
        <v>14.956441515913983</v>
      </c>
      <c r="E78" s="41">
        <f t="shared" si="41"/>
        <v>10.939392070711587</v>
      </c>
      <c r="F78" s="38">
        <f>(MPM!$Q79^2)/(9.81*MPM!$F79*(D78^2))</f>
        <v>8.4877899631085066E-2</v>
      </c>
      <c r="G78" s="36">
        <f>8.1*((F78/MPM!$AE79)^(1/6))</f>
        <v>14.389868621115959</v>
      </c>
      <c r="H78" s="43">
        <f t="shared" si="42"/>
        <v>3.9373041527747192</v>
      </c>
      <c r="I78" s="38">
        <f>(MPM!$Q79^2)/(9.81*MPM!$F79*(G78^2))</f>
        <v>9.1693282574501558E-2</v>
      </c>
      <c r="J78" s="36">
        <f>8.1*((I78/MPM!$AE79)^(1/6))</f>
        <v>14.576300453729564</v>
      </c>
      <c r="K78" s="43">
        <f t="shared" si="43"/>
        <v>1.2790065161280622</v>
      </c>
      <c r="L78" s="38">
        <f>(MPM!$Q79^2)/(9.81*MPM!$F79*(J78^2))</f>
        <v>8.9362756172485444E-2</v>
      </c>
      <c r="M78" s="36">
        <f>8.1*((L78/MPM!$AE79)^(1/6))</f>
        <v>14.513889669054715</v>
      </c>
      <c r="N78" s="43">
        <f t="shared" si="44"/>
        <v>0.43000729713356151</v>
      </c>
      <c r="O78" s="38">
        <f>(MPM!$Q79^2)/(9.81*MPM!$F79*(M78^2))</f>
        <v>9.0132941290850185E-2</v>
      </c>
      <c r="P78" s="36">
        <f>8.1*((O78/MPM!$AE79)^(1/6))</f>
        <v>14.534663515986193</v>
      </c>
      <c r="Q78" s="43">
        <f t="shared" si="45"/>
        <v>0.14292623223530099</v>
      </c>
      <c r="R78" s="38">
        <f>(MPM!$Q79^2)/(9.81*MPM!$F79*(P78^2))</f>
        <v>8.9875478179612431E-2</v>
      </c>
      <c r="S78" s="36">
        <f>8.1*((R78/MPM!$AE79)^(1/6))</f>
        <v>14.527735598689578</v>
      </c>
      <c r="T78" s="43">
        <f t="shared" si="46"/>
        <v>4.7687523286421195E-2</v>
      </c>
      <c r="U78" s="38">
        <f>(MPM!$Q79^2)/(9.81*MPM!$F79*(S78^2))</f>
        <v>8.9961217397365192E-2</v>
      </c>
      <c r="V78" s="36">
        <f>8.1*((U78/MPM!$AE79)^(1/6))</f>
        <v>14.530044537468763</v>
      </c>
      <c r="W78" s="43">
        <f t="shared" si="47"/>
        <v>1.5890789413832644E-2</v>
      </c>
      <c r="X78" s="38">
        <f>(MPM!$Q79^2)/(9.81*MPM!$F79*(V78^2))</f>
        <v>8.993262857381909E-2</v>
      </c>
      <c r="Y78" s="36">
        <f>8.1*((X78/MPM!$AE79)^(1/6))</f>
        <v>14.529274850437814</v>
      </c>
      <c r="Z78" s="43">
        <f t="shared" si="48"/>
        <v>5.297491023279052E-3</v>
      </c>
      <c r="AA78" s="38">
        <f>(MPM!$Q79^2)/(9.81*MPM!$F79*(Y78^2))</f>
        <v>8.9942157172052131E-2</v>
      </c>
      <c r="AB78" s="36">
        <f>8.1*((AA78/MPM!$AE79)^(1/6))</f>
        <v>14.52953140825114</v>
      </c>
      <c r="AC78" s="43">
        <f t="shared" si="49"/>
        <v>1.7657679805197044E-3</v>
      </c>
      <c r="AD78" s="38">
        <f>(MPM!$Q79^2)/(9.81*MPM!$F79*(AB78^2))</f>
        <v>8.9938980860470863E-2</v>
      </c>
      <c r="AE78" s="36">
        <f>8.1*((AD78/MPM!$AE79)^(1/6))</f>
        <v>14.529445888476671</v>
      </c>
      <c r="AF78" s="43">
        <f t="shared" si="50"/>
        <v>5.8859625566973423E-4</v>
      </c>
      <c r="AG78" s="38">
        <f>(MPM!$Q79^2)/(9.81*MPM!$F79*(AE78^2))</f>
        <v>8.9940039618534195E-2</v>
      </c>
      <c r="AH78" s="36">
        <f>8.1*((AG78/MPM!$AE79)^(1/6))</f>
        <v>14.52947439501223</v>
      </c>
      <c r="AI78" s="43">
        <f t="shared" si="51"/>
        <v>1.9619798200362718E-4</v>
      </c>
      <c r="AJ78" s="38">
        <f>(MPM!$Q79^2)/(9.81*MPM!$F79*(AH78^2))</f>
        <v>8.9939686697794924E-2</v>
      </c>
      <c r="AK78" s="36">
        <f>8.1*((AJ78/MPM!$AE79)^(1/6))</f>
        <v>14.529464892827496</v>
      </c>
      <c r="AL78" s="43">
        <f t="shared" si="52"/>
        <v>6.5399412871492408E-5</v>
      </c>
      <c r="AM78" s="38">
        <f>(MPM!$Q79^2)/(9.81*MPM!$F79*(AK78^2))</f>
        <v>8.9939804337887466E-2</v>
      </c>
      <c r="AN78" s="36">
        <f>8.1*((AM78/MPM!$AE79)^(1/6))</f>
        <v>14.529468060221717</v>
      </c>
      <c r="AO78" s="43">
        <f t="shared" si="53"/>
        <v>2.1799794786388805E-5</v>
      </c>
      <c r="AP78" s="38">
        <f>(MPM!$Q79^2)/(9.81*MPM!$F79*(AN78^2))</f>
        <v>8.9939765124506202E-2</v>
      </c>
      <c r="AQ78" s="36">
        <f>8.1*((AP78/MPM!$AE79)^(1/6))</f>
        <v>14.529467004423566</v>
      </c>
      <c r="AR78" s="43">
        <f t="shared" si="54"/>
        <v>7.2665993240281008E-6</v>
      </c>
      <c r="AS78" s="38">
        <f>(MPM!$Q79^2)/(9.81*MPM!$F79*(AQ78^2))</f>
        <v>8.9939778195631398E-2</v>
      </c>
      <c r="AT78" s="36">
        <f>8.1*((AS78/MPM!$AE79)^(1/6))</f>
        <v>14.529467356356275</v>
      </c>
      <c r="AU78" s="43">
        <f t="shared" si="55"/>
        <v>2.4221996589513608E-6</v>
      </c>
      <c r="AV78" s="38">
        <f>(MPM!$Q79^2)/(9.81*MPM!$F79*(AT78^2))</f>
        <v>8.9939773838589435E-2</v>
      </c>
      <c r="AW78" s="36">
        <f>8.1*((AV78/MPM!$AE79)^(1/6))</f>
        <v>14.529467239045371</v>
      </c>
      <c r="AX78" s="43">
        <f t="shared" si="56"/>
        <v>8.0739990098666024E-7</v>
      </c>
      <c r="AY78" s="38">
        <f>(MPM!$Q79^2)/(9.81*MPM!$F79*(AW78^2))</f>
        <v>8.9939775290936746E-2</v>
      </c>
      <c r="AZ78" s="36">
        <f>8.1*((AY78/MPM!$AE79)^(1/6))</f>
        <v>14.529467278149006</v>
      </c>
      <c r="BA78" s="43">
        <f t="shared" si="57"/>
        <v>2.6913330775515344E-7</v>
      </c>
      <c r="BB78" s="38">
        <f>(MPM!$Q79^2)/(9.81*MPM!$F79*(AZ78^2))</f>
        <v>8.9939774806820957E-2</v>
      </c>
      <c r="BC78" s="36">
        <f>8.1*((BB78/MPM!$AE79)^(1/6))</f>
        <v>14.529467265114461</v>
      </c>
      <c r="BD78" s="43">
        <f t="shared" si="58"/>
        <v>8.9711106740828981E-8</v>
      </c>
      <c r="BE78" s="38">
        <f>(MPM!$Q79^2)/(9.81*MPM!$F79*(BC78^2))</f>
        <v>8.9939774968192901E-2</v>
      </c>
      <c r="BF78" s="36">
        <f>8.1*((BE78/MPM!$AE79)^(1/6))</f>
        <v>14.529467269459309</v>
      </c>
      <c r="BG78" s="43">
        <f t="shared" si="59"/>
        <v>2.9903698162703664E-8</v>
      </c>
      <c r="BH78" s="38">
        <f>(MPM!$Q79^2)/(9.81*MPM!$F79*(BF78^2))</f>
        <v>8.9939774914402262E-2</v>
      </c>
      <c r="BI78" s="36">
        <f>8.1*((BH78/MPM!$AE79)^(1/6))</f>
        <v>14.529467268011027</v>
      </c>
      <c r="BJ78" s="43">
        <f t="shared" si="60"/>
        <v>9.9678912379674383E-9</v>
      </c>
      <c r="BK78" s="38">
        <f>(MPM!$Q79^2)/(9.81*MPM!$F79*(BI78^2))</f>
        <v>8.9939774932332461E-2</v>
      </c>
      <c r="BL78" s="36">
        <f>8.1*((BK78/MPM!$AE79)^(1/6))</f>
        <v>14.529467268493786</v>
      </c>
      <c r="BM78" s="43">
        <f t="shared" si="61"/>
        <v>3.3226181866543578E-9</v>
      </c>
      <c r="BN78" s="43">
        <f t="shared" si="62"/>
        <v>1.9935783701594747E-8</v>
      </c>
    </row>
    <row r="79" spans="1:66">
      <c r="A79" s="36">
        <f>MPM!B80</f>
        <v>75</v>
      </c>
      <c r="B79" s="41">
        <f>1/(MPM!AC80^0.5)</f>
        <v>13.690011614951308</v>
      </c>
      <c r="C79" s="38">
        <f>(MPM!$Q80^2)/(9.81*MPM!$F80*(Sheet1!B79^2))</f>
        <v>0.10535357425099066</v>
      </c>
      <c r="D79" s="36">
        <f>8.1*((C79/MPM!$AE80)^(1/6))</f>
        <v>12.447388176839034</v>
      </c>
      <c r="E79" s="41">
        <f t="shared" si="41"/>
        <v>9.9830054342198</v>
      </c>
      <c r="F79" s="38">
        <f>(MPM!$Q80^2)/(9.81*MPM!$F80*(D79^2))</f>
        <v>0.12743843824501941</v>
      </c>
      <c r="G79" s="36">
        <f>8.1*((F79/MPM!$AE80)^(1/6))</f>
        <v>12.848529553792186</v>
      </c>
      <c r="H79" s="43">
        <f t="shared" si="42"/>
        <v>3.1220800424960466</v>
      </c>
      <c r="I79" s="38">
        <f>(MPM!$Q80^2)/(9.81*MPM!$F80*(G79^2))</f>
        <v>0.11960519728792621</v>
      </c>
      <c r="J79" s="36">
        <f>8.1*((I79/MPM!$AE80)^(1/6))</f>
        <v>12.71339956048533</v>
      </c>
      <c r="K79" s="43">
        <f t="shared" si="43"/>
        <v>1.0628942531378902</v>
      </c>
      <c r="L79" s="38">
        <f>(MPM!$Q80^2)/(9.81*MPM!$F80*(J79^2))</f>
        <v>0.1221612631524945</v>
      </c>
      <c r="M79" s="36">
        <f>8.1*((L79/MPM!$AE80)^(1/6))</f>
        <v>12.758284239662506</v>
      </c>
      <c r="N79" s="43">
        <f t="shared" si="44"/>
        <v>0.35180811411647739</v>
      </c>
      <c r="O79" s="38">
        <f>(MPM!$Q80^2)/(9.81*MPM!$F80*(M79^2))</f>
        <v>0.12130322865745601</v>
      </c>
      <c r="P79" s="36">
        <f>8.1*((O79/MPM!$AE80)^(1/6))</f>
        <v>12.743305100236949</v>
      </c>
      <c r="Q79" s="43">
        <f t="shared" si="45"/>
        <v>0.11754516828824178</v>
      </c>
      <c r="R79" s="38">
        <f>(MPM!$Q80^2)/(9.81*MPM!$F80*(P79^2))</f>
        <v>0.12158856842903765</v>
      </c>
      <c r="S79" s="36">
        <f>8.1*((R79/MPM!$AE80)^(1/6))</f>
        <v>12.748296191627066</v>
      </c>
      <c r="T79" s="43">
        <f t="shared" si="46"/>
        <v>3.9151046658260975E-2</v>
      </c>
      <c r="U79" s="38">
        <f>(MPM!$Q80^2)/(9.81*MPM!$F80*(S79^2))</f>
        <v>0.12149338067187407</v>
      </c>
      <c r="V79" s="36">
        <f>8.1*((U79/MPM!$AE80)^(1/6))</f>
        <v>12.746632277331511</v>
      </c>
      <c r="W79" s="43">
        <f t="shared" si="47"/>
        <v>1.3053756155769449E-2</v>
      </c>
      <c r="X79" s="38">
        <f>(MPM!$Q80^2)/(9.81*MPM!$F80*(V79^2))</f>
        <v>0.12152510164144456</v>
      </c>
      <c r="Y79" s="36">
        <f>8.1*((X79/MPM!$AE80)^(1/6))</f>
        <v>12.747186891298078</v>
      </c>
      <c r="Z79" s="43">
        <f t="shared" si="48"/>
        <v>4.350873422481469E-3</v>
      </c>
      <c r="AA79" s="38">
        <f>(MPM!$Q80^2)/(9.81*MPM!$F80*(Y79^2))</f>
        <v>0.12151452706479486</v>
      </c>
      <c r="AB79" s="36">
        <f>8.1*((AA79/MPM!$AE80)^(1/6))</f>
        <v>12.747002017294651</v>
      </c>
      <c r="AC79" s="43">
        <f t="shared" si="49"/>
        <v>1.4503332091427999E-3</v>
      </c>
      <c r="AD79" s="38">
        <f>(MPM!$Q80^2)/(9.81*MPM!$F80*(AB79^2))</f>
        <v>0.12151805182143495</v>
      </c>
      <c r="AE79" s="36">
        <f>8.1*((AD79/MPM!$AE80)^(1/6))</f>
        <v>12.747063641664543</v>
      </c>
      <c r="AF79" s="43">
        <f t="shared" si="50"/>
        <v>4.8343972873886196E-4</v>
      </c>
      <c r="AG79" s="38">
        <f>(MPM!$Q80^2)/(9.81*MPM!$F80*(AE79^2))</f>
        <v>0.12151687689119482</v>
      </c>
      <c r="AH79" s="36">
        <f>8.1*((AG79/MPM!$AE80)^(1/6))</f>
        <v>12.747043100174809</v>
      </c>
      <c r="AI79" s="43">
        <f t="shared" si="51"/>
        <v>1.6114709562557267E-4</v>
      </c>
      <c r="AJ79" s="38">
        <f>(MPM!$Q80^2)/(9.81*MPM!$F80*(AH79^2))</f>
        <v>0.12151726853334596</v>
      </c>
      <c r="AK79" s="36">
        <f>8.1*((AJ79/MPM!$AE80)^(1/6))</f>
        <v>12.747049947334375</v>
      </c>
      <c r="AL79" s="43">
        <f t="shared" si="52"/>
        <v>5.3715640832485448E-5</v>
      </c>
      <c r="AM79" s="38">
        <f>(MPM!$Q80^2)/(9.81*MPM!$F80*(AK79^2))</f>
        <v>0.12151713798582202</v>
      </c>
      <c r="AN79" s="36">
        <f>8.1*((AM79/MPM!$AE80)^(1/6))</f>
        <v>12.747047664947447</v>
      </c>
      <c r="AO79" s="43">
        <f t="shared" si="53"/>
        <v>1.7905220003366374E-5</v>
      </c>
      <c r="AP79" s="38">
        <f>(MPM!$Q80^2)/(9.81*MPM!$F80*(AN79^2))</f>
        <v>0.1215171815016477</v>
      </c>
      <c r="AQ79" s="36">
        <f>8.1*((AP79/MPM!$AE80)^(1/6))</f>
        <v>12.747048425743044</v>
      </c>
      <c r="AR79" s="43">
        <f t="shared" si="54"/>
        <v>5.9684059538938495E-6</v>
      </c>
      <c r="AS79" s="38">
        <f>(MPM!$Q80^2)/(9.81*MPM!$F80*(AQ79^2))</f>
        <v>0.12151716699637075</v>
      </c>
      <c r="AT79" s="36">
        <f>8.1*((AS79/MPM!$AE80)^(1/6))</f>
        <v>12.747048172144506</v>
      </c>
      <c r="AU79" s="43">
        <f t="shared" si="55"/>
        <v>1.989468732684117E-6</v>
      </c>
      <c r="AV79" s="38">
        <f>(MPM!$Q80^2)/(9.81*MPM!$F80*(AT79^2))</f>
        <v>0.12151717183146288</v>
      </c>
      <c r="AW79" s="36">
        <f>8.1*((AV79/MPM!$AE80)^(1/6))</f>
        <v>12.747048256677351</v>
      </c>
      <c r="AX79" s="43">
        <f t="shared" si="56"/>
        <v>6.6315623053998583E-7</v>
      </c>
      <c r="AY79" s="38">
        <f>(MPM!$Q80^2)/(9.81*MPM!$F80*(AW79^2))</f>
        <v>0.12151717021976548</v>
      </c>
      <c r="AZ79" s="36">
        <f>8.1*((AY79/MPM!$AE80)^(1/6))</f>
        <v>12.747048228499736</v>
      </c>
      <c r="BA79" s="43">
        <f t="shared" si="57"/>
        <v>2.2105207733530218E-7</v>
      </c>
      <c r="BB79" s="38">
        <f>(MPM!$Q80^2)/(9.81*MPM!$F80*(AZ79^2))</f>
        <v>0.12151717075699793</v>
      </c>
      <c r="BC79" s="36">
        <f>8.1*((BB79/MPM!$AE80)^(1/6))</f>
        <v>12.747048237892274</v>
      </c>
      <c r="BD79" s="43">
        <f t="shared" si="58"/>
        <v>7.3684025724140694E-8</v>
      </c>
      <c r="BE79" s="38">
        <f>(MPM!$Q80^2)/(9.81*MPM!$F80*(BC79^2))</f>
        <v>0.12151717057792046</v>
      </c>
      <c r="BF79" s="36">
        <f>8.1*((BE79/MPM!$AE80)^(1/6))</f>
        <v>12.747048234761428</v>
      </c>
      <c r="BG79" s="43">
        <f t="shared" si="59"/>
        <v>2.4561346559225067E-8</v>
      </c>
      <c r="BH79" s="38">
        <f>(MPM!$Q80^2)/(9.81*MPM!$F80*(BF79^2))</f>
        <v>0.12151717063761297</v>
      </c>
      <c r="BI79" s="36">
        <f>8.1*((BH79/MPM!$AE80)^(1/6))</f>
        <v>12.747048235805044</v>
      </c>
      <c r="BJ79" s="43">
        <f t="shared" si="60"/>
        <v>8.1871248093625406E-9</v>
      </c>
      <c r="BK79" s="38">
        <f>(MPM!$Q80^2)/(9.81*MPM!$F80*(BI79^2))</f>
        <v>0.12151717061771543</v>
      </c>
      <c r="BL79" s="36">
        <f>8.1*((BK79/MPM!$AE80)^(1/6))</f>
        <v>12.747048235457171</v>
      </c>
      <c r="BM79" s="43">
        <f t="shared" si="61"/>
        <v>2.7290462483408939E-9</v>
      </c>
      <c r="BN79" s="43">
        <f t="shared" si="62"/>
        <v>1.6374263691522747E-8</v>
      </c>
    </row>
    <row r="80" spans="1:66">
      <c r="A80" s="36">
        <f>MPM!B81</f>
        <v>76</v>
      </c>
      <c r="B80" s="41">
        <f>1/(MPM!AC81^0.5)</f>
        <v>14.939059400853091</v>
      </c>
      <c r="C80" s="38">
        <f>(MPM!$Q81^2)/(9.81*MPM!$F81*(Sheet1!B80^2))</f>
        <v>7.5074989306489537E-2</v>
      </c>
      <c r="D80" s="36">
        <f>8.1*((C80/MPM!$AE81)^(1/6))</f>
        <v>11.763933681953935</v>
      </c>
      <c r="E80" s="41">
        <f t="shared" si="41"/>
        <v>26.990340176516387</v>
      </c>
      <c r="F80" s="38">
        <f>(MPM!$Q81^2)/(9.81*MPM!$F81*(D80^2))</f>
        <v>0.12107003058990187</v>
      </c>
      <c r="G80" s="36">
        <f>8.1*((F80/MPM!$AE81)^(1/6))</f>
        <v>12.73921878784952</v>
      </c>
      <c r="H80" s="43">
        <f t="shared" si="42"/>
        <v>7.6557685532946325</v>
      </c>
      <c r="I80" s="38">
        <f>(MPM!$Q81^2)/(9.81*MPM!$F81*(G80^2))</f>
        <v>0.10324194897091843</v>
      </c>
      <c r="J80" s="36">
        <f>8.1*((I80/MPM!$AE81)^(1/6))</f>
        <v>12.405455640420683</v>
      </c>
      <c r="K80" s="43">
        <f t="shared" si="43"/>
        <v>2.6904545637270783</v>
      </c>
      <c r="L80" s="38">
        <f>(MPM!$Q81^2)/(9.81*MPM!$F81*(J80^2))</f>
        <v>0.10887203658364854</v>
      </c>
      <c r="M80" s="36">
        <f>8.1*((L80/MPM!$AE81)^(1/6))</f>
        <v>12.515726924370822</v>
      </c>
      <c r="N80" s="43">
        <f t="shared" si="44"/>
        <v>0.88106176026753158</v>
      </c>
      <c r="O80" s="38">
        <f>(MPM!$Q81^2)/(9.81*MPM!$F81*(M80^2))</f>
        <v>0.10696202822740557</v>
      </c>
      <c r="P80" s="36">
        <f>8.1*((O80/MPM!$AE81)^(1/6))</f>
        <v>12.478861347298473</v>
      </c>
      <c r="Q80" s="43">
        <f t="shared" si="45"/>
        <v>0.29542420615427845</v>
      </c>
      <c r="R80" s="38">
        <f>(MPM!$Q81^2)/(9.81*MPM!$F81*(P80^2))</f>
        <v>0.10759494518899874</v>
      </c>
      <c r="S80" s="36">
        <f>8.1*((R80/MPM!$AE81)^(1/6))</f>
        <v>12.49113779171793</v>
      </c>
      <c r="T80" s="43">
        <f t="shared" si="46"/>
        <v>9.8281234457259392E-2</v>
      </c>
      <c r="U80" s="38">
        <f>(MPM!$Q81^2)/(9.81*MPM!$F81*(S80^2))</f>
        <v>0.10738355783642875</v>
      </c>
      <c r="V80" s="36">
        <f>8.1*((U80/MPM!$AE81)^(1/6))</f>
        <v>12.487044302241085</v>
      </c>
      <c r="W80" s="43">
        <f t="shared" si="47"/>
        <v>3.278189279837164E-2</v>
      </c>
      <c r="X80" s="38">
        <f>(MPM!$Q81^2)/(9.81*MPM!$F81*(V80^2))</f>
        <v>0.10745397410205562</v>
      </c>
      <c r="Y80" s="36">
        <f>8.1*((X80/MPM!$AE81)^(1/6))</f>
        <v>12.488408649657924</v>
      </c>
      <c r="Z80" s="43">
        <f t="shared" si="48"/>
        <v>1.0924910091538103E-2</v>
      </c>
      <c r="AA80" s="38">
        <f>(MPM!$Q81^2)/(9.81*MPM!$F81*(Y80^2))</f>
        <v>0.10743049688443727</v>
      </c>
      <c r="AB80" s="36">
        <f>8.1*((AA80/MPM!$AE81)^(1/6))</f>
        <v>12.487953850623112</v>
      </c>
      <c r="AC80" s="43">
        <f t="shared" si="49"/>
        <v>3.6419019500818104E-3</v>
      </c>
      <c r="AD80" s="38">
        <f>(MPM!$Q81^2)/(9.81*MPM!$F81*(AB80^2))</f>
        <v>0.10743832205364921</v>
      </c>
      <c r="AE80" s="36">
        <f>8.1*((AD80/MPM!$AE81)^(1/6))</f>
        <v>12.488105448461051</v>
      </c>
      <c r="AF80" s="43">
        <f t="shared" si="50"/>
        <v>1.2139378432037301E-3</v>
      </c>
      <c r="AG80" s="38">
        <f>(MPM!$Q81^2)/(9.81*MPM!$F81*(AE80^2))</f>
        <v>0.10743571360058278</v>
      </c>
      <c r="AH80" s="36">
        <f>8.1*((AG80/MPM!$AE81)^(1/6))</f>
        <v>12.488054915643925</v>
      </c>
      <c r="AI80" s="43">
        <f t="shared" si="51"/>
        <v>4.0464922253113966E-4</v>
      </c>
      <c r="AJ80" s="38">
        <f>(MPM!$Q81^2)/(9.81*MPM!$F81*(AH80^2))</f>
        <v>0.10743658307790155</v>
      </c>
      <c r="AK80" s="36">
        <f>8.1*((AJ80/MPM!$AE81)^(1/6))</f>
        <v>12.488071759893579</v>
      </c>
      <c r="AL80" s="43">
        <f t="shared" si="52"/>
        <v>1.3488271029843532E-4</v>
      </c>
      <c r="AM80" s="38">
        <f>(MPM!$Q81^2)/(9.81*MPM!$F81*(AK80^2))</f>
        <v>0.10743629325134679</v>
      </c>
      <c r="AN80" s="36">
        <f>8.1*((AM80/MPM!$AE81)^(1/6))</f>
        <v>12.48806614514117</v>
      </c>
      <c r="AO80" s="43">
        <f t="shared" si="53"/>
        <v>4.496094386058032E-5</v>
      </c>
      <c r="AP80" s="38">
        <f>(MPM!$Q81^2)/(9.81*MPM!$F81*(AN80^2))</f>
        <v>0.1074363898601115</v>
      </c>
      <c r="AQ80" s="36">
        <f>8.1*((AP80/MPM!$AE81)^(1/6))</f>
        <v>12.488068016725027</v>
      </c>
      <c r="AR80" s="43">
        <f t="shared" si="54"/>
        <v>1.4986976802787277E-5</v>
      </c>
      <c r="AS80" s="38">
        <f>(MPM!$Q81^2)/(9.81*MPM!$F81*(AQ80^2))</f>
        <v>0.10743635765718025</v>
      </c>
      <c r="AT80" s="36">
        <f>8.1*((AS80/MPM!$AE81)^(1/6))</f>
        <v>12.488067392863709</v>
      </c>
      <c r="AU80" s="43">
        <f t="shared" si="55"/>
        <v>4.995659444609813E-6</v>
      </c>
      <c r="AV80" s="38">
        <f>(MPM!$Q81^2)/(9.81*MPM!$F81*(AT80^2))</f>
        <v>0.10743636839148962</v>
      </c>
      <c r="AW80" s="36">
        <f>8.1*((AV80/MPM!$AE81)^(1/6))</f>
        <v>12.488067600817478</v>
      </c>
      <c r="AX80" s="43">
        <f t="shared" si="56"/>
        <v>1.6652197634329795E-6</v>
      </c>
      <c r="AY80" s="38">
        <f>(MPM!$Q81^2)/(9.81*MPM!$F81*(AW80^2))</f>
        <v>0.10743636481338638</v>
      </c>
      <c r="AZ80" s="36">
        <f>8.1*((AY80/MPM!$AE81)^(1/6))</f>
        <v>12.488067531499555</v>
      </c>
      <c r="BA80" s="43">
        <f t="shared" si="57"/>
        <v>5.5507326230020085E-7</v>
      </c>
      <c r="BB80" s="38">
        <f>(MPM!$Q81^2)/(9.81*MPM!$F81*(AZ80^2))</f>
        <v>0.10743636600608746</v>
      </c>
      <c r="BC80" s="36">
        <f>8.1*((BB80/MPM!$AE81)^(1/6))</f>
        <v>12.48806755460553</v>
      </c>
      <c r="BD80" s="43">
        <f t="shared" si="58"/>
        <v>1.8502442990734876E-7</v>
      </c>
      <c r="BE80" s="38">
        <f>(MPM!$Q81^2)/(9.81*MPM!$F81*(BC80^2))</f>
        <v>0.10743636560852039</v>
      </c>
      <c r="BF80" s="36">
        <f>8.1*((BE80/MPM!$AE81)^(1/6))</f>
        <v>12.488067546903538</v>
      </c>
      <c r="BG80" s="43">
        <f t="shared" si="59"/>
        <v>6.167481000715408E-8</v>
      </c>
      <c r="BH80" s="38">
        <f>(MPM!$Q81^2)/(9.81*MPM!$F81*(BF80^2))</f>
        <v>0.10743636574104276</v>
      </c>
      <c r="BI80" s="36">
        <f>8.1*((BH80/MPM!$AE81)^(1/6))</f>
        <v>12.48806754947087</v>
      </c>
      <c r="BJ80" s="43">
        <f t="shared" si="60"/>
        <v>2.0558274739636034E-8</v>
      </c>
      <c r="BK80" s="38">
        <f>(MPM!$Q81^2)/(9.81*MPM!$F81*(BI80^2))</f>
        <v>0.10743636569686862</v>
      </c>
      <c r="BL80" s="36">
        <f>8.1*((BK80/MPM!$AE81)^(1/6))</f>
        <v>12.48806754861509</v>
      </c>
      <c r="BM80" s="43">
        <f t="shared" si="61"/>
        <v>6.8527772129260209E-9</v>
      </c>
      <c r="BN80" s="43">
        <f t="shared" si="62"/>
        <v>4.1116558889855646E-8</v>
      </c>
    </row>
    <row r="81" spans="1:66">
      <c r="A81" s="36">
        <f>MPM!B82</f>
        <v>77</v>
      </c>
      <c r="B81" s="41">
        <f>1/(MPM!AC82^0.5)</f>
        <v>14.502552431124272</v>
      </c>
      <c r="C81" s="38">
        <f>(MPM!$Q82^2)/(9.81*MPM!$F82*(Sheet1!B81^2))</f>
        <v>7.6135595645307849E-2</v>
      </c>
      <c r="D81" s="36">
        <f>8.1*((C81/MPM!$AE82)^(1/6))</f>
        <v>11.791470785956415</v>
      </c>
      <c r="E81" s="41">
        <f t="shared" si="41"/>
        <v>22.991887054469423</v>
      </c>
      <c r="F81" s="38">
        <f>(MPM!$Q82^2)/(9.81*MPM!$F82*(D81^2))</f>
        <v>0.11517034812797582</v>
      </c>
      <c r="G81" s="36">
        <f>8.1*((F81/MPM!$AE82)^(1/6))</f>
        <v>12.633590652269486</v>
      </c>
      <c r="H81" s="43">
        <f t="shared" si="42"/>
        <v>6.665720692492072</v>
      </c>
      <c r="I81" s="38">
        <f>(MPM!$Q82^2)/(9.81*MPM!$F82*(G81^2))</f>
        <v>0.10032820363438753</v>
      </c>
      <c r="J81" s="36">
        <f>8.1*((I81/MPM!$AE82)^(1/6))</f>
        <v>12.346405228639377</v>
      </c>
      <c r="K81" s="43">
        <f t="shared" si="43"/>
        <v>2.3260651040672076</v>
      </c>
      <c r="L81" s="38">
        <f>(MPM!$Q82^2)/(9.81*MPM!$F82*(J81^2))</f>
        <v>0.10504988566878994</v>
      </c>
      <c r="M81" s="36">
        <f>8.1*((L81/MPM!$AE82)^(1/6))</f>
        <v>12.441400912991046</v>
      </c>
      <c r="N81" s="43">
        <f t="shared" si="44"/>
        <v>0.76354491761837706</v>
      </c>
      <c r="O81" s="38">
        <f>(MPM!$Q82^2)/(9.81*MPM!$F82*(M81^2))</f>
        <v>0.10345180395998553</v>
      </c>
      <c r="P81" s="36">
        <f>8.1*((O81/MPM!$AE82)^(1/6))</f>
        <v>12.409654748509489</v>
      </c>
      <c r="Q81" s="43">
        <f t="shared" si="45"/>
        <v>0.25581827315034944</v>
      </c>
      <c r="R81" s="38">
        <f>(MPM!$Q82^2)/(9.81*MPM!$F82*(P81^2))</f>
        <v>0.10398177821637776</v>
      </c>
      <c r="S81" s="36">
        <f>8.1*((R81/MPM!$AE82)^(1/6))</f>
        <v>12.420227792529337</v>
      </c>
      <c r="T81" s="43">
        <f t="shared" si="46"/>
        <v>8.5127617596577027E-2</v>
      </c>
      <c r="U81" s="38">
        <f>(MPM!$Q82^2)/(9.81*MPM!$F82*(S81^2))</f>
        <v>0.10380481914790994</v>
      </c>
      <c r="V81" s="36">
        <f>8.1*((U81/MPM!$AE82)^(1/6))</f>
        <v>12.416702443984992</v>
      </c>
      <c r="W81" s="43">
        <f t="shared" si="47"/>
        <v>2.839198700499539E-2</v>
      </c>
      <c r="X81" s="38">
        <f>(MPM!$Q82^2)/(9.81*MPM!$F82*(V81^2))</f>
        <v>0.1038637720171936</v>
      </c>
      <c r="Y81" s="36">
        <f>8.1*((X81/MPM!$AE82)^(1/6))</f>
        <v>12.417877448971035</v>
      </c>
      <c r="Z81" s="43">
        <f t="shared" si="48"/>
        <v>9.462204719542202E-3</v>
      </c>
      <c r="AA81" s="38">
        <f>(MPM!$Q82^2)/(9.81*MPM!$F82*(Y81^2))</f>
        <v>0.103844117341645</v>
      </c>
      <c r="AB81" s="36">
        <f>8.1*((AA81/MPM!$AE82)^(1/6))</f>
        <v>12.417485768288218</v>
      </c>
      <c r="AC81" s="43">
        <f t="shared" si="49"/>
        <v>3.1542672174227643E-3</v>
      </c>
      <c r="AD81" s="38">
        <f>(MPM!$Q82^2)/(9.81*MPM!$F82*(AB81^2))</f>
        <v>0.10385066848686475</v>
      </c>
      <c r="AE81" s="36">
        <f>8.1*((AD81/MPM!$AE82)^(1/6))</f>
        <v>12.41761632714311</v>
      </c>
      <c r="AF81" s="43">
        <f t="shared" si="50"/>
        <v>1.0514002965792844E-3</v>
      </c>
      <c r="AG81" s="38">
        <f>(MPM!$Q82^2)/(9.81*MPM!$F82*(AE81^2))</f>
        <v>0.10384848472587191</v>
      </c>
      <c r="AH81" s="36">
        <f>8.1*((AG81/MPM!$AE82)^(1/6))</f>
        <v>12.417572807372288</v>
      </c>
      <c r="AI81" s="43">
        <f t="shared" si="51"/>
        <v>3.5046922210026457E-4</v>
      </c>
      <c r="AJ81" s="38">
        <f>(MPM!$Q82^2)/(9.81*MPM!$F82*(AH81^2))</f>
        <v>0.10384921264110061</v>
      </c>
      <c r="AK81" s="36">
        <f>8.1*((AJ81/MPM!$AE82)^(1/6))</f>
        <v>12.417587313945615</v>
      </c>
      <c r="AL81" s="43">
        <f t="shared" si="52"/>
        <v>1.1682280108612274E-4</v>
      </c>
      <c r="AM81" s="38">
        <f>(MPM!$Q82^2)/(9.81*MPM!$F82*(AK81^2))</f>
        <v>0.10384897000212412</v>
      </c>
      <c r="AN81" s="36">
        <f>8.1*((AM81/MPM!$AE82)^(1/6))</f>
        <v>12.417582478419289</v>
      </c>
      <c r="AO81" s="43">
        <f t="shared" si="53"/>
        <v>3.8940964027602568E-5</v>
      </c>
      <c r="AP81" s="38">
        <f>(MPM!$Q82^2)/(9.81*MPM!$F82*(AN81^2))</f>
        <v>0.10384905088171999</v>
      </c>
      <c r="AQ81" s="36">
        <f>8.1*((AP81/MPM!$AE82)^(1/6))</f>
        <v>12.41758409026119</v>
      </c>
      <c r="AR81" s="43">
        <f t="shared" si="54"/>
        <v>1.2980317983942008E-5</v>
      </c>
      <c r="AS81" s="38">
        <f>(MPM!$Q82^2)/(9.81*MPM!$F82*(AQ81^2))</f>
        <v>0.10384902392184768</v>
      </c>
      <c r="AT81" s="36">
        <f>8.1*((AS81/MPM!$AE82)^(1/6))</f>
        <v>12.417583552980533</v>
      </c>
      <c r="AU81" s="43">
        <f t="shared" si="55"/>
        <v>4.3267730392592784E-6</v>
      </c>
      <c r="AV81" s="38">
        <f>(MPM!$Q82^2)/(9.81*MPM!$F82*(AT81^2))</f>
        <v>0.10384903290847099</v>
      </c>
      <c r="AW81" s="36">
        <f>8.1*((AV81/MPM!$AE82)^(1/6))</f>
        <v>12.417583732074084</v>
      </c>
      <c r="AX81" s="43">
        <f t="shared" si="56"/>
        <v>1.4422576446468482E-6</v>
      </c>
      <c r="AY81" s="38">
        <f>(MPM!$Q82^2)/(9.81*MPM!$F82*(AW81^2))</f>
        <v>0.1038490299129298</v>
      </c>
      <c r="AZ81" s="36">
        <f>8.1*((AY81/MPM!$AE82)^(1/6))</f>
        <v>12.417583672376233</v>
      </c>
      <c r="BA81" s="43">
        <f t="shared" si="57"/>
        <v>4.8075255052684618E-7</v>
      </c>
      <c r="BB81" s="38">
        <f>(MPM!$Q82^2)/(9.81*MPM!$F82*(AZ81^2))</f>
        <v>0.10384903091144353</v>
      </c>
      <c r="BC81" s="36">
        <f>8.1*((BB81/MPM!$AE82)^(1/6))</f>
        <v>12.417583692275517</v>
      </c>
      <c r="BD81" s="43">
        <f t="shared" si="58"/>
        <v>1.6025085468720307E-7</v>
      </c>
      <c r="BE81" s="38">
        <f>(MPM!$Q82^2)/(9.81*MPM!$F82*(BC81^2))</f>
        <v>0.10384903057860559</v>
      </c>
      <c r="BF81" s="36">
        <f>8.1*((BE81/MPM!$AE82)^(1/6))</f>
        <v>12.417583685642422</v>
      </c>
      <c r="BG81" s="43">
        <f t="shared" si="59"/>
        <v>5.3416961127716791E-8</v>
      </c>
      <c r="BH81" s="38">
        <f>(MPM!$Q82^2)/(9.81*MPM!$F82*(BF81^2))</f>
        <v>0.10384903068955159</v>
      </c>
      <c r="BI81" s="36">
        <f>8.1*((BH81/MPM!$AE82)^(1/6))</f>
        <v>12.417583687853453</v>
      </c>
      <c r="BJ81" s="43">
        <f t="shared" si="60"/>
        <v>1.7805648937677491E-8</v>
      </c>
      <c r="BK81" s="38">
        <f>(MPM!$Q82^2)/(9.81*MPM!$F82*(BI81^2))</f>
        <v>0.10384903065256959</v>
      </c>
      <c r="BL81" s="36">
        <f>8.1*((BK81/MPM!$AE82)^(1/6))</f>
        <v>12.417583687116442</v>
      </c>
      <c r="BM81" s="43">
        <f t="shared" si="61"/>
        <v>5.9352163129114317E-9</v>
      </c>
      <c r="BN81" s="43">
        <f t="shared" si="62"/>
        <v>3.5611310536709728E-8</v>
      </c>
    </row>
    <row r="82" spans="1:66">
      <c r="A82" s="36">
        <f>MPM!B83</f>
        <v>78</v>
      </c>
      <c r="B82" s="41">
        <f>1/(MPM!AC83^0.5)</f>
        <v>16.868617263508021</v>
      </c>
      <c r="C82" s="38">
        <f>(MPM!$Q83^2)/(9.81*MPM!$F83*(Sheet1!B82^2))</f>
        <v>5.4029667413025353E-2</v>
      </c>
      <c r="D82" s="36">
        <f>8.1*((C82/MPM!$AE83)^(1/6))</f>
        <v>11.136329443159683</v>
      </c>
      <c r="E82" s="41">
        <f t="shared" si="41"/>
        <v>51.473762962977951</v>
      </c>
      <c r="F82" s="38">
        <f>(MPM!$Q83^2)/(9.81*MPM!$F83*(D82^2))</f>
        <v>0.12396729448232539</v>
      </c>
      <c r="G82" s="36">
        <f>8.1*((F82/MPM!$AE83)^(1/6))</f>
        <v>12.789528721669372</v>
      </c>
      <c r="H82" s="43">
        <f t="shared" si="42"/>
        <v>12.92619387693828</v>
      </c>
      <c r="I82" s="38">
        <f>(MPM!$Q83^2)/(9.81*MPM!$F83*(G82^2))</f>
        <v>9.3990114812743511E-2</v>
      </c>
      <c r="J82" s="36">
        <f>8.1*((I82/MPM!$AE83)^(1/6))</f>
        <v>12.212850787424577</v>
      </c>
      <c r="K82" s="43">
        <f t="shared" si="43"/>
        <v>4.7218945378305417</v>
      </c>
      <c r="L82" s="38">
        <f>(MPM!$Q83^2)/(9.81*MPM!$F83*(J82^2))</f>
        <v>0.10307590607478058</v>
      </c>
      <c r="M82" s="36">
        <f>8.1*((L82/MPM!$AE83)^(1/6))</f>
        <v>12.402128150156965</v>
      </c>
      <c r="N82" s="43">
        <f t="shared" si="44"/>
        <v>1.526168415942333</v>
      </c>
      <c r="O82" s="38">
        <f>(MPM!$Q83^2)/(9.81*MPM!$F83*(M82^2))</f>
        <v>9.9953690566176839E-2</v>
      </c>
      <c r="P82" s="36">
        <f>8.1*((O82/MPM!$AE83)^(1/6))</f>
        <v>12.338711980831315</v>
      </c>
      <c r="Q82" s="43">
        <f t="shared" si="45"/>
        <v>0.51396101492740975</v>
      </c>
      <c r="R82" s="38">
        <f>(MPM!$Q83^2)/(9.81*MPM!$F83*(P82^2))</f>
        <v>0.100983776907117</v>
      </c>
      <c r="S82" s="36">
        <f>8.1*((R82/MPM!$AE83)^(1/6))</f>
        <v>12.359814592060847</v>
      </c>
      <c r="T82" s="43">
        <f t="shared" si="46"/>
        <v>0.17073566170714888</v>
      </c>
      <c r="U82" s="38">
        <f>(MPM!$Q83^2)/(9.81*MPM!$F83*(S82^2))</f>
        <v>0.10063924064211555</v>
      </c>
      <c r="V82" s="36">
        <f>8.1*((U82/MPM!$AE83)^(1/6))</f>
        <v>12.352776381217986</v>
      </c>
      <c r="W82" s="43">
        <f t="shared" si="47"/>
        <v>5.697675263969345E-2</v>
      </c>
      <c r="X82" s="38">
        <f>(MPM!$Q83^2)/(9.81*MPM!$F83*(V82^2))</f>
        <v>0.10075395525553713</v>
      </c>
      <c r="Y82" s="36">
        <f>8.1*((X82/MPM!$AE83)^(1/6))</f>
        <v>12.355122006068372</v>
      </c>
      <c r="Z82" s="43">
        <f t="shared" si="48"/>
        <v>1.8985039963462135E-2</v>
      </c>
      <c r="AA82" s="38">
        <f>(MPM!$Q83^2)/(9.81*MPM!$F83*(Y82^2))</f>
        <v>0.10071570252968942</v>
      </c>
      <c r="AB82" s="36">
        <f>8.1*((AA82/MPM!$AE83)^(1/6))</f>
        <v>12.354340081633268</v>
      </c>
      <c r="AC82" s="43">
        <f t="shared" si="49"/>
        <v>6.3291477321952951E-3</v>
      </c>
      <c r="AD82" s="38">
        <f>(MPM!$Q83^2)/(9.81*MPM!$F83*(AB82^2))</f>
        <v>0.10072845182434274</v>
      </c>
      <c r="AE82" s="36">
        <f>8.1*((AD82/MPM!$AE83)^(1/6))</f>
        <v>12.354600717613033</v>
      </c>
      <c r="AF82" s="43">
        <f t="shared" si="50"/>
        <v>2.1096268970805122E-3</v>
      </c>
      <c r="AG82" s="38">
        <f>(MPM!$Q83^2)/(9.81*MPM!$F83*(AE82^2))</f>
        <v>0.10072420188014682</v>
      </c>
      <c r="AH82" s="36">
        <f>8.1*((AG82/MPM!$AE83)^(1/6))</f>
        <v>12.354513838342166</v>
      </c>
      <c r="AI82" s="43">
        <f t="shared" si="51"/>
        <v>7.0321885591020082E-4</v>
      </c>
      <c r="AJ82" s="38">
        <f>(MPM!$Q83^2)/(9.81*MPM!$F83*(AH82^2))</f>
        <v>0.10072561850828796</v>
      </c>
      <c r="AK82" s="36">
        <f>8.1*((AJ82/MPM!$AE83)^(1/6))</f>
        <v>12.354542798031238</v>
      </c>
      <c r="AL82" s="43">
        <f t="shared" si="52"/>
        <v>2.3440518637645214E-4</v>
      </c>
      <c r="AM82" s="38">
        <f>(MPM!$Q83^2)/(9.81*MPM!$F83*(AK82^2))</f>
        <v>0.10072514629669381</v>
      </c>
      <c r="AN82" s="36">
        <f>8.1*((AM82/MPM!$AE83)^(1/6))</f>
        <v>12.354533144794006</v>
      </c>
      <c r="AO82" s="43">
        <f t="shared" si="53"/>
        <v>7.8135184216619616E-5</v>
      </c>
      <c r="AP82" s="38">
        <f>(MPM!$Q83^2)/(9.81*MPM!$F83*(AN82^2))</f>
        <v>0.10072530370031253</v>
      </c>
      <c r="AQ82" s="36">
        <f>8.1*((AP82/MPM!$AE83)^(1/6))</f>
        <v>12.354536362538912</v>
      </c>
      <c r="AR82" s="43">
        <f t="shared" si="54"/>
        <v>2.6045047840385369E-5</v>
      </c>
      <c r="AS82" s="38">
        <f>(MPM!$Q83^2)/(9.81*MPM!$F83*(AQ82^2))</f>
        <v>0.10072525123241229</v>
      </c>
      <c r="AT82" s="36">
        <f>8.1*((AS82/MPM!$AE83)^(1/6))</f>
        <v>12.354535289957184</v>
      </c>
      <c r="AU82" s="43">
        <f t="shared" si="55"/>
        <v>8.6816841196359328E-6</v>
      </c>
      <c r="AV82" s="38">
        <f>(MPM!$Q83^2)/(9.81*MPM!$F83*(AT82^2))</f>
        <v>0.10072526872170932</v>
      </c>
      <c r="AW82" s="36">
        <f>8.1*((AV82/MPM!$AE83)^(1/6))</f>
        <v>12.354535647484417</v>
      </c>
      <c r="AX82" s="43">
        <f t="shared" si="56"/>
        <v>2.8938945413227208E-6</v>
      </c>
      <c r="AY82" s="38">
        <f>(MPM!$Q83^2)/(9.81*MPM!$F83*(AW82^2))</f>
        <v>0.10072526289194329</v>
      </c>
      <c r="AZ82" s="36">
        <f>8.1*((AY82/MPM!$AE83)^(1/6))</f>
        <v>12.35453552830867</v>
      </c>
      <c r="BA82" s="43">
        <f t="shared" si="57"/>
        <v>9.646315422502812E-7</v>
      </c>
      <c r="BB82" s="38">
        <f>(MPM!$Q83^2)/(9.81*MPM!$F83*(AZ82^2))</f>
        <v>0.10072526483519863</v>
      </c>
      <c r="BC82" s="36">
        <f>8.1*((BB82/MPM!$AE83)^(1/6))</f>
        <v>12.354535568033919</v>
      </c>
      <c r="BD82" s="43">
        <f t="shared" si="58"/>
        <v>3.2154384638285596E-7</v>
      </c>
      <c r="BE82" s="38">
        <f>(MPM!$Q83^2)/(9.81*MPM!$F83*(BC82^2))</f>
        <v>0.10072526418744683</v>
      </c>
      <c r="BF82" s="36">
        <f>8.1*((BE82/MPM!$AE83)^(1/6))</f>
        <v>12.354535554792168</v>
      </c>
      <c r="BG82" s="43">
        <f t="shared" si="59"/>
        <v>1.0718129182794746E-7</v>
      </c>
      <c r="BH82" s="38">
        <f>(MPM!$Q83^2)/(9.81*MPM!$F83*(BF82^2))</f>
        <v>0.10072526440336413</v>
      </c>
      <c r="BI82" s="36">
        <f>8.1*((BH82/MPM!$AE83)^(1/6))</f>
        <v>12.354535559206086</v>
      </c>
      <c r="BJ82" s="43">
        <f t="shared" si="60"/>
        <v>3.5727106848668747E-8</v>
      </c>
      <c r="BK82" s="38">
        <f>(MPM!$Q83^2)/(9.81*MPM!$F83*(BI82^2))</f>
        <v>0.10072526433139167</v>
      </c>
      <c r="BL82" s="36">
        <f>8.1*((BK82/MPM!$AE83)^(1/6))</f>
        <v>12.35453555773478</v>
      </c>
      <c r="BM82" s="43">
        <f t="shared" si="61"/>
        <v>1.1909040410366428E-8</v>
      </c>
      <c r="BN82" s="43">
        <f t="shared" si="62"/>
        <v>7.1454223774640377E-8</v>
      </c>
    </row>
    <row r="83" spans="1:66">
      <c r="A83" s="36">
        <f>MPM!B84</f>
        <v>79</v>
      </c>
      <c r="B83" s="41">
        <f>1/(MPM!AC84^0.5)</f>
        <v>13.499717050487439</v>
      </c>
      <c r="C83" s="38">
        <f>(MPM!$Q84^2)/(9.81*MPM!$F84*(Sheet1!B83^2))</f>
        <v>9.1442296529377229E-2</v>
      </c>
      <c r="D83" s="36">
        <f>8.1*((C83/MPM!$AE84)^(1/6))</f>
        <v>12.157040825848645</v>
      </c>
      <c r="E83" s="41">
        <f t="shared" si="41"/>
        <v>11.044432965824688</v>
      </c>
      <c r="F83" s="38">
        <f>(MPM!$Q84^2)/(9.81*MPM!$F84*(D83^2))</f>
        <v>0.11275627137128566</v>
      </c>
      <c r="G83" s="36">
        <f>8.1*((F83/MPM!$AE84)^(1/6))</f>
        <v>12.589064888992782</v>
      </c>
      <c r="H83" s="43">
        <f t="shared" si="42"/>
        <v>3.4317406968159836</v>
      </c>
      <c r="I83" s="38">
        <f>(MPM!$Q84^2)/(9.81*MPM!$F84*(G83^2))</f>
        <v>0.10515005696973037</v>
      </c>
      <c r="J83" s="36">
        <f>8.1*((I83/MPM!$AE84)^(1/6))</f>
        <v>12.443377396879898</v>
      </c>
      <c r="K83" s="43">
        <f t="shared" si="43"/>
        <v>1.1708034520387898</v>
      </c>
      <c r="L83" s="38">
        <f>(MPM!$Q84^2)/(9.81*MPM!$F84*(J83^2))</f>
        <v>0.10762667173048995</v>
      </c>
      <c r="M83" s="36">
        <f>8.1*((L83/MPM!$AE84)^(1/6))</f>
        <v>12.491751593662785</v>
      </c>
      <c r="N83" s="43">
        <f t="shared" si="44"/>
        <v>0.38724910930368234</v>
      </c>
      <c r="O83" s="38">
        <f>(MPM!$Q84^2)/(9.81*MPM!$F84*(M83^2))</f>
        <v>0.10679471906491497</v>
      </c>
      <c r="P83" s="36">
        <f>8.1*((O83/MPM!$AE84)^(1/6))</f>
        <v>12.475606002212331</v>
      </c>
      <c r="Q83" s="43">
        <f t="shared" si="45"/>
        <v>0.12941729201444443</v>
      </c>
      <c r="R83" s="38">
        <f>(MPM!$Q84^2)/(9.81*MPM!$F84*(P83^2))</f>
        <v>0.10707131960048935</v>
      </c>
      <c r="S83" s="36">
        <f>8.1*((R83/MPM!$AE84)^(1/6))</f>
        <v>12.480985546009499</v>
      </c>
      <c r="T83" s="43">
        <f t="shared" si="46"/>
        <v>4.310191512791739E-2</v>
      </c>
      <c r="U83" s="38">
        <f>(MPM!$Q84^2)/(9.81*MPM!$F84*(S83^2))</f>
        <v>0.10697903991333127</v>
      </c>
      <c r="V83" s="36">
        <f>8.1*((U83/MPM!$AE84)^(1/6))</f>
        <v>12.479192107050244</v>
      </c>
      <c r="W83" s="43">
        <f t="shared" si="47"/>
        <v>1.4371434816221359E-2</v>
      </c>
      <c r="X83" s="38">
        <f>(MPM!$Q84^2)/(9.81*MPM!$F84*(V83^2))</f>
        <v>0.10700979096883277</v>
      </c>
      <c r="Y83" s="36">
        <f>8.1*((X83/MPM!$AE84)^(1/6))</f>
        <v>12.479789891400847</v>
      </c>
      <c r="Z83" s="43">
        <f t="shared" si="48"/>
        <v>4.7900193497247365E-3</v>
      </c>
      <c r="AA83" s="38">
        <f>(MPM!$Q84^2)/(9.81*MPM!$F84*(Y83^2))</f>
        <v>0.10699953963497208</v>
      </c>
      <c r="AB83" s="36">
        <f>8.1*((AA83/MPM!$AE84)^(1/6))</f>
        <v>12.479590626769006</v>
      </c>
      <c r="AC83" s="43">
        <f t="shared" si="49"/>
        <v>1.5967241057799758E-3</v>
      </c>
      <c r="AD83" s="38">
        <f>(MPM!$Q84^2)/(9.81*MPM!$F84*(AB83^2))</f>
        <v>0.10700295663713677</v>
      </c>
      <c r="AE83" s="36">
        <f>8.1*((AD83/MPM!$AE84)^(1/6))</f>
        <v>12.479657047959435</v>
      </c>
      <c r="AF83" s="43">
        <f t="shared" si="50"/>
        <v>5.3223570305977787E-4</v>
      </c>
      <c r="AG83" s="38">
        <f>(MPM!$Q84^2)/(9.81*MPM!$F84*(AE83^2))</f>
        <v>0.10700181762429077</v>
      </c>
      <c r="AH83" s="36">
        <f>8.1*((AG83/MPM!$AE84)^(1/6))</f>
        <v>12.479634907523346</v>
      </c>
      <c r="AI83" s="43">
        <f t="shared" si="51"/>
        <v>1.7741253051881508E-4</v>
      </c>
      <c r="AJ83" s="38">
        <f>(MPM!$Q84^2)/(9.81*MPM!$F84*(AH83^2))</f>
        <v>0.10700219729389228</v>
      </c>
      <c r="AK83" s="36">
        <f>8.1*((AJ83/MPM!$AE84)^(1/6))</f>
        <v>12.479642287664342</v>
      </c>
      <c r="AL83" s="43">
        <f t="shared" si="52"/>
        <v>5.9137440208522229E-5</v>
      </c>
      <c r="AM83" s="38">
        <f>(MPM!$Q84^2)/(9.81*MPM!$F84*(AK83^2))</f>
        <v>0.10700207073720878</v>
      </c>
      <c r="AN83" s="36">
        <f>8.1*((AM83/MPM!$AE84)^(1/6))</f>
        <v>12.479639827616861</v>
      </c>
      <c r="AO83" s="43">
        <f t="shared" si="53"/>
        <v>1.9712487822241657E-5</v>
      </c>
      <c r="AP83" s="38">
        <f>(MPM!$Q84^2)/(9.81*MPM!$F84*(AN83^2))</f>
        <v>0.10700211292275327</v>
      </c>
      <c r="AQ83" s="36">
        <f>8.1*((AP83/MPM!$AE84)^(1/6))</f>
        <v>12.479640647632634</v>
      </c>
      <c r="AR83" s="43">
        <f t="shared" si="54"/>
        <v>6.5708284058121253E-6</v>
      </c>
      <c r="AS83" s="38">
        <f>(MPM!$Q84^2)/(9.81*MPM!$F84*(AQ83^2))</f>
        <v>0.10700209886090328</v>
      </c>
      <c r="AT83" s="36">
        <f>8.1*((AS83/MPM!$AE84)^(1/6))</f>
        <v>12.479640374294036</v>
      </c>
      <c r="AU83" s="43">
        <f t="shared" si="55"/>
        <v>2.1902762401799608E-6</v>
      </c>
      <c r="AV83" s="38">
        <f>(MPM!$Q84^2)/(9.81*MPM!$F84*(AT83^2))</f>
        <v>0.10700210354818643</v>
      </c>
      <c r="AW83" s="36">
        <f>8.1*((AV83/MPM!$AE84)^(1/6))</f>
        <v>12.479640465406902</v>
      </c>
      <c r="AX83" s="43">
        <f t="shared" si="56"/>
        <v>7.3009207947432211E-7</v>
      </c>
      <c r="AY83" s="38">
        <f>(MPM!$Q84^2)/(9.81*MPM!$F84*(AW83^2))</f>
        <v>0.10700210198575867</v>
      </c>
      <c r="AZ83" s="36">
        <f>8.1*((AY83/MPM!$AE84)^(1/6))</f>
        <v>12.479640435035945</v>
      </c>
      <c r="BA83" s="43">
        <f t="shared" si="57"/>
        <v>2.4336404131773982E-7</v>
      </c>
      <c r="BB83" s="38">
        <f>(MPM!$Q84^2)/(9.81*MPM!$F84*(AZ83^2))</f>
        <v>0.10700210250656796</v>
      </c>
      <c r="BC83" s="36">
        <f>8.1*((BB83/MPM!$AE84)^(1/6))</f>
        <v>12.479640445159598</v>
      </c>
      <c r="BD83" s="43">
        <f t="shared" si="58"/>
        <v>8.1121351784786089E-8</v>
      </c>
      <c r="BE83" s="38">
        <f>(MPM!$Q84^2)/(9.81*MPM!$F84*(BC83^2))</f>
        <v>0.10700210233296485</v>
      </c>
      <c r="BF83" s="36">
        <f>8.1*((BE83/MPM!$AE84)^(1/6))</f>
        <v>12.479640441785047</v>
      </c>
      <c r="BG83" s="43">
        <f t="shared" si="59"/>
        <v>2.7040445857561016E-8</v>
      </c>
      <c r="BH83" s="38">
        <f>(MPM!$Q84^2)/(9.81*MPM!$F84*(BF83^2))</f>
        <v>0.10700210239083253</v>
      </c>
      <c r="BI83" s="36">
        <f>8.1*((BH83/MPM!$AE84)^(1/6))</f>
        <v>12.479640442909897</v>
      </c>
      <c r="BJ83" s="43">
        <f t="shared" si="60"/>
        <v>9.0134772070283726E-9</v>
      </c>
      <c r="BK83" s="38">
        <f>(MPM!$Q84^2)/(9.81*MPM!$F84*(BI83^2))</f>
        <v>0.10700210237154331</v>
      </c>
      <c r="BL83" s="36">
        <f>8.1*((BK83/MPM!$AE84)^(1/6))</f>
        <v>12.479640442534947</v>
      </c>
      <c r="BM83" s="43">
        <f t="shared" si="61"/>
        <v>3.0044924024330605E-9</v>
      </c>
      <c r="BN83" s="43">
        <f t="shared" si="62"/>
        <v>1.8026957012187139E-8</v>
      </c>
    </row>
    <row r="84" spans="1:66">
      <c r="A84" s="36">
        <f>MPM!B85</f>
        <v>80</v>
      </c>
      <c r="B84" s="41">
        <f>1/(MPM!AC85^0.5)</f>
        <v>12.880824806174047</v>
      </c>
      <c r="C84" s="38">
        <f>(MPM!$Q85^2)/(9.81*MPM!$F85*(Sheet1!B84^2))</f>
        <v>0.14280743102906618</v>
      </c>
      <c r="D84" s="36">
        <f>8.1*((C84/MPM!$AE85)^(1/6))</f>
        <v>13.09468800923656</v>
      </c>
      <c r="E84" s="41">
        <f t="shared" si="41"/>
        <v>1.6332057923920025</v>
      </c>
      <c r="F84" s="38">
        <f>(MPM!$Q85^2)/(9.81*MPM!$F85*(D84^2))</f>
        <v>0.13818084445749329</v>
      </c>
      <c r="G84" s="36">
        <f>8.1*((F84/MPM!$AE85)^(1/6))</f>
        <v>13.023008622976228</v>
      </c>
      <c r="H84" s="43">
        <f t="shared" si="42"/>
        <v>0.5504057344619222</v>
      </c>
      <c r="I84" s="38">
        <f>(MPM!$Q85^2)/(9.81*MPM!$F85*(G84^2))</f>
        <v>0.1397061411810771</v>
      </c>
      <c r="J84" s="36">
        <f>8.1*((I84/MPM!$AE85)^(1/6))</f>
        <v>13.046858048899509</v>
      </c>
      <c r="K84" s="43">
        <f t="shared" si="43"/>
        <v>0.18279823260047315</v>
      </c>
      <c r="L84" s="38">
        <f>(MPM!$Q85^2)/(9.81*MPM!$F85*(J84^2))</f>
        <v>0.13919584729802928</v>
      </c>
      <c r="M84" s="36">
        <f>8.1*((L84/MPM!$AE85)^(1/6))</f>
        <v>13.038903391296506</v>
      </c>
      <c r="N84" s="43">
        <f t="shared" si="44"/>
        <v>6.1007105922057117E-2</v>
      </c>
      <c r="O84" s="38">
        <f>(MPM!$Q85^2)/(9.81*MPM!$F85*(M84^2))</f>
        <v>0.13936573782087242</v>
      </c>
      <c r="P84" s="36">
        <f>8.1*((O84/MPM!$AE85)^(1/6))</f>
        <v>13.041554404801701</v>
      </c>
      <c r="Q84" s="43">
        <f t="shared" si="45"/>
        <v>2.0327435081046036E-2</v>
      </c>
      <c r="R84" s="38">
        <f>(MPM!$Q85^2)/(9.81*MPM!$F85*(P84^2))</f>
        <v>0.13930908461976751</v>
      </c>
      <c r="S84" s="36">
        <f>8.1*((R84/MPM!$AE85)^(1/6))</f>
        <v>13.040670673750645</v>
      </c>
      <c r="T84" s="43">
        <f t="shared" si="46"/>
        <v>6.7767300713678048E-3</v>
      </c>
      <c r="U84" s="38">
        <f>(MPM!$Q85^2)/(9.81*MPM!$F85*(S84^2))</f>
        <v>0.13932796646079071</v>
      </c>
      <c r="V84" s="36">
        <f>8.1*((U84/MPM!$AE85)^(1/6))</f>
        <v>13.040965244113686</v>
      </c>
      <c r="W84" s="43">
        <f t="shared" si="47"/>
        <v>2.2588079756868619E-3</v>
      </c>
      <c r="X84" s="38">
        <f>(MPM!$Q85^2)/(9.81*MPM!$F85*(V84^2))</f>
        <v>0.13932167222944122</v>
      </c>
      <c r="Y84" s="36">
        <f>8.1*((X84/MPM!$AE85)^(1/6))</f>
        <v>13.040867053253352</v>
      </c>
      <c r="Z84" s="43">
        <f t="shared" si="48"/>
        <v>7.529473303598403E-4</v>
      </c>
      <c r="AA84" s="38">
        <f>(MPM!$Q85^2)/(9.81*MPM!$F85*(Y84^2))</f>
        <v>0.13932377027496312</v>
      </c>
      <c r="AB84" s="36">
        <f>8.1*((AA84/MPM!$AE85)^(1/6))</f>
        <v>13.040899783457984</v>
      </c>
      <c r="AC84" s="43">
        <f t="shared" si="49"/>
        <v>2.509811836252334E-4</v>
      </c>
      <c r="AD84" s="38">
        <f>(MPM!$Q85^2)/(9.81*MPM!$F85*(AB84^2))</f>
        <v>0.13932307092294535</v>
      </c>
      <c r="AE84" s="36">
        <f>8.1*((AD84/MPM!$AE85)^(1/6))</f>
        <v>13.040888873380645</v>
      </c>
      <c r="AF84" s="43">
        <f t="shared" si="50"/>
        <v>8.3660534533057339E-5</v>
      </c>
      <c r="AG84" s="38">
        <f>(MPM!$Q85^2)/(9.81*MPM!$F85*(AE84^2))</f>
        <v>0.13932330403989457</v>
      </c>
      <c r="AH84" s="36">
        <f>8.1*((AG84/MPM!$AE85)^(1/6))</f>
        <v>13.040892510072078</v>
      </c>
      <c r="AI84" s="43">
        <f t="shared" si="51"/>
        <v>2.7886829298836576E-5</v>
      </c>
      <c r="AJ84" s="38">
        <f>(MPM!$Q85^2)/(9.81*MPM!$F85*(AH84^2))</f>
        <v>0.13932322633420147</v>
      </c>
      <c r="AK84" s="36">
        <f>8.1*((AJ84/MPM!$AE85)^(1/6))</f>
        <v>13.040891297841489</v>
      </c>
      <c r="AL84" s="43">
        <f t="shared" si="52"/>
        <v>9.2956114885131823E-6</v>
      </c>
      <c r="AM84" s="38">
        <f>(MPM!$Q85^2)/(9.81*MPM!$F85*(AK84^2))</f>
        <v>0.13932325223609432</v>
      </c>
      <c r="AN84" s="36">
        <f>8.1*((AM84/MPM!$AE85)^(1/6))</f>
        <v>13.040891701918339</v>
      </c>
      <c r="AO84" s="43">
        <f t="shared" si="53"/>
        <v>3.0985369669378701E-6</v>
      </c>
      <c r="AP84" s="38">
        <f>(MPM!$Q85^2)/(9.81*MPM!$F85*(AN84^2))</f>
        <v>0.1393232436021295</v>
      </c>
      <c r="AQ84" s="36">
        <f>8.1*((AP84/MPM!$AE85)^(1/6))</f>
        <v>13.040891567226053</v>
      </c>
      <c r="AR84" s="43">
        <f t="shared" si="54"/>
        <v>1.0328456844755747E-6</v>
      </c>
      <c r="AS84" s="38">
        <f>(MPM!$Q85^2)/(9.81*MPM!$F85*(AQ84^2))</f>
        <v>0.13932324648011779</v>
      </c>
      <c r="AT84" s="36">
        <f>8.1*((AS84/MPM!$AE85)^(1/6))</f>
        <v>13.040891612123481</v>
      </c>
      <c r="AU84" s="43">
        <f t="shared" si="55"/>
        <v>3.4428188909941232E-7</v>
      </c>
      <c r="AV84" s="38">
        <f>(MPM!$Q85^2)/(9.81*MPM!$F85*(AT84^2))</f>
        <v>0.13932324552078834</v>
      </c>
      <c r="AW84" s="36">
        <f>8.1*((AV84/MPM!$AE85)^(1/6))</f>
        <v>13.040891597157673</v>
      </c>
      <c r="AX84" s="43">
        <f t="shared" si="56"/>
        <v>1.1476062075054609E-7</v>
      </c>
      <c r="AY84" s="38">
        <f>(MPM!$Q85^2)/(9.81*MPM!$F85*(AW84^2))</f>
        <v>0.1393232458405648</v>
      </c>
      <c r="AZ84" s="36">
        <f>8.1*((AY84/MPM!$AE85)^(1/6))</f>
        <v>13.040891602146276</v>
      </c>
      <c r="BA84" s="43">
        <f t="shared" si="57"/>
        <v>3.825354477602771E-8</v>
      </c>
      <c r="BB84" s="38">
        <f>(MPM!$Q85^2)/(9.81*MPM!$F85*(AZ84^2))</f>
        <v>0.13932324573397264</v>
      </c>
      <c r="BC84" s="36">
        <f>8.1*((BB84/MPM!$AE85)^(1/6))</f>
        <v>13.040891600483409</v>
      </c>
      <c r="BD84" s="43">
        <f t="shared" si="58"/>
        <v>1.2751177053156148E-8</v>
      </c>
      <c r="BE84" s="38">
        <f>(MPM!$Q85^2)/(9.81*MPM!$F85*(BC84^2))</f>
        <v>0.13932324576950336</v>
      </c>
      <c r="BF84" s="36">
        <f>8.1*((BE84/MPM!$AE85)^(1/6))</f>
        <v>13.040891601037696</v>
      </c>
      <c r="BG84" s="43">
        <f t="shared" si="59"/>
        <v>4.2503787294343477E-9</v>
      </c>
      <c r="BH84" s="38">
        <f>(MPM!$Q85^2)/(9.81*MPM!$F85*(BF84^2))</f>
        <v>0.13932324575765984</v>
      </c>
      <c r="BI84" s="36">
        <f>8.1*((BH84/MPM!$AE85)^(1/6))</f>
        <v>13.040891600852936</v>
      </c>
      <c r="BJ84" s="43">
        <f t="shared" si="60"/>
        <v>1.4167792883944779E-9</v>
      </c>
      <c r="BK84" s="38">
        <f>(MPM!$Q85^2)/(9.81*MPM!$F85*(BI84^2))</f>
        <v>0.13932324576160762</v>
      </c>
      <c r="BL84" s="36">
        <f>8.1*((BK84/MPM!$AE85)^(1/6))</f>
        <v>13.04089160091452</v>
      </c>
      <c r="BM84" s="43">
        <f t="shared" si="61"/>
        <v>4.7224160087987037E-10</v>
      </c>
      <c r="BN84" s="43">
        <f t="shared" si="62"/>
        <v>2.8335447688810795E-9</v>
      </c>
    </row>
    <row r="85" spans="1:66">
      <c r="A85" s="36">
        <f>MPM!B86</f>
        <v>81</v>
      </c>
      <c r="B85" s="41">
        <f>1/(MPM!AC86^0.5)</f>
        <v>13.227831950585321</v>
      </c>
      <c r="C85" s="38">
        <f>(MPM!$Q86^2)/(9.81*MPM!$F86*(Sheet1!B85^2))</f>
        <v>0.11770165700369446</v>
      </c>
      <c r="D85" s="36">
        <f>8.1*((C85/MPM!$AE86)^(1/6))</f>
        <v>12.679451024308904</v>
      </c>
      <c r="E85" s="41">
        <f t="shared" si="41"/>
        <v>4.3249579593396223</v>
      </c>
      <c r="F85" s="38">
        <f>(MPM!$Q86^2)/(9.81*MPM!$F86*(D85^2))</f>
        <v>0.1281029153949651</v>
      </c>
      <c r="G85" s="36">
        <f>8.1*((F85/MPM!$AE86)^(1/6))</f>
        <v>12.859670965935205</v>
      </c>
      <c r="H85" s="43">
        <f t="shared" si="42"/>
        <v>1.401435091952955</v>
      </c>
      <c r="I85" s="38">
        <f>(MPM!$Q86^2)/(9.81*MPM!$F86*(G85^2))</f>
        <v>0.12453751664749516</v>
      </c>
      <c r="J85" s="36">
        <f>8.1*((I85/MPM!$AE86)^(1/6))</f>
        <v>12.799314817022463</v>
      </c>
      <c r="K85" s="43">
        <f t="shared" si="43"/>
        <v>0.47155765582444686</v>
      </c>
      <c r="L85" s="38">
        <f>(MPM!$Q86^2)/(9.81*MPM!$F86*(J85^2))</f>
        <v>0.12571481833444345</v>
      </c>
      <c r="M85" s="36">
        <f>8.1*((L85/MPM!$AE86)^(1/6))</f>
        <v>12.819401992131704</v>
      </c>
      <c r="N85" s="43">
        <f t="shared" si="44"/>
        <v>0.15669354250354411</v>
      </c>
      <c r="O85" s="38">
        <f>(MPM!$Q86^2)/(9.81*MPM!$F86*(M85^2))</f>
        <v>0.12532115299575536</v>
      </c>
      <c r="P85" s="36">
        <f>8.1*((O85/MPM!$AE86)^(1/6))</f>
        <v>12.812702766791423</v>
      </c>
      <c r="Q85" s="43">
        <f t="shared" si="45"/>
        <v>5.2285809342617881E-2</v>
      </c>
      <c r="R85" s="38">
        <f>(MPM!$Q86^2)/(9.81*MPM!$F86*(P85^2))</f>
        <v>0.12545223761436824</v>
      </c>
      <c r="S85" s="36">
        <f>8.1*((R85/MPM!$AE86)^(1/6))</f>
        <v>12.814935452824065</v>
      </c>
      <c r="T85" s="43">
        <f t="shared" si="46"/>
        <v>1.7422530459562883E-2</v>
      </c>
      <c r="U85" s="38">
        <f>(MPM!$Q86^2)/(9.81*MPM!$F86*(S85^2))</f>
        <v>0.12540852751378162</v>
      </c>
      <c r="V85" s="36">
        <f>8.1*((U85/MPM!$AE86)^(1/6))</f>
        <v>12.814191180921176</v>
      </c>
      <c r="W85" s="43">
        <f t="shared" si="47"/>
        <v>5.8081847881032095E-3</v>
      </c>
      <c r="X85" s="38">
        <f>(MPM!$Q86^2)/(9.81*MPM!$F86*(V85^2))</f>
        <v>0.12542309585488348</v>
      </c>
      <c r="Y85" s="36">
        <f>8.1*((X85/MPM!$AE86)^(1/6))</f>
        <v>12.814439266752441</v>
      </c>
      <c r="Z85" s="43">
        <f t="shared" si="48"/>
        <v>1.935986632739027E-3</v>
      </c>
      <c r="AA85" s="38">
        <f>(MPM!$Q86^2)/(9.81*MPM!$F86*(Y85^2))</f>
        <v>0.1254182395531524</v>
      </c>
      <c r="AB85" s="36">
        <f>8.1*((AA85/MPM!$AE86)^(1/6))</f>
        <v>12.81435657094169</v>
      </c>
      <c r="AC85" s="43">
        <f t="shared" si="49"/>
        <v>6.4533720669042644E-4</v>
      </c>
      <c r="AD85" s="38">
        <f>(MPM!$Q86^2)/(9.81*MPM!$F86*(AB85^2))</f>
        <v>0.1254198582995032</v>
      </c>
      <c r="AE85" s="36">
        <f>8.1*((AD85/MPM!$AE86)^(1/6))</f>
        <v>12.814384136152643</v>
      </c>
      <c r="AF85" s="43">
        <f t="shared" si="50"/>
        <v>2.1511147675962422E-4</v>
      </c>
      <c r="AG85" s="38">
        <f>(MPM!$Q86^2)/(9.81*MPM!$F86*(AE85^2))</f>
        <v>0.12541931871506487</v>
      </c>
      <c r="AH85" s="36">
        <f>8.1*((AG85/MPM!$AE86)^(1/6))</f>
        <v>12.814374947742404</v>
      </c>
      <c r="AI85" s="43">
        <f t="shared" si="51"/>
        <v>7.1703928411354198E-5</v>
      </c>
      <c r="AJ85" s="38">
        <f>(MPM!$Q86^2)/(9.81*MPM!$F86*(AH85^2))</f>
        <v>0.12541949857628637</v>
      </c>
      <c r="AK85" s="36">
        <f>8.1*((AJ85/MPM!$AE86)^(1/6))</f>
        <v>12.814378010545084</v>
      </c>
      <c r="AL85" s="43">
        <f t="shared" si="52"/>
        <v>2.3901298037253457E-5</v>
      </c>
      <c r="AM85" s="38">
        <f>(MPM!$Q86^2)/(9.81*MPM!$F86*(AK85^2))</f>
        <v>0.12541943862251723</v>
      </c>
      <c r="AN85" s="36">
        <f>8.1*((AM85/MPM!$AE86)^(1/6))</f>
        <v>12.814376989610777</v>
      </c>
      <c r="AO85" s="43">
        <f t="shared" si="53"/>
        <v>7.967100613539249E-6</v>
      </c>
      <c r="AP85" s="38">
        <f>(MPM!$Q86^2)/(9.81*MPM!$F86*(AN85^2))</f>
        <v>0.12541945860710374</v>
      </c>
      <c r="AQ85" s="36">
        <f>8.1*((AP85/MPM!$AE86)^(1/6))</f>
        <v>12.814377329922204</v>
      </c>
      <c r="AR85" s="43">
        <f t="shared" si="54"/>
        <v>2.6557000646745644E-6</v>
      </c>
      <c r="AS85" s="38">
        <f>(MPM!$Q86^2)/(9.81*MPM!$F86*(AQ85^2))</f>
        <v>0.12541945194557455</v>
      </c>
      <c r="AT85" s="36">
        <f>8.1*((AS85/MPM!$AE86)^(1/6))</f>
        <v>12.814377216485061</v>
      </c>
      <c r="AU85" s="43">
        <f t="shared" si="55"/>
        <v>8.8523336272790243E-7</v>
      </c>
      <c r="AV85" s="38">
        <f>(MPM!$Q86^2)/(9.81*MPM!$F86*(AT85^2))</f>
        <v>0.12541945416608422</v>
      </c>
      <c r="AW85" s="36">
        <f>8.1*((AV85/MPM!$AE86)^(1/6))</f>
        <v>12.814377254297442</v>
      </c>
      <c r="AX85" s="43">
        <f t="shared" si="56"/>
        <v>2.9507778670525846E-7</v>
      </c>
      <c r="AY85" s="38">
        <f>(MPM!$Q86^2)/(9.81*MPM!$F86*(AW85^2))</f>
        <v>0.12541945342591432</v>
      </c>
      <c r="AZ85" s="36">
        <f>8.1*((AY85/MPM!$AE86)^(1/6))</f>
        <v>12.814377241693315</v>
      </c>
      <c r="BA85" s="43">
        <f t="shared" si="57"/>
        <v>9.8359266952570764E-8</v>
      </c>
      <c r="BB85" s="38">
        <f>(MPM!$Q86^2)/(9.81*MPM!$F86*(AZ85^2))</f>
        <v>0.12541945367263763</v>
      </c>
      <c r="BC85" s="36">
        <f>8.1*((BB85/MPM!$AE86)^(1/6))</f>
        <v>12.81437724589469</v>
      </c>
      <c r="BD85" s="43">
        <f t="shared" si="58"/>
        <v>3.2786417686034944E-8</v>
      </c>
      <c r="BE85" s="38">
        <f>(MPM!$Q86^2)/(9.81*MPM!$F86*(BC85^2))</f>
        <v>0.12541945359039655</v>
      </c>
      <c r="BF85" s="36">
        <f>8.1*((BE85/MPM!$AE86)^(1/6))</f>
        <v>12.814377244494231</v>
      </c>
      <c r="BG85" s="43">
        <f t="shared" si="59"/>
        <v>1.0928805896539368E-8</v>
      </c>
      <c r="BH85" s="38">
        <f>(MPM!$Q86^2)/(9.81*MPM!$F86*(BF85^2))</f>
        <v>0.12541945361781023</v>
      </c>
      <c r="BI85" s="36">
        <f>8.1*((BH85/MPM!$AE86)^(1/6))</f>
        <v>12.814377244961053</v>
      </c>
      <c r="BJ85" s="43">
        <f t="shared" si="60"/>
        <v>3.6429491609312024E-9</v>
      </c>
      <c r="BK85" s="38">
        <f>(MPM!$Q86^2)/(9.81*MPM!$F86*(BI85^2))</f>
        <v>0.12541945360867229</v>
      </c>
      <c r="BL85" s="36">
        <f>8.1*((BK85/MPM!$AE86)^(1/6))</f>
        <v>12.814377244805444</v>
      </c>
      <c r="BM85" s="43">
        <f t="shared" si="61"/>
        <v>1.2143302492092701E-9</v>
      </c>
      <c r="BN85" s="43">
        <f t="shared" si="62"/>
        <v>7.285903535243943E-9</v>
      </c>
    </row>
    <row r="86" spans="1:66">
      <c r="A86" s="36">
        <f>MPM!B87</f>
        <v>82</v>
      </c>
      <c r="B86" s="41">
        <f>1/(MPM!AC87^0.5)</f>
        <v>12.336711496322573</v>
      </c>
      <c r="C86" s="38">
        <f>(MPM!$Q87^2)/(9.81*MPM!$F87*(Sheet1!B86^2))</f>
        <v>0.17736565231630436</v>
      </c>
      <c r="D86" s="36">
        <f>8.1*((C86/MPM!$AE87)^(1/6))</f>
        <v>13.576305677876418</v>
      </c>
      <c r="E86" s="41">
        <f t="shared" si="41"/>
        <v>9.1305706498186296</v>
      </c>
      <c r="F86" s="38">
        <f>(MPM!$Q87^2)/(9.81*MPM!$F87*(D86^2))</f>
        <v>0.14645530984610772</v>
      </c>
      <c r="G86" s="36">
        <f>8.1*((F86/MPM!$AE87)^(1/6))</f>
        <v>13.149852296352137</v>
      </c>
      <c r="H86" s="43">
        <f t="shared" si="42"/>
        <v>3.2430279208731663</v>
      </c>
      <c r="I86" s="38">
        <f>(MPM!$Q87^2)/(9.81*MPM!$F87*(G86^2))</f>
        <v>0.15610851344516574</v>
      </c>
      <c r="J86" s="36">
        <f>8.1*((I86/MPM!$AE87)^(1/6))</f>
        <v>13.290493857778323</v>
      </c>
      <c r="K86" s="43">
        <f t="shared" si="43"/>
        <v>1.0582117032759839</v>
      </c>
      <c r="L86" s="38">
        <f>(MPM!$Q87^2)/(9.81*MPM!$F87*(J86^2))</f>
        <v>0.15282207754579744</v>
      </c>
      <c r="M86" s="36">
        <f>8.1*((L86/MPM!$AE87)^(1/6))</f>
        <v>13.243446993165904</v>
      </c>
      <c r="N86" s="43">
        <f t="shared" si="44"/>
        <v>0.35524636929265313</v>
      </c>
      <c r="O86" s="38">
        <f>(MPM!$Q87^2)/(9.81*MPM!$F87*(M86^2))</f>
        <v>0.15390979592407275</v>
      </c>
      <c r="P86" s="36">
        <f>8.1*((O86/MPM!$AE87)^(1/6))</f>
        <v>13.259110747680396</v>
      </c>
      <c r="Q86" s="43">
        <f t="shared" si="45"/>
        <v>0.11813578461309737</v>
      </c>
      <c r="R86" s="38">
        <f>(MPM!$Q87^2)/(9.81*MPM!$F87*(P86^2))</f>
        <v>0.15354636563154031</v>
      </c>
      <c r="S86" s="36">
        <f>8.1*((R86/MPM!$AE87)^(1/6))</f>
        <v>13.253887438769615</v>
      </c>
      <c r="T86" s="43">
        <f t="shared" si="46"/>
        <v>3.9409636870021428E-2</v>
      </c>
      <c r="U86" s="38">
        <f>(MPM!$Q87^2)/(9.81*MPM!$F87*(S86^2))</f>
        <v>0.15366741360937042</v>
      </c>
      <c r="V86" s="36">
        <f>8.1*((U86/MPM!$AE87)^(1/6))</f>
        <v>13.255628313069153</v>
      </c>
      <c r="W86" s="43">
        <f t="shared" si="47"/>
        <v>1.3133095304287652E-2</v>
      </c>
      <c r="X86" s="38">
        <f>(MPM!$Q87^2)/(9.81*MPM!$F87*(V86^2))</f>
        <v>0.15362705368403629</v>
      </c>
      <c r="Y86" s="36">
        <f>8.1*((X86/MPM!$AE87)^(1/6))</f>
        <v>13.255047996230712</v>
      </c>
      <c r="Z86" s="43">
        <f t="shared" si="48"/>
        <v>4.3780817587841742E-3</v>
      </c>
      <c r="AA86" s="38">
        <f>(MPM!$Q87^2)/(9.81*MPM!$F87*(Y86^2))</f>
        <v>0.15364050581453029</v>
      </c>
      <c r="AB86" s="36">
        <f>8.1*((AA86/MPM!$AE87)^(1/6))</f>
        <v>13.255241432353955</v>
      </c>
      <c r="AC86" s="43">
        <f t="shared" si="49"/>
        <v>1.4593179930429763E-3</v>
      </c>
      <c r="AD86" s="38">
        <f>(MPM!$Q87^2)/(9.81*MPM!$F87*(AB86^2))</f>
        <v>0.1536360216401578</v>
      </c>
      <c r="AE86" s="36">
        <f>8.1*((AD86/MPM!$AE87)^(1/6))</f>
        <v>13.255176953332555</v>
      </c>
      <c r="AF86" s="43">
        <f t="shared" si="50"/>
        <v>4.864440635338076E-4</v>
      </c>
      <c r="AG86" s="38">
        <f>(MPM!$Q87^2)/(9.81*MPM!$F87*(AE86^2))</f>
        <v>0.15363751635040668</v>
      </c>
      <c r="AH86" s="36">
        <f>8.1*((AG86/MPM!$AE87)^(1/6))</f>
        <v>13.255198446304838</v>
      </c>
      <c r="AI86" s="43">
        <f t="shared" si="51"/>
        <v>1.6214749534512962E-4</v>
      </c>
      <c r="AJ86" s="38">
        <f>(MPM!$Q87^2)/(9.81*MPM!$F87*(AH86^2))</f>
        <v>0.15363701811204128</v>
      </c>
      <c r="AK86" s="36">
        <f>8.1*((AJ86/MPM!$AE87)^(1/6))</f>
        <v>13.25519128197687</v>
      </c>
      <c r="AL86" s="43">
        <f t="shared" si="52"/>
        <v>5.4049223551782714E-5</v>
      </c>
      <c r="AM86" s="38">
        <f>(MPM!$Q87^2)/(9.81*MPM!$F87*(AK86^2))</f>
        <v>0.15363718419131692</v>
      </c>
      <c r="AN86" s="36">
        <f>8.1*((AM86/MPM!$AE87)^(1/6))</f>
        <v>13.255193670085763</v>
      </c>
      <c r="AO86" s="43">
        <f t="shared" si="53"/>
        <v>1.8016401361592157E-5</v>
      </c>
      <c r="AP86" s="38">
        <f>(MPM!$Q87^2)/(9.81*MPM!$F87*(AN86^2))</f>
        <v>0.15363712883153843</v>
      </c>
      <c r="AQ86" s="36">
        <f>8.1*((AP86/MPM!$AE87)^(1/6))</f>
        <v>13.255192874049419</v>
      </c>
      <c r="AR86" s="43">
        <f t="shared" si="54"/>
        <v>6.0054678340857658E-6</v>
      </c>
      <c r="AS86" s="38">
        <f>(MPM!$Q87^2)/(9.81*MPM!$F87*(AQ86^2))</f>
        <v>0.15363714728479566</v>
      </c>
      <c r="AT86" s="36">
        <f>8.1*((AS86/MPM!$AE87)^(1/6))</f>
        <v>13.25519313939486</v>
      </c>
      <c r="AU86" s="43">
        <f t="shared" si="55"/>
        <v>2.0018225221512003E-6</v>
      </c>
      <c r="AV86" s="38">
        <f>(MPM!$Q87^2)/(9.81*MPM!$F87*(AT86^2))</f>
        <v>0.15363714113370971</v>
      </c>
      <c r="AW86" s="36">
        <f>8.1*((AV86/MPM!$AE87)^(1/6))</f>
        <v>13.25519305094638</v>
      </c>
      <c r="AX86" s="43">
        <f t="shared" si="56"/>
        <v>6.6727417850294835E-7</v>
      </c>
      <c r="AY86" s="38">
        <f>(MPM!$Q87^2)/(9.81*MPM!$F87*(AW86^2))</f>
        <v>0.15363714318407165</v>
      </c>
      <c r="AZ86" s="36">
        <f>8.1*((AY86/MPM!$AE87)^(1/6))</f>
        <v>13.255193080429207</v>
      </c>
      <c r="BA86" s="43">
        <f t="shared" si="57"/>
        <v>2.2242472567292185E-7</v>
      </c>
      <c r="BB86" s="38">
        <f>(MPM!$Q87^2)/(9.81*MPM!$F87*(AZ86^2))</f>
        <v>0.15363714250061763</v>
      </c>
      <c r="BC86" s="36">
        <f>8.1*((BB86/MPM!$AE87)^(1/6))</f>
        <v>13.255193070601598</v>
      </c>
      <c r="BD86" s="43">
        <f t="shared" si="58"/>
        <v>7.4141575279277016E-8</v>
      </c>
      <c r="BE86" s="38">
        <f>(MPM!$Q87^2)/(9.81*MPM!$F87*(BC86^2))</f>
        <v>0.15363714272843565</v>
      </c>
      <c r="BF86" s="36">
        <f>8.1*((BE86/MPM!$AE87)^(1/6))</f>
        <v>13.255193073877468</v>
      </c>
      <c r="BG86" s="43">
        <f t="shared" si="59"/>
        <v>2.471386288738938E-8</v>
      </c>
      <c r="BH86" s="38">
        <f>(MPM!$Q87^2)/(9.81*MPM!$F87*(BF86^2))</f>
        <v>0.15363714265249631</v>
      </c>
      <c r="BI86" s="36">
        <f>8.1*((BH86/MPM!$AE87)^(1/6))</f>
        <v>13.255193072785509</v>
      </c>
      <c r="BJ86" s="43">
        <f t="shared" si="60"/>
        <v>8.2379676976894748E-9</v>
      </c>
      <c r="BK86" s="38">
        <f>(MPM!$Q87^2)/(9.81*MPM!$F87*(BI86^2))</f>
        <v>0.15363714267780948</v>
      </c>
      <c r="BL86" s="36">
        <f>8.1*((BK86/MPM!$AE87)^(1/6))</f>
        <v>13.255193073149497</v>
      </c>
      <c r="BM86" s="43">
        <f t="shared" si="61"/>
        <v>2.7460026337021272E-9</v>
      </c>
      <c r="BN86" s="43">
        <f t="shared" si="62"/>
        <v>1.6475943113094952E-8</v>
      </c>
    </row>
    <row r="87" spans="1:66">
      <c r="A87" s="36">
        <f>MPM!B88</f>
        <v>83</v>
      </c>
      <c r="B87" s="41">
        <f>1/(MPM!AC88^0.5)</f>
        <v>11.79327432555635</v>
      </c>
      <c r="C87" s="38">
        <f>(MPM!$Q88^2)/(9.81*MPM!$F88*(Sheet1!B87^2))</f>
        <v>0.19333837482097976</v>
      </c>
      <c r="D87" s="36">
        <f>8.1*((C87/MPM!$AE88)^(1/6))</f>
        <v>13.772825074764468</v>
      </c>
      <c r="E87" s="41">
        <f t="shared" si="41"/>
        <v>14.372873673065003</v>
      </c>
      <c r="F87" s="38">
        <f>(MPM!$Q88^2)/(9.81*MPM!$F88*(D87^2))</f>
        <v>0.14175578850598206</v>
      </c>
      <c r="G87" s="36">
        <f>8.1*((F87/MPM!$AE88)^(1/6))</f>
        <v>13.078566793950314</v>
      </c>
      <c r="H87" s="43">
        <f t="shared" si="42"/>
        <v>5.3083666716087983</v>
      </c>
      <c r="I87" s="38">
        <f>(MPM!$Q88^2)/(9.81*MPM!$F88*(G87^2))</f>
        <v>0.15720507275803738</v>
      </c>
      <c r="J87" s="36">
        <f>8.1*((I87/MPM!$AE88)^(1/6))</f>
        <v>13.306008004448408</v>
      </c>
      <c r="K87" s="43">
        <f t="shared" si="43"/>
        <v>1.7093121424702067</v>
      </c>
      <c r="L87" s="38">
        <f>(MPM!$Q88^2)/(9.81*MPM!$F88*(J87^2))</f>
        <v>0.15187675332427117</v>
      </c>
      <c r="M87" s="36">
        <f>8.1*((L87/MPM!$AE88)^(1/6))</f>
        <v>13.229758153796231</v>
      </c>
      <c r="N87" s="43">
        <f t="shared" si="44"/>
        <v>0.57635105468876102</v>
      </c>
      <c r="O87" s="38">
        <f>(MPM!$Q88^2)/(9.81*MPM!$F88*(M87^2))</f>
        <v>0.15363248491366066</v>
      </c>
      <c r="P87" s="36">
        <f>8.1*((O87/MPM!$AE88)^(1/6))</f>
        <v>13.255126096785675</v>
      </c>
      <c r="Q87" s="43">
        <f t="shared" si="45"/>
        <v>0.19138213249888017</v>
      </c>
      <c r="R87" s="38">
        <f>(MPM!$Q88^2)/(9.81*MPM!$F88*(P87^2))</f>
        <v>0.15304499737353902</v>
      </c>
      <c r="S87" s="36">
        <f>8.1*((R87/MPM!$AE88)^(1/6))</f>
        <v>13.246664715634092</v>
      </c>
      <c r="T87" s="43">
        <f t="shared" si="46"/>
        <v>6.387555911789114E-2</v>
      </c>
      <c r="U87" s="38">
        <f>(MPM!$Q88^2)/(9.81*MPM!$F88*(S87^2))</f>
        <v>0.15324057651277884</v>
      </c>
      <c r="V87" s="36">
        <f>8.1*((U87/MPM!$AE88)^(1/6))</f>
        <v>13.249484575702688</v>
      </c>
      <c r="W87" s="43">
        <f t="shared" si="47"/>
        <v>2.1282790681288955E-2</v>
      </c>
      <c r="X87" s="38">
        <f>(MPM!$Q88^2)/(9.81*MPM!$F88*(V87^2))</f>
        <v>0.15317535571164476</v>
      </c>
      <c r="Y87" s="36">
        <f>8.1*((X87/MPM!$AE88)^(1/6))</f>
        <v>13.248544555655835</v>
      </c>
      <c r="Z87" s="43">
        <f t="shared" si="48"/>
        <v>7.0952702985907275E-3</v>
      </c>
      <c r="AA87" s="38">
        <f>(MPM!$Q88^2)/(9.81*MPM!$F88*(Y87^2))</f>
        <v>0.15319709289381048</v>
      </c>
      <c r="AB87" s="36">
        <f>8.1*((AA87/MPM!$AE88)^(1/6))</f>
        <v>13.248857888260972</v>
      </c>
      <c r="AC87" s="43">
        <f t="shared" si="49"/>
        <v>2.3649782326835653E-3</v>
      </c>
      <c r="AD87" s="38">
        <f>(MPM!$Q88^2)/(9.81*MPM!$F88*(AB87^2))</f>
        <v>0.15318984682369538</v>
      </c>
      <c r="AE87" s="36">
        <f>8.1*((AD87/MPM!$AE88)^(1/6))</f>
        <v>13.248753443235888</v>
      </c>
      <c r="AF87" s="43">
        <f t="shared" si="50"/>
        <v>7.8833850694912772E-4</v>
      </c>
      <c r="AG87" s="38">
        <f>(MPM!$Q88^2)/(9.81*MPM!$F88*(AE87^2))</f>
        <v>0.15319226214231829</v>
      </c>
      <c r="AH87" s="36">
        <f>8.1*((AG87/MPM!$AE88)^(1/6))</f>
        <v>13.248788258152764</v>
      </c>
      <c r="AI87" s="43">
        <f t="shared" si="51"/>
        <v>2.6277812127527663E-4</v>
      </c>
      <c r="AJ87" s="38">
        <f>(MPM!$Q88^2)/(9.81*MPM!$F88*(AH87^2))</f>
        <v>0.15319145703187928</v>
      </c>
      <c r="AK87" s="36">
        <f>8.1*((AJ87/MPM!$AE88)^(1/6))</f>
        <v>13.248776653170305</v>
      </c>
      <c r="AL87" s="43">
        <f t="shared" si="52"/>
        <v>8.759286055794867E-5</v>
      </c>
      <c r="AM87" s="38">
        <f>(MPM!$Q88^2)/(9.81*MPM!$F88*(AK87^2))</f>
        <v>0.15319172540155551</v>
      </c>
      <c r="AN87" s="36">
        <f>8.1*((AM87/MPM!$AE88)^(1/6))</f>
        <v>13.248780521496661</v>
      </c>
      <c r="AO87" s="43">
        <f t="shared" si="53"/>
        <v>2.9197603129210741E-5</v>
      </c>
      <c r="AP87" s="38">
        <f>(MPM!$Q88^2)/(9.81*MPM!$F88*(AN87^2))</f>
        <v>0.15319163594494456</v>
      </c>
      <c r="AQ87" s="36">
        <f>8.1*((AP87/MPM!$AE88)^(1/6))</f>
        <v>13.248779232054419</v>
      </c>
      <c r="AR87" s="43">
        <f t="shared" si="54"/>
        <v>9.7325362532266903E-6</v>
      </c>
      <c r="AS87" s="38">
        <f>(MPM!$Q88^2)/(9.81*MPM!$F88*(AQ87^2))</f>
        <v>0.15319166576380905</v>
      </c>
      <c r="AT87" s="36">
        <f>8.1*((AS87/MPM!$AE88)^(1/6))</f>
        <v>13.248779661868486</v>
      </c>
      <c r="AU87" s="43">
        <f t="shared" si="55"/>
        <v>3.2441785430362335E-6</v>
      </c>
      <c r="AV87" s="38">
        <f>(MPM!$Q88^2)/(9.81*MPM!$F88*(AT87^2))</f>
        <v>0.15319165582418687</v>
      </c>
      <c r="AW87" s="36">
        <f>8.1*((AV87/MPM!$AE88)^(1/6))</f>
        <v>13.248779518597127</v>
      </c>
      <c r="AX87" s="43">
        <f t="shared" si="56"/>
        <v>1.0813928861882532E-6</v>
      </c>
      <c r="AY87" s="38">
        <f>(MPM!$Q88^2)/(9.81*MPM!$F88*(AW87^2))</f>
        <v>0.15319165913739424</v>
      </c>
      <c r="AZ87" s="36">
        <f>8.1*((AY87/MPM!$AE88)^(1/6))</f>
        <v>13.248779566354246</v>
      </c>
      <c r="BA87" s="43">
        <f t="shared" si="57"/>
        <v>3.6046428962750549E-7</v>
      </c>
      <c r="BB87" s="38">
        <f>(MPM!$Q88^2)/(9.81*MPM!$F88*(AZ87^2))</f>
        <v>0.15319165803299178</v>
      </c>
      <c r="BC87" s="36">
        <f>8.1*((BB87/MPM!$AE88)^(1/6))</f>
        <v>13.248779550435207</v>
      </c>
      <c r="BD87" s="43">
        <f t="shared" si="58"/>
        <v>1.2015475441507236E-7</v>
      </c>
      <c r="BE87" s="38">
        <f>(MPM!$Q88^2)/(9.81*MPM!$F88*(BC87^2))</f>
        <v>0.15319165840112589</v>
      </c>
      <c r="BF87" s="36">
        <f>8.1*((BE87/MPM!$AE88)^(1/6))</f>
        <v>13.248779555741555</v>
      </c>
      <c r="BG87" s="43">
        <f t="shared" si="59"/>
        <v>4.0051593727450609E-8</v>
      </c>
      <c r="BH87" s="38">
        <f>(MPM!$Q88^2)/(9.81*MPM!$F88*(BF87^2))</f>
        <v>0.15319165827841452</v>
      </c>
      <c r="BI87" s="36">
        <f>8.1*((BH87/MPM!$AE88)^(1/6))</f>
        <v>13.248779553972771</v>
      </c>
      <c r="BJ87" s="43">
        <f t="shared" si="60"/>
        <v>1.3350544651967589E-8</v>
      </c>
      <c r="BK87" s="38">
        <f>(MPM!$Q88^2)/(9.81*MPM!$F88*(BI87^2))</f>
        <v>0.15319165831931836</v>
      </c>
      <c r="BL87" s="36">
        <f>8.1*((BK87/MPM!$AE88)^(1/6))</f>
        <v>13.248779554562367</v>
      </c>
      <c r="BM87" s="43">
        <f t="shared" si="61"/>
        <v>4.4501904889256105E-9</v>
      </c>
      <c r="BN87" s="43">
        <f t="shared" si="62"/>
        <v>2.6701085635290082E-8</v>
      </c>
    </row>
    <row r="88" spans="1:66">
      <c r="A88" s="36">
        <f>MPM!B89</f>
        <v>84</v>
      </c>
      <c r="B88" s="41">
        <f>1/(MPM!AC89^0.5)</f>
        <v>12.061886688865956</v>
      </c>
      <c r="C88" s="38">
        <f>(MPM!$Q89^2)/(9.81*MPM!$F89*(Sheet1!B88^2))</f>
        <v>0.19206988395767796</v>
      </c>
      <c r="D88" s="36">
        <f>8.1*((C88/MPM!$AE89)^(1/6))</f>
        <v>13.757723179253215</v>
      </c>
      <c r="E88" s="41">
        <f t="shared" si="41"/>
        <v>12.326432711951917</v>
      </c>
      <c r="F88" s="38">
        <f>(MPM!$Q89^2)/(9.81*MPM!$F89*(D88^2))</f>
        <v>0.14763748188251288</v>
      </c>
      <c r="G88" s="36">
        <f>8.1*((F88/MPM!$AE89)^(1/6))</f>
        <v>13.167483795996711</v>
      </c>
      <c r="H88" s="43">
        <f t="shared" si="42"/>
        <v>4.4825525696561233</v>
      </c>
      <c r="I88" s="38">
        <f>(MPM!$Q89^2)/(9.81*MPM!$F89*(G88^2))</f>
        <v>0.1611699894481865</v>
      </c>
      <c r="J88" s="36">
        <f>8.1*((I88/MPM!$AE89)^(1/6))</f>
        <v>13.361361593222838</v>
      </c>
      <c r="K88" s="43">
        <f t="shared" si="43"/>
        <v>1.4510332339517424</v>
      </c>
      <c r="L88" s="38">
        <f>(MPM!$Q89^2)/(9.81*MPM!$F89*(J88^2))</f>
        <v>0.15652666352820313</v>
      </c>
      <c r="M88" s="36">
        <f>8.1*((L88/MPM!$AE89)^(1/6))</f>
        <v>13.296420535114018</v>
      </c>
      <c r="N88" s="43">
        <f t="shared" si="44"/>
        <v>0.48841007951967008</v>
      </c>
      <c r="O88" s="38">
        <f>(MPM!$Q89^2)/(9.81*MPM!$F89*(M88^2))</f>
        <v>0.15805938138781223</v>
      </c>
      <c r="P88" s="36">
        <f>8.1*((O88/MPM!$AE89)^(1/6))</f>
        <v>13.318032407724003</v>
      </c>
      <c r="Q88" s="43">
        <f t="shared" si="45"/>
        <v>0.16227526670869319</v>
      </c>
      <c r="R88" s="38">
        <f>(MPM!$Q89^2)/(9.81*MPM!$F89*(P88^2))</f>
        <v>0.15754681504431498</v>
      </c>
      <c r="S88" s="36">
        <f>8.1*((R88/MPM!$AE89)^(1/6))</f>
        <v>13.310824549923403</v>
      </c>
      <c r="T88" s="43">
        <f t="shared" si="46"/>
        <v>5.4150347888411644E-2</v>
      </c>
      <c r="U88" s="38">
        <f>(MPM!$Q89^2)/(9.81*MPM!$F89*(S88^2))</f>
        <v>0.15771748553800732</v>
      </c>
      <c r="V88" s="36">
        <f>8.1*((U88/MPM!$AE89)^(1/6))</f>
        <v>13.313226735645124</v>
      </c>
      <c r="W88" s="43">
        <f t="shared" si="47"/>
        <v>1.8043602572237576E-2</v>
      </c>
      <c r="X88" s="38">
        <f>(MPM!$Q89^2)/(9.81*MPM!$F89*(V88^2))</f>
        <v>0.15766057484028584</v>
      </c>
      <c r="Y88" s="36">
        <f>8.1*((X88/MPM!$AE89)^(1/6))</f>
        <v>13.312425958906294</v>
      </c>
      <c r="Z88" s="43">
        <f t="shared" si="48"/>
        <v>6.0152577847306264E-3</v>
      </c>
      <c r="AA88" s="38">
        <f>(MPM!$Q89^2)/(9.81*MPM!$F89*(Y88^2))</f>
        <v>0.1576795427907573</v>
      </c>
      <c r="AB88" s="36">
        <f>8.1*((AA88/MPM!$AE89)^(1/6))</f>
        <v>13.312692879133994</v>
      </c>
      <c r="AC88" s="43">
        <f t="shared" si="49"/>
        <v>2.0050055246035527E-3</v>
      </c>
      <c r="AD88" s="38">
        <f>(MPM!$Q89^2)/(9.81*MPM!$F89*(AB88^2))</f>
        <v>0.15767321988705699</v>
      </c>
      <c r="AE88" s="36">
        <f>8.1*((AD88/MPM!$AE89)^(1/6))</f>
        <v>13.312603905130116</v>
      </c>
      <c r="AF88" s="43">
        <f t="shared" si="50"/>
        <v>6.6834410842809785E-4</v>
      </c>
      <c r="AG88" s="38">
        <f>(MPM!$Q89^2)/(9.81*MPM!$F89*(AE88^2))</f>
        <v>0.15767532749345137</v>
      </c>
      <c r="AH88" s="36">
        <f>8.1*((AG88/MPM!$AE89)^(1/6))</f>
        <v>13.312633563065335</v>
      </c>
      <c r="AI88" s="43">
        <f t="shared" si="51"/>
        <v>2.2278037683761339E-4</v>
      </c>
      <c r="AJ88" s="38">
        <f>(MPM!$Q89^2)/(9.81*MPM!$F89*(AH88^2))</f>
        <v>0.15767462495485637</v>
      </c>
      <c r="AK88" s="36">
        <f>8.1*((AJ88/MPM!$AE89)^(1/6))</f>
        <v>13.312623677079589</v>
      </c>
      <c r="AL88" s="43">
        <f t="shared" si="52"/>
        <v>7.4260235888769818E-5</v>
      </c>
      <c r="AM88" s="38">
        <f>(MPM!$Q89^2)/(9.81*MPM!$F89*(AK88^2))</f>
        <v>0.1576748591340402</v>
      </c>
      <c r="AN88" s="36">
        <f>8.1*((AM88/MPM!$AE89)^(1/6))</f>
        <v>13.312626972407354</v>
      </c>
      <c r="AO88" s="43">
        <f t="shared" si="53"/>
        <v>2.4753399702096858E-5</v>
      </c>
      <c r="AP88" s="38">
        <f>(MPM!$Q89^2)/(9.81*MPM!$F89*(AN88^2))</f>
        <v>0.15767478107427363</v>
      </c>
      <c r="AQ88" s="36">
        <f>8.1*((AP88/MPM!$AE89)^(1/6))</f>
        <v>13.312625873964675</v>
      </c>
      <c r="AR88" s="43">
        <f t="shared" si="54"/>
        <v>8.2511345953577637E-6</v>
      </c>
      <c r="AS88" s="38">
        <f>(MPM!$Q89^2)/(9.81*MPM!$F89*(AQ88^2))</f>
        <v>0.15767480709419152</v>
      </c>
      <c r="AT88" s="36">
        <f>8.1*((AS88/MPM!$AE89)^(1/6))</f>
        <v>13.312626240112225</v>
      </c>
      <c r="AU88" s="43">
        <f t="shared" si="55"/>
        <v>2.7503780471941951E-6</v>
      </c>
      <c r="AV88" s="38">
        <f>(MPM!$Q89^2)/(9.81*MPM!$F89*(AT88^2))</f>
        <v>0.15767479842088508</v>
      </c>
      <c r="AW88" s="36">
        <f>8.1*((AV88/MPM!$AE89)^(1/6))</f>
        <v>13.312626118063042</v>
      </c>
      <c r="AX88" s="43">
        <f t="shared" si="56"/>
        <v>9.1679269080315337E-7</v>
      </c>
      <c r="AY88" s="38">
        <f>(MPM!$Q89^2)/(9.81*MPM!$F89*(AW88^2))</f>
        <v>0.15767480131198713</v>
      </c>
      <c r="AZ88" s="36">
        <f>8.1*((AY88/MPM!$AE89)^(1/6))</f>
        <v>13.312626158746101</v>
      </c>
      <c r="BA88" s="43">
        <f t="shared" si="57"/>
        <v>3.0559754487595364E-7</v>
      </c>
      <c r="BB88" s="38">
        <f>(MPM!$Q89^2)/(9.81*MPM!$F89*(AZ88^2))</f>
        <v>0.15767480034828651</v>
      </c>
      <c r="BC88" s="36">
        <f>8.1*((BB88/MPM!$AE89)^(1/6))</f>
        <v>13.312626145185083</v>
      </c>
      <c r="BD88" s="43">
        <f t="shared" si="58"/>
        <v>1.0186583060455223E-7</v>
      </c>
      <c r="BE88" s="38">
        <f>(MPM!$Q89^2)/(9.81*MPM!$F89*(BC88^2))</f>
        <v>0.15767480066952</v>
      </c>
      <c r="BF88" s="36">
        <f>8.1*((BE88/MPM!$AE89)^(1/6))</f>
        <v>13.312626149705421</v>
      </c>
      <c r="BG88" s="43">
        <f t="shared" si="59"/>
        <v>3.3955267961055061E-8</v>
      </c>
      <c r="BH88" s="38">
        <f>(MPM!$Q89^2)/(9.81*MPM!$F89*(BF88^2))</f>
        <v>0.15767480056244218</v>
      </c>
      <c r="BI88" s="36">
        <f>8.1*((BH88/MPM!$AE89)^(1/6))</f>
        <v>13.312626148198643</v>
      </c>
      <c r="BJ88" s="43">
        <f t="shared" si="60"/>
        <v>1.1318418207166382E-8</v>
      </c>
      <c r="BK88" s="38">
        <f>(MPM!$Q89^2)/(9.81*MPM!$F89*(BI88^2))</f>
        <v>0.1576748005981348</v>
      </c>
      <c r="BL88" s="36">
        <f>8.1*((BK88/MPM!$AE89)^(1/6))</f>
        <v>13.312626148700902</v>
      </c>
      <c r="BM88" s="43">
        <f t="shared" si="61"/>
        <v>3.7728060689131202E-9</v>
      </c>
      <c r="BN88" s="43">
        <f t="shared" si="62"/>
        <v>2.2636854712627816E-8</v>
      </c>
    </row>
    <row r="89" spans="1:66">
      <c r="A89" s="36">
        <f>MPM!B90</f>
        <v>85</v>
      </c>
      <c r="B89" s="41">
        <f>1/(MPM!AC90^0.5)</f>
        <v>11.756036513164233</v>
      </c>
      <c r="C89" s="38">
        <f>(MPM!$Q90^2)/(9.81*MPM!$F90*(Sheet1!B89^2))</f>
        <v>0.19608231994518094</v>
      </c>
      <c r="D89" s="36">
        <f>8.1*((C89/MPM!$AE90)^(1/6))</f>
        <v>13.80521243038241</v>
      </c>
      <c r="E89" s="41">
        <f t="shared" si="41"/>
        <v>14.84349427835218</v>
      </c>
      <c r="F89" s="38">
        <f>(MPM!$Q90^2)/(9.81*MPM!$F90*(D89^2))</f>
        <v>0.14219165252998164</v>
      </c>
      <c r="G89" s="36">
        <f>8.1*((F89/MPM!$AE90)^(1/6))</f>
        <v>13.085260450408031</v>
      </c>
      <c r="H89" s="43">
        <f t="shared" si="42"/>
        <v>5.5020072600230829</v>
      </c>
      <c r="I89" s="38">
        <f>(MPM!$Q90^2)/(9.81*MPM!$F90*(G89^2))</f>
        <v>0.15826888638404965</v>
      </c>
      <c r="J89" s="36">
        <f>8.1*((I89/MPM!$AE90)^(1/6))</f>
        <v>13.320972921357678</v>
      </c>
      <c r="K89" s="43">
        <f t="shared" si="43"/>
        <v>1.7694838983699614</v>
      </c>
      <c r="L89" s="38">
        <f>(MPM!$Q90^2)/(9.81*MPM!$F90*(J89^2))</f>
        <v>0.15271735661056826</v>
      </c>
      <c r="M89" s="36">
        <f>8.1*((L89/MPM!$AE90)^(1/6))</f>
        <v>13.24193405480794</v>
      </c>
      <c r="N89" s="43">
        <f t="shared" si="44"/>
        <v>0.5968831004791153</v>
      </c>
      <c r="O89" s="38">
        <f>(MPM!$Q90^2)/(9.81*MPM!$F90*(M89^2))</f>
        <v>0.15454588564942726</v>
      </c>
      <c r="P89" s="36">
        <f>8.1*((O89/MPM!$AE90)^(1/6))</f>
        <v>13.268228097942412</v>
      </c>
      <c r="Q89" s="43">
        <f t="shared" si="45"/>
        <v>0.19817298090126756</v>
      </c>
      <c r="R89" s="38">
        <f>(MPM!$Q90^2)/(9.81*MPM!$F90*(P89^2))</f>
        <v>0.1539339562133224</v>
      </c>
      <c r="S89" s="36">
        <f>8.1*((R89/MPM!$AE90)^(1/6))</f>
        <v>13.259457620771641</v>
      </c>
      <c r="T89" s="43">
        <f t="shared" si="46"/>
        <v>6.6145067329384591E-2</v>
      </c>
      <c r="U89" s="38">
        <f>(MPM!$Q90^2)/(9.81*MPM!$F90*(S89^2))</f>
        <v>0.15413766300000425</v>
      </c>
      <c r="V89" s="36">
        <f>8.1*((U89/MPM!$AE90)^(1/6))</f>
        <v>13.262380468816657</v>
      </c>
      <c r="W89" s="43">
        <f t="shared" si="47"/>
        <v>2.203863817576187E-2</v>
      </c>
      <c r="X89" s="38">
        <f>(MPM!$Q90^2)/(9.81*MPM!$F90*(V89^2))</f>
        <v>0.15406973080281247</v>
      </c>
      <c r="Y89" s="36">
        <f>8.1*((X89/MPM!$AE90)^(1/6))</f>
        <v>13.261406114553342</v>
      </c>
      <c r="Z89" s="43">
        <f t="shared" si="48"/>
        <v>7.3472922471295062E-3</v>
      </c>
      <c r="AA89" s="38">
        <f>(MPM!$Q90^2)/(9.81*MPM!$F90*(Y89^2))</f>
        <v>0.15409237154129543</v>
      </c>
      <c r="AB89" s="36">
        <f>8.1*((AA89/MPM!$AE90)^(1/6))</f>
        <v>13.261730891353812</v>
      </c>
      <c r="AC89" s="43">
        <f t="shared" si="49"/>
        <v>2.4489774610183383E-3</v>
      </c>
      <c r="AD89" s="38">
        <f>(MPM!$Q90^2)/(9.81*MPM!$F90*(AB89^2))</f>
        <v>0.15408482425881581</v>
      </c>
      <c r="AE89" s="36">
        <f>8.1*((AD89/MPM!$AE90)^(1/6))</f>
        <v>13.261622631536563</v>
      </c>
      <c r="AF89" s="43">
        <f t="shared" si="50"/>
        <v>8.1633914836367336E-4</v>
      </c>
      <c r="AG89" s="38">
        <f>(MPM!$Q90^2)/(9.81*MPM!$F90*(AE89^2))</f>
        <v>0.15408733997856836</v>
      </c>
      <c r="AH89" s="36">
        <f>8.1*((AG89/MPM!$AE90)^(1/6))</f>
        <v>13.261658718044115</v>
      </c>
      <c r="AI89" s="43">
        <f t="shared" si="51"/>
        <v>2.721115685455222E-4</v>
      </c>
      <c r="AJ89" s="38">
        <f>(MPM!$Q90^2)/(9.81*MPM!$F90*(AH89^2))</f>
        <v>0.15408650140075383</v>
      </c>
      <c r="AK89" s="36">
        <f>8.1*((AJ89/MPM!$AE90)^(1/6))</f>
        <v>13.261646689197356</v>
      </c>
      <c r="AL89" s="43">
        <f t="shared" si="52"/>
        <v>9.0704020710693947E-5</v>
      </c>
      <c r="AM89" s="38">
        <f>(MPM!$Q90^2)/(9.81*MPM!$F90*(AK89^2))</f>
        <v>0.15408678092618489</v>
      </c>
      <c r="AN89" s="36">
        <f>8.1*((AM89/MPM!$AE90)^(1/6))</f>
        <v>13.261650698811728</v>
      </c>
      <c r="AO89" s="43">
        <f t="shared" si="53"/>
        <v>3.0234655271379755E-5</v>
      </c>
      <c r="AP89" s="38">
        <f>(MPM!$Q90^2)/(9.81*MPM!$F90*(AN89^2))</f>
        <v>0.15408668775098489</v>
      </c>
      <c r="AQ89" s="36">
        <f>8.1*((AP89/MPM!$AE90)^(1/6))</f>
        <v>13.26164936227347</v>
      </c>
      <c r="AR89" s="43">
        <f t="shared" si="54"/>
        <v>1.0078220448564979E-5</v>
      </c>
      <c r="AS89" s="38">
        <f>(MPM!$Q90^2)/(9.81*MPM!$F90*(AQ89^2))</f>
        <v>0.15408671880937863</v>
      </c>
      <c r="AT89" s="36">
        <f>8.1*((AS89/MPM!$AE90)^(1/6))</f>
        <v>13.261649807786208</v>
      </c>
      <c r="AU89" s="43">
        <f t="shared" si="55"/>
        <v>3.3594065917097783E-6</v>
      </c>
      <c r="AV89" s="38">
        <f>(MPM!$Q90^2)/(9.81*MPM!$F90*(AT89^2))</f>
        <v>0.15408670845657998</v>
      </c>
      <c r="AW89" s="36">
        <f>8.1*((AV89/MPM!$AE90)^(1/6))</f>
        <v>13.261649659281961</v>
      </c>
      <c r="AX89" s="43">
        <f t="shared" si="56"/>
        <v>1.1198022187059559E-6</v>
      </c>
      <c r="AY89" s="38">
        <f>(MPM!$Q90^2)/(9.81*MPM!$F90*(AW89^2))</f>
        <v>0.1540867119075128</v>
      </c>
      <c r="AZ89" s="36">
        <f>8.1*((AY89/MPM!$AE90)^(1/6))</f>
        <v>13.261649708783377</v>
      </c>
      <c r="BA89" s="43">
        <f t="shared" si="57"/>
        <v>3.7326740930692962E-7</v>
      </c>
      <c r="BB89" s="38">
        <f>(MPM!$Q90^2)/(9.81*MPM!$F90*(AZ89^2))</f>
        <v>0.15408671075720184</v>
      </c>
      <c r="BC89" s="36">
        <f>8.1*((BB89/MPM!$AE90)^(1/6))</f>
        <v>13.261649692282903</v>
      </c>
      <c r="BD89" s="43">
        <f t="shared" si="58"/>
        <v>1.2442248331847587E-7</v>
      </c>
      <c r="BE89" s="38">
        <f>(MPM!$Q90^2)/(9.81*MPM!$F90*(BC89^2))</f>
        <v>0.15408671114063885</v>
      </c>
      <c r="BF89" s="36">
        <f>8.1*((BE89/MPM!$AE90)^(1/6))</f>
        <v>13.261649697783064</v>
      </c>
      <c r="BG89" s="43">
        <f t="shared" si="59"/>
        <v>4.1474178948543958E-8</v>
      </c>
      <c r="BH89" s="38">
        <f>(MPM!$Q90^2)/(9.81*MPM!$F90*(BF89^2))</f>
        <v>0.15408671101282645</v>
      </c>
      <c r="BI89" s="36">
        <f>8.1*((BH89/MPM!$AE90)^(1/6))</f>
        <v>13.261649695949677</v>
      </c>
      <c r="BJ89" s="43">
        <f t="shared" si="60"/>
        <v>1.3824726318092549E-8</v>
      </c>
      <c r="BK89" s="38">
        <f>(MPM!$Q90^2)/(9.81*MPM!$F90*(BI89^2))</f>
        <v>0.15408671105543062</v>
      </c>
      <c r="BL89" s="36">
        <f>8.1*((BK89/MPM!$AE90)^(1/6))</f>
        <v>13.261649696560804</v>
      </c>
      <c r="BM89" s="43">
        <f t="shared" si="61"/>
        <v>4.6082287111286902E-9</v>
      </c>
      <c r="BN89" s="43">
        <f t="shared" si="62"/>
        <v>2.7649477297510067E-8</v>
      </c>
    </row>
    <row r="90" spans="1:66">
      <c r="A90" s="36">
        <f>MPM!B91</f>
        <v>86</v>
      </c>
      <c r="B90" s="41">
        <f>1/(MPM!AC91^0.5)</f>
        <v>11.699363718119317</v>
      </c>
      <c r="C90" s="38">
        <f>(MPM!$Q91^2)/(9.81*MPM!$F91*(Sheet1!B90^2))</f>
        <v>0.18806644751355053</v>
      </c>
      <c r="D90" s="36">
        <f>8.1*((C90/MPM!$AE91)^(1/6))</f>
        <v>13.709509217175091</v>
      </c>
      <c r="E90" s="41">
        <f t="shared" si="41"/>
        <v>14.662417649039474</v>
      </c>
      <c r="F90" s="38">
        <f>(MPM!$Q91^2)/(9.81*MPM!$F91*(D90^2))</f>
        <v>0.13695944609775268</v>
      </c>
      <c r="G90" s="36">
        <f>8.1*((F90/MPM!$AE91)^(1/6))</f>
        <v>13.003752236851225</v>
      </c>
      <c r="H90" s="43">
        <f t="shared" si="42"/>
        <v>5.4273333378640274</v>
      </c>
      <c r="I90" s="38">
        <f>(MPM!$Q91^2)/(9.81*MPM!$F91*(G90^2))</f>
        <v>0.15222936447332297</v>
      </c>
      <c r="J90" s="36">
        <f>8.1*((I90/MPM!$AE91)^(1/6))</f>
        <v>13.234872447417883</v>
      </c>
      <c r="K90" s="43">
        <f t="shared" si="43"/>
        <v>1.7462972271542332</v>
      </c>
      <c r="L90" s="38">
        <f>(MPM!$Q91^2)/(9.81*MPM!$F91*(J90^2))</f>
        <v>0.14695903329871809</v>
      </c>
      <c r="M90" s="36">
        <f>8.1*((L90/MPM!$AE91)^(1/6))</f>
        <v>13.157379525683123</v>
      </c>
      <c r="N90" s="43">
        <f t="shared" si="44"/>
        <v>0.58896926689311624</v>
      </c>
      <c r="O90" s="38">
        <f>(MPM!$Q91^2)/(9.81*MPM!$F91*(M90^2))</f>
        <v>0.14869521816627182</v>
      </c>
      <c r="P90" s="36">
        <f>8.1*((O90/MPM!$AE91)^(1/6))</f>
        <v>13.183159952712908</v>
      </c>
      <c r="Q90" s="43">
        <f t="shared" si="45"/>
        <v>0.19555574780445378</v>
      </c>
      <c r="R90" s="38">
        <f>(MPM!$Q91^2)/(9.81*MPM!$F91*(P90^2))</f>
        <v>0.14811422271560698</v>
      </c>
      <c r="S90" s="36">
        <f>8.1*((R90/MPM!$AE91)^(1/6))</f>
        <v>13.174560869264045</v>
      </c>
      <c r="T90" s="43">
        <f t="shared" si="46"/>
        <v>6.527036107081001E-2</v>
      </c>
      <c r="U90" s="38">
        <f>(MPM!$Q91^2)/(9.81*MPM!$F91*(S90^2))</f>
        <v>0.14830763519145229</v>
      </c>
      <c r="V90" s="36">
        <f>8.1*((U90/MPM!$AE91)^(1/6))</f>
        <v>13.177426607011613</v>
      </c>
      <c r="W90" s="43">
        <f t="shared" si="47"/>
        <v>2.1747324671442161E-2</v>
      </c>
      <c r="X90" s="38">
        <f>(MPM!$Q91^2)/(9.81*MPM!$F91*(V90^2))</f>
        <v>0.14824313631972924</v>
      </c>
      <c r="Y90" s="36">
        <f>8.1*((X90/MPM!$AE91)^(1/6))</f>
        <v>13.17647129184058</v>
      </c>
      <c r="Z90" s="43">
        <f t="shared" si="48"/>
        <v>7.2501593930167311E-3</v>
      </c>
      <c r="AA90" s="38">
        <f>(MPM!$Q91^2)/(9.81*MPM!$F91*(Y90^2))</f>
        <v>0.1482646328263113</v>
      </c>
      <c r="AB90" s="36">
        <f>8.1*((AA90/MPM!$AE91)^(1/6))</f>
        <v>13.176789722535471</v>
      </c>
      <c r="AC90" s="43">
        <f t="shared" si="49"/>
        <v>2.4166029935709945E-3</v>
      </c>
      <c r="AD90" s="38">
        <f>(MPM!$Q91^2)/(9.81*MPM!$F91*(AB90^2))</f>
        <v>0.1482574669777868</v>
      </c>
      <c r="AE90" s="36">
        <f>8.1*((AD90/MPM!$AE91)^(1/6))</f>
        <v>13.176683578115473</v>
      </c>
      <c r="AF90" s="43">
        <f t="shared" si="50"/>
        <v>8.0554730914715405E-4</v>
      </c>
      <c r="AG90" s="38">
        <f>(MPM!$Q91^2)/(9.81*MPM!$F91*(AE90^2))</f>
        <v>0.14825985555547902</v>
      </c>
      <c r="AH90" s="36">
        <f>8.1*((AG90/MPM!$AE91)^(1/6))</f>
        <v>13.176718959493801</v>
      </c>
      <c r="AI90" s="43">
        <f t="shared" si="51"/>
        <v>2.6851432771121247E-4</v>
      </c>
      <c r="AJ90" s="38">
        <f>(MPM!$Q91^2)/(9.81*MPM!$F91*(AH90^2))</f>
        <v>0.14825905935863914</v>
      </c>
      <c r="AK90" s="36">
        <f>8.1*((AJ90/MPM!$AE91)^(1/6))</f>
        <v>13.176707165690468</v>
      </c>
      <c r="AL90" s="43">
        <f t="shared" si="52"/>
        <v>8.9504936132736096E-5</v>
      </c>
      <c r="AM90" s="38">
        <f>(MPM!$Q91^2)/(9.81*MPM!$F91*(AK90^2))</f>
        <v>0.14825932475711073</v>
      </c>
      <c r="AN90" s="36">
        <f>8.1*((AM90/MPM!$AE91)^(1/6))</f>
        <v>13.176711096957074</v>
      </c>
      <c r="AO90" s="43">
        <f t="shared" si="53"/>
        <v>2.9834960921163027E-5</v>
      </c>
      <c r="AP90" s="38">
        <f>(MPM!$Q91^2)/(9.81*MPM!$F91*(AN90^2))</f>
        <v>0.14825923629090071</v>
      </c>
      <c r="AQ90" s="36">
        <f>8.1*((AP90/MPM!$AE91)^(1/6))</f>
        <v>13.17670978653474</v>
      </c>
      <c r="AR90" s="43">
        <f t="shared" si="54"/>
        <v>9.9449889648391241E-6</v>
      </c>
      <c r="AS90" s="38">
        <f>(MPM!$Q91^2)/(9.81*MPM!$F91*(AQ90^2))</f>
        <v>0.14825926577963155</v>
      </c>
      <c r="AT90" s="36">
        <f>8.1*((AS90/MPM!$AE91)^(1/6))</f>
        <v>13.17671022334217</v>
      </c>
      <c r="AU90" s="43">
        <f t="shared" si="55"/>
        <v>3.3149960948854108E-6</v>
      </c>
      <c r="AV90" s="38">
        <f>(MPM!$Q91^2)/(9.81*MPM!$F91*(AT90^2))</f>
        <v>0.14825925595005396</v>
      </c>
      <c r="AW90" s="36">
        <f>8.1*((AV90/MPM!$AE91)^(1/6))</f>
        <v>13.176710077739692</v>
      </c>
      <c r="AX90" s="43">
        <f t="shared" si="56"/>
        <v>1.1049987194927147E-6</v>
      </c>
      <c r="AY90" s="38">
        <f>(MPM!$Q91^2)/(9.81*MPM!$F91*(AW90^2))</f>
        <v>0.14825925922657976</v>
      </c>
      <c r="AZ90" s="36">
        <f>8.1*((AY90/MPM!$AE91)^(1/6))</f>
        <v>13.176710126273854</v>
      </c>
      <c r="BA90" s="43">
        <f t="shared" si="57"/>
        <v>3.6833292311559292E-7</v>
      </c>
      <c r="BB90" s="38">
        <f>(MPM!$Q91^2)/(9.81*MPM!$F91*(AZ90^2))</f>
        <v>0.14825925813440441</v>
      </c>
      <c r="BC90" s="36">
        <f>8.1*((BB90/MPM!$AE91)^(1/6))</f>
        <v>13.176710110095797</v>
      </c>
      <c r="BD90" s="43">
        <f t="shared" si="58"/>
        <v>1.2277765916398719E-7</v>
      </c>
      <c r="BE90" s="38">
        <f>(MPM!$Q91^2)/(9.81*MPM!$F91*(BC90^2))</f>
        <v>0.14825925849846294</v>
      </c>
      <c r="BF90" s="36">
        <f>8.1*((BE90/MPM!$AE91)^(1/6))</f>
        <v>13.176710115488483</v>
      </c>
      <c r="BG90" s="43">
        <f t="shared" si="59"/>
        <v>4.092588637124645E-8</v>
      </c>
      <c r="BH90" s="38">
        <f>(MPM!$Q91^2)/(9.81*MPM!$F91*(BF90^2))</f>
        <v>0.1482592583771101</v>
      </c>
      <c r="BI90" s="36">
        <f>8.1*((BH90/MPM!$AE91)^(1/6))</f>
        <v>13.176710113690921</v>
      </c>
      <c r="BJ90" s="43">
        <f t="shared" si="60"/>
        <v>1.3641957631931673E-8</v>
      </c>
      <c r="BK90" s="38">
        <f>(MPM!$Q91^2)/(9.81*MPM!$F91*(BI90^2))</f>
        <v>0.14825925841756102</v>
      </c>
      <c r="BL90" s="36">
        <f>8.1*((BK90/MPM!$AE91)^(1/6))</f>
        <v>13.17671011429011</v>
      </c>
      <c r="BM90" s="43">
        <f t="shared" si="61"/>
        <v>4.5473281977934574E-9</v>
      </c>
      <c r="BN90" s="43">
        <f t="shared" si="62"/>
        <v>2.728390848761659E-8</v>
      </c>
    </row>
    <row r="91" spans="1:66">
      <c r="A91" s="36">
        <f>MPM!B92</f>
        <v>87</v>
      </c>
      <c r="B91" s="41">
        <f>1/(MPM!AC92^0.5)</f>
        <v>12.022602409631812</v>
      </c>
      <c r="C91" s="38">
        <f>(MPM!$Q92^2)/(9.81*MPM!$F92*(Sheet1!B91^2))</f>
        <v>0.18764241895949768</v>
      </c>
      <c r="D91" s="36">
        <f>8.1*((C91/MPM!$AE92)^(1/6))</f>
        <v>13.704352624738078</v>
      </c>
      <c r="E91" s="41">
        <f t="shared" si="41"/>
        <v>12.271650191417985</v>
      </c>
      <c r="F91" s="38">
        <f>(MPM!$Q92^2)/(9.81*MPM!$F92*(D91^2))</f>
        <v>0.14441454738454457</v>
      </c>
      <c r="G91" s="36">
        <f>8.1*((F91/MPM!$AE92)^(1/6))</f>
        <v>13.119134310477264</v>
      </c>
      <c r="H91" s="43">
        <f t="shared" si="42"/>
        <v>4.4607997784841968</v>
      </c>
      <c r="I91" s="38">
        <f>(MPM!$Q92^2)/(9.81*MPM!$F92*(G91^2))</f>
        <v>0.15758600168020065</v>
      </c>
      <c r="J91" s="36">
        <f>8.1*((I91/MPM!$AE92)^(1/6))</f>
        <v>13.311376293210031</v>
      </c>
      <c r="K91" s="43">
        <f t="shared" si="43"/>
        <v>1.4441931359932145</v>
      </c>
      <c r="L91" s="38">
        <f>(MPM!$Q92^2)/(9.81*MPM!$F92*(J91^2))</f>
        <v>0.15306717685598598</v>
      </c>
      <c r="M91" s="36">
        <f>8.1*((L91/MPM!$AE92)^(1/6))</f>
        <v>13.246984650329898</v>
      </c>
      <c r="N91" s="43">
        <f t="shared" si="44"/>
        <v>0.48608528340470353</v>
      </c>
      <c r="O91" s="38">
        <f>(MPM!$Q92^2)/(9.81*MPM!$F92*(M91^2))</f>
        <v>0.15455886755128534</v>
      </c>
      <c r="P91" s="36">
        <f>8.1*((O91/MPM!$AE92)^(1/6))</f>
        <v>13.268413847313784</v>
      </c>
      <c r="Q91" s="43">
        <f t="shared" si="45"/>
        <v>0.16150534065701333</v>
      </c>
      <c r="R91" s="38">
        <f>(MPM!$Q92^2)/(9.81*MPM!$F92*(P91^2))</f>
        <v>0.15406002905114136</v>
      </c>
      <c r="S91" s="36">
        <f>8.1*((R91/MPM!$AE92)^(1/6))</f>
        <v>13.261266932720899</v>
      </c>
      <c r="T91" s="43">
        <f t="shared" si="46"/>
        <v>5.3893150851606793E-2</v>
      </c>
      <c r="U91" s="38">
        <f>(MPM!$Q92^2)/(9.81*MPM!$F92*(S91^2))</f>
        <v>0.15422612940515804</v>
      </c>
      <c r="V91" s="36">
        <f>8.1*((U91/MPM!$AE92)^(1/6))</f>
        <v>13.263648809746899</v>
      </c>
      <c r="W91" s="43">
        <f t="shared" si="47"/>
        <v>1.7957931939887241E-2</v>
      </c>
      <c r="X91" s="38">
        <f>(MPM!$Q92^2)/(9.81*MPM!$F92*(V91^2))</f>
        <v>0.15417074273205095</v>
      </c>
      <c r="Y91" s="36">
        <f>8.1*((X91/MPM!$AE92)^(1/6))</f>
        <v>13.262854803207283</v>
      </c>
      <c r="Z91" s="43">
        <f t="shared" si="48"/>
        <v>5.9866940519013381E-3</v>
      </c>
      <c r="AA91" s="38">
        <f>(MPM!$Q92^2)/(9.81*MPM!$F92*(Y91^2))</f>
        <v>0.1541892027459765</v>
      </c>
      <c r="AB91" s="36">
        <f>8.1*((AA91/MPM!$AE92)^(1/6))</f>
        <v>13.263119466772361</v>
      </c>
      <c r="AC91" s="43">
        <f t="shared" si="49"/>
        <v>1.9954850421206776E-3</v>
      </c>
      <c r="AD91" s="38">
        <f>(MPM!$Q92^2)/(9.81*MPM!$F92*(AB91^2))</f>
        <v>0.15418304916241932</v>
      </c>
      <c r="AE91" s="36">
        <f>8.1*((AD91/MPM!$AE92)^(1/6))</f>
        <v>13.26303124499718</v>
      </c>
      <c r="AF91" s="43">
        <f t="shared" si="50"/>
        <v>6.651705296590758E-4</v>
      </c>
      <c r="AG91" s="38">
        <f>(MPM!$Q92^2)/(9.81*MPM!$F92*(AE91^2))</f>
        <v>0.15418510032965071</v>
      </c>
      <c r="AH91" s="36">
        <f>8.1*((AG91/MPM!$AE92)^(1/6))</f>
        <v>13.263060652190372</v>
      </c>
      <c r="AI91" s="43">
        <f t="shared" si="51"/>
        <v>2.2172252667560419E-4</v>
      </c>
      <c r="AJ91" s="38">
        <f>(MPM!$Q92^2)/(9.81*MPM!$F92*(AH91^2))</f>
        <v>0.15418441660420826</v>
      </c>
      <c r="AK91" s="36">
        <f>8.1*((AJ91/MPM!$AE92)^(1/6))</f>
        <v>13.263050849785396</v>
      </c>
      <c r="AL91" s="43">
        <f t="shared" si="52"/>
        <v>7.3907618146315177E-5</v>
      </c>
      <c r="AM91" s="38">
        <f>(MPM!$Q92^2)/(9.81*MPM!$F92*(AK91^2))</f>
        <v>0.15418464451235223</v>
      </c>
      <c r="AN91" s="36">
        <f>8.1*((AM91/MPM!$AE92)^(1/6))</f>
        <v>13.263054117252917</v>
      </c>
      <c r="AO91" s="43">
        <f t="shared" si="53"/>
        <v>2.4635860583491598E-5</v>
      </c>
      <c r="AP91" s="38">
        <f>(MPM!$Q92^2)/(9.81*MPM!$F92*(AN91^2))</f>
        <v>0.15418456854293344</v>
      </c>
      <c r="AQ91" s="36">
        <f>8.1*((AP91/MPM!$AE92)^(1/6))</f>
        <v>13.263053028096987</v>
      </c>
      <c r="AR91" s="43">
        <f t="shared" si="54"/>
        <v>8.2119548763205017E-6</v>
      </c>
      <c r="AS91" s="38">
        <f>(MPM!$Q92^2)/(9.81*MPM!$F92*(AQ91^2))</f>
        <v>0.15418459386606889</v>
      </c>
      <c r="AT91" s="36">
        <f>8.1*((AS91/MPM!$AE92)^(1/6))</f>
        <v>13.263053391148954</v>
      </c>
      <c r="AU91" s="43">
        <f t="shared" si="55"/>
        <v>2.7373181457469387E-6</v>
      </c>
      <c r="AV91" s="38">
        <f>(MPM!$Q92^2)/(9.81*MPM!$F92*(AT91^2))</f>
        <v>0.15418458542502325</v>
      </c>
      <c r="AW91" s="36">
        <f>8.1*((AV91/MPM!$AE92)^(1/6))</f>
        <v>13.26305327013163</v>
      </c>
      <c r="AX91" s="43">
        <f t="shared" si="56"/>
        <v>9.124394036343751E-7</v>
      </c>
      <c r="AY91" s="38">
        <f>(MPM!$Q92^2)/(9.81*MPM!$F92*(AW91^2))</f>
        <v>0.15418458823870509</v>
      </c>
      <c r="AZ91" s="36">
        <f>8.1*((AY91/MPM!$AE92)^(1/6))</f>
        <v>13.263053310470738</v>
      </c>
      <c r="BA91" s="43">
        <f t="shared" si="57"/>
        <v>3.041464669530743E-7</v>
      </c>
      <c r="BB91" s="38">
        <f>(MPM!$Q92^2)/(9.81*MPM!$F92*(AZ91^2))</f>
        <v>0.15418458730081114</v>
      </c>
      <c r="BC91" s="36">
        <f>8.1*((BB91/MPM!$AE92)^(1/6))</f>
        <v>13.263053297024369</v>
      </c>
      <c r="BD91" s="43">
        <f t="shared" si="58"/>
        <v>1.0138215575380818E-7</v>
      </c>
      <c r="BE91" s="38">
        <f>(MPM!$Q92^2)/(9.81*MPM!$F92*(BC91^2))</f>
        <v>0.15418458761344245</v>
      </c>
      <c r="BF91" s="36">
        <f>8.1*((BE91/MPM!$AE92)^(1/6))</f>
        <v>13.26305330150649</v>
      </c>
      <c r="BG91" s="43">
        <f t="shared" si="59"/>
        <v>3.3794038513243418E-8</v>
      </c>
      <c r="BH91" s="38">
        <f>(MPM!$Q92^2)/(9.81*MPM!$F92*(BF91^2))</f>
        <v>0.15418458750923209</v>
      </c>
      <c r="BI91" s="36">
        <f>8.1*((BH91/MPM!$AE92)^(1/6))</f>
        <v>13.263053300012452</v>
      </c>
      <c r="BJ91" s="43">
        <f t="shared" si="60"/>
        <v>1.1264666112411133E-8</v>
      </c>
      <c r="BK91" s="38">
        <f>(MPM!$Q92^2)/(9.81*MPM!$F92*(BI91^2))</f>
        <v>0.15418458754396883</v>
      </c>
      <c r="BL91" s="36">
        <f>8.1*((BK91/MPM!$AE92)^(1/6))</f>
        <v>13.263053300510464</v>
      </c>
      <c r="BM91" s="43">
        <f t="shared" si="61"/>
        <v>3.7548842395719638E-9</v>
      </c>
      <c r="BN91" s="43">
        <f t="shared" si="62"/>
        <v>2.2529321389722475E-8</v>
      </c>
    </row>
    <row r="92" spans="1:66">
      <c r="A92" s="36">
        <f>MPM!B93</f>
        <v>88</v>
      </c>
      <c r="B92" s="41">
        <f>1/(MPM!AC93^0.5)</f>
        <v>12.723395257967253</v>
      </c>
      <c r="C92" s="38">
        <f>(MPM!$Q93^2)/(9.81*MPM!$F93*(Sheet1!B92^2))</f>
        <v>0.1576265604262119</v>
      </c>
      <c r="D92" s="36">
        <f>8.1*((C92/MPM!$AE93)^(1/6))</f>
        <v>13.311947235251779</v>
      </c>
      <c r="E92" s="41">
        <f t="shared" si="41"/>
        <v>4.4212312960944082</v>
      </c>
      <c r="F92" s="38">
        <f>(MPM!$Q93^2)/(9.81*MPM!$F93*(D92^2))</f>
        <v>0.14399660793369082</v>
      </c>
      <c r="G92" s="36">
        <f>8.1*((F92/MPM!$AE93)^(1/6))</f>
        <v>13.112798813979987</v>
      </c>
      <c r="H92" s="43">
        <f t="shared" si="42"/>
        <v>1.5187331407805409</v>
      </c>
      <c r="I92" s="38">
        <f>(MPM!$Q93^2)/(9.81*MPM!$F93*(G92^2))</f>
        <v>0.14840366988895304</v>
      </c>
      <c r="J92" s="36">
        <f>8.1*((I92/MPM!$AE93)^(1/6))</f>
        <v>13.178848368915721</v>
      </c>
      <c r="K92" s="43">
        <f t="shared" si="43"/>
        <v>0.50117850275538489</v>
      </c>
      <c r="L92" s="38">
        <f>(MPM!$Q93^2)/(9.81*MPM!$F93*(J92^2))</f>
        <v>0.14691986290915798</v>
      </c>
      <c r="M92" s="36">
        <f>8.1*((L92/MPM!$AE93)^(1/6))</f>
        <v>13.156794967165386</v>
      </c>
      <c r="N92" s="43">
        <f t="shared" si="44"/>
        <v>0.16761986338901763</v>
      </c>
      <c r="O92" s="38">
        <f>(MPM!$Q93^2)/(9.81*MPM!$F93*(M92^2))</f>
        <v>0.14741280944835422</v>
      </c>
      <c r="P92" s="36">
        <f>8.1*((O92/MPM!$AE93)^(1/6))</f>
        <v>13.16414199758251</v>
      </c>
      <c r="Q92" s="43">
        <f t="shared" si="45"/>
        <v>5.5810932596088443E-2</v>
      </c>
      <c r="R92" s="38">
        <f>(MPM!$Q93^2)/(9.81*MPM!$F93*(P92^2))</f>
        <v>0.14724831043794503</v>
      </c>
      <c r="S92" s="36">
        <f>8.1*((R92/MPM!$AE93)^(1/6))</f>
        <v>13.161692531697016</v>
      </c>
      <c r="T92" s="43">
        <f t="shared" si="46"/>
        <v>1.8610569116358791E-2</v>
      </c>
      <c r="U92" s="38">
        <f>(MPM!$Q93^2)/(9.81*MPM!$F93*(S92^2))</f>
        <v>0.14730312303511209</v>
      </c>
      <c r="V92" s="36">
        <f>8.1*((U92/MPM!$AE93)^(1/6))</f>
        <v>13.162508969679692</v>
      </c>
      <c r="W92" s="43">
        <f t="shared" si="47"/>
        <v>6.2027534762329195E-3</v>
      </c>
      <c r="X92" s="38">
        <f>(MPM!$Q93^2)/(9.81*MPM!$F93*(V92^2))</f>
        <v>0.14728484990267898</v>
      </c>
      <c r="Y92" s="36">
        <f>8.1*((X92/MPM!$AE93)^(1/6))</f>
        <v>13.162236818058423</v>
      </c>
      <c r="Z92" s="43">
        <f t="shared" si="48"/>
        <v>2.067669994326169E-3</v>
      </c>
      <c r="AA92" s="38">
        <f>(MPM!$Q93^2)/(9.81*MPM!$F93*(Y92^2))</f>
        <v>0.14729094069494236</v>
      </c>
      <c r="AB92" s="36">
        <f>8.1*((AA92/MPM!$AE93)^(1/6))</f>
        <v>13.162327534640276</v>
      </c>
      <c r="AC92" s="43">
        <f t="shared" si="49"/>
        <v>6.8921383102502542E-4</v>
      </c>
      <c r="AD92" s="38">
        <f>(MPM!$Q93^2)/(9.81*MPM!$F93*(AB92^2))</f>
        <v>0.14728891040286868</v>
      </c>
      <c r="AE92" s="36">
        <f>8.1*((AD92/MPM!$AE93)^(1/6))</f>
        <v>13.162297295710188</v>
      </c>
      <c r="AF92" s="43">
        <f t="shared" si="50"/>
        <v>2.2973899927526247E-4</v>
      </c>
      <c r="AG92" s="38">
        <f>(MPM!$Q93^2)/(9.81*MPM!$F93*(AE92^2))</f>
        <v>0.14728958716378368</v>
      </c>
      <c r="AH92" s="36">
        <f>8.1*((AG92/MPM!$AE93)^(1/6))</f>
        <v>13.162307375345831</v>
      </c>
      <c r="AI92" s="43">
        <f t="shared" si="51"/>
        <v>7.6579549132536751E-5</v>
      </c>
      <c r="AJ92" s="38">
        <f>(MPM!$Q93^2)/(9.81*MPM!$F93*(AH92^2))</f>
        <v>0.14728936157646649</v>
      </c>
      <c r="AK92" s="36">
        <f>8.1*((AJ92/MPM!$AE93)^(1/6))</f>
        <v>13.162304015466425</v>
      </c>
      <c r="AL92" s="43">
        <f t="shared" si="52"/>
        <v>2.5526529412012275E-5</v>
      </c>
      <c r="AM92" s="38">
        <f>(MPM!$Q93^2)/(9.81*MPM!$F93*(AK92^2))</f>
        <v>0.14728943677220052</v>
      </c>
      <c r="AN92" s="36">
        <f>8.1*((AM92/MPM!$AE93)^(1/6))</f>
        <v>13.162305135426134</v>
      </c>
      <c r="AO92" s="43">
        <f t="shared" si="53"/>
        <v>8.508841707053842E-6</v>
      </c>
      <c r="AP92" s="38">
        <f>(MPM!$Q93^2)/(9.81*MPM!$F93*(AN92^2))</f>
        <v>0.14728941170695151</v>
      </c>
      <c r="AQ92" s="36">
        <f>8.1*((AP92/MPM!$AE93)^(1/6))</f>
        <v>13.162304762106219</v>
      </c>
      <c r="AR92" s="43">
        <f t="shared" si="54"/>
        <v>2.8362807439333477E-6</v>
      </c>
      <c r="AS92" s="38">
        <f>(MPM!$Q93^2)/(9.81*MPM!$F93*(AQ92^2))</f>
        <v>0.14728942006203408</v>
      </c>
      <c r="AT92" s="36">
        <f>8.1*((AS92/MPM!$AE93)^(1/6))</f>
        <v>13.16230488654619</v>
      </c>
      <c r="AU92" s="43">
        <f t="shared" si="55"/>
        <v>9.4542690120753276E-7</v>
      </c>
      <c r="AV92" s="38">
        <f>(MPM!$Q93^2)/(9.81*MPM!$F93*(AT92^2))</f>
        <v>0.14728941727700651</v>
      </c>
      <c r="AW92" s="36">
        <f>8.1*((AV92/MPM!$AE93)^(1/6))</f>
        <v>13.162304845066201</v>
      </c>
      <c r="AX92" s="43">
        <f t="shared" si="56"/>
        <v>3.1514229239846516E-7</v>
      </c>
      <c r="AY92" s="38">
        <f>(MPM!$Q93^2)/(9.81*MPM!$F93*(AW92^2))</f>
        <v>0.14728941820534899</v>
      </c>
      <c r="AZ92" s="36">
        <f>8.1*((AY92/MPM!$AE93)^(1/6))</f>
        <v>13.162304858892862</v>
      </c>
      <c r="BA92" s="43">
        <f t="shared" si="57"/>
        <v>1.0504741269475397E-7</v>
      </c>
      <c r="BB92" s="38">
        <f>(MPM!$Q93^2)/(9.81*MPM!$F93*(AZ92^2))</f>
        <v>0.14728941789590155</v>
      </c>
      <c r="BC92" s="36">
        <f>8.1*((BB92/MPM!$AE93)^(1/6))</f>
        <v>13.162304854283978</v>
      </c>
      <c r="BD92" s="43">
        <f t="shared" si="58"/>
        <v>3.5015781750864698E-8</v>
      </c>
      <c r="BE92" s="38">
        <f>(MPM!$Q93^2)/(9.81*MPM!$F93*(BC92^2))</f>
        <v>0.1472894179990506</v>
      </c>
      <c r="BF92" s="36">
        <f>8.1*((BE92/MPM!$AE93)^(1/6))</f>
        <v>13.16230485582027</v>
      </c>
      <c r="BG92" s="43">
        <f t="shared" si="59"/>
        <v>1.1671913753137286E-8</v>
      </c>
      <c r="BH92" s="38">
        <f>(MPM!$Q93^2)/(9.81*MPM!$F93*(BF92^2))</f>
        <v>0.14728941796466766</v>
      </c>
      <c r="BI92" s="36">
        <f>8.1*((BH92/MPM!$AE93)^(1/6))</f>
        <v>13.162304855308173</v>
      </c>
      <c r="BJ92" s="43">
        <f t="shared" si="60"/>
        <v>3.8906334192675963E-9</v>
      </c>
      <c r="BK92" s="38">
        <f>(MPM!$Q93^2)/(9.81*MPM!$F93*(BI92^2))</f>
        <v>0.14728941797612863</v>
      </c>
      <c r="BL92" s="36">
        <f>8.1*((BK92/MPM!$AE93)^(1/6))</f>
        <v>13.162304855478872</v>
      </c>
      <c r="BM92" s="43">
        <f t="shared" si="61"/>
        <v>1.296877806405713E-9</v>
      </c>
      <c r="BN92" s="43">
        <f t="shared" si="62"/>
        <v>7.7812589787957893E-9</v>
      </c>
    </row>
    <row r="93" spans="1:66">
      <c r="A93" s="36">
        <f>MPM!B94</f>
        <v>89</v>
      </c>
      <c r="B93" s="41">
        <f>1/(MPM!AC94^0.5)</f>
        <v>12.823079301477877</v>
      </c>
      <c r="C93" s="38">
        <f>(MPM!$Q94^2)/(9.81*MPM!$F94*(Sheet1!B93^2))</f>
        <v>0.16112119720085855</v>
      </c>
      <c r="D93" s="36">
        <f>8.1*((C93/MPM!$AE94)^(1/6))</f>
        <v>13.360687343308207</v>
      </c>
      <c r="E93" s="41">
        <f t="shared" si="41"/>
        <v>4.0238052730093612</v>
      </c>
      <c r="F93" s="38">
        <f>(MPM!$Q94^2)/(9.81*MPM!$F94*(D93^2))</f>
        <v>0.14841566221643518</v>
      </c>
      <c r="G93" s="36">
        <f>8.1*((F93/MPM!$AE94)^(1/6))</f>
        <v>13.17902585750077</v>
      </c>
      <c r="H93" s="43">
        <f t="shared" si="42"/>
        <v>1.3784136078923115</v>
      </c>
      <c r="I93" s="38">
        <f>(MPM!$Q94^2)/(9.81*MPM!$F94*(G93^2))</f>
        <v>0.15253542491802813</v>
      </c>
      <c r="J93" s="36">
        <f>8.1*((I93/MPM!$AE94)^(1/6))</f>
        <v>13.239303569940002</v>
      </c>
      <c r="K93" s="43">
        <f t="shared" si="43"/>
        <v>0.45529368007010174</v>
      </c>
      <c r="L93" s="38">
        <f>(MPM!$Q94^2)/(9.81*MPM!$F94*(J93^2))</f>
        <v>0.15114961856143022</v>
      </c>
      <c r="M93" s="36">
        <f>8.1*((L93/MPM!$AE94)^(1/6))</f>
        <v>13.21918042836004</v>
      </c>
      <c r="N93" s="43">
        <f t="shared" si="44"/>
        <v>0.15222684711065954</v>
      </c>
      <c r="O93" s="38">
        <f>(MPM!$Q94^2)/(9.81*MPM!$F94*(M93^2))</f>
        <v>0.15161014941814924</v>
      </c>
      <c r="P93" s="36">
        <f>8.1*((O93/MPM!$AE94)^(1/6))</f>
        <v>13.225884741448484</v>
      </c>
      <c r="Q93" s="43">
        <f t="shared" si="45"/>
        <v>5.0690847678663241E-2</v>
      </c>
      <c r="R93" s="38">
        <f>(MPM!$Q94^2)/(9.81*MPM!$F94*(P93^2))</f>
        <v>0.1514564834355038</v>
      </c>
      <c r="S93" s="36">
        <f>8.1*((R93/MPM!$AE94)^(1/6))</f>
        <v>13.223649592704499</v>
      </c>
      <c r="T93" s="43">
        <f t="shared" si="46"/>
        <v>1.6902661616336443E-2</v>
      </c>
      <c r="U93" s="38">
        <f>(MPM!$Q94^2)/(9.81*MPM!$F94*(S93^2))</f>
        <v>0.15150768811639731</v>
      </c>
      <c r="V93" s="36">
        <f>8.1*((U93/MPM!$AE94)^(1/6))</f>
        <v>13.224394600312033</v>
      </c>
      <c r="W93" s="43">
        <f t="shared" si="47"/>
        <v>5.6335857334202447E-3</v>
      </c>
      <c r="X93" s="38">
        <f>(MPM!$Q94^2)/(9.81*MPM!$F94*(V93^2))</f>
        <v>0.15149061796623609</v>
      </c>
      <c r="Y93" s="36">
        <f>8.1*((X93/MPM!$AE94)^(1/6))</f>
        <v>13.224146259779305</v>
      </c>
      <c r="Z93" s="43">
        <f t="shared" si="48"/>
        <v>1.8779324415337225E-3</v>
      </c>
      <c r="AA93" s="38">
        <f>(MPM!$Q94^2)/(9.81*MPM!$F94*(Y93^2))</f>
        <v>0.15149630780258255</v>
      </c>
      <c r="AB93" s="36">
        <f>8.1*((AA93/MPM!$AE94)^(1/6))</f>
        <v>13.224229039438701</v>
      </c>
      <c r="AC93" s="43">
        <f t="shared" si="49"/>
        <v>6.2596964366506502E-4</v>
      </c>
      <c r="AD93" s="38">
        <f>(MPM!$Q94^2)/(9.81*MPM!$F94*(AB93^2))</f>
        <v>0.15149441116672255</v>
      </c>
      <c r="AE93" s="36">
        <f>8.1*((AD93/MPM!$AE94)^(1/6))</f>
        <v>13.224201446161327</v>
      </c>
      <c r="AF93" s="43">
        <f t="shared" si="50"/>
        <v>2.0865741863935078E-4</v>
      </c>
      <c r="AG93" s="38">
        <f>(MPM!$Q94^2)/(9.81*MPM!$F94*(AE93^2))</f>
        <v>0.15149504337603756</v>
      </c>
      <c r="AH93" s="36">
        <f>8.1*((AG93/MPM!$AE94)^(1/6))</f>
        <v>13.224210643914052</v>
      </c>
      <c r="AI93" s="43">
        <f t="shared" si="51"/>
        <v>6.9552376111164376E-5</v>
      </c>
      <c r="AJ93" s="38">
        <f>(MPM!$Q94^2)/(9.81*MPM!$F94*(AH93^2))</f>
        <v>0.15149483263930613</v>
      </c>
      <c r="AK93" s="36">
        <f>8.1*((AJ93/MPM!$AE94)^(1/6))</f>
        <v>13.224207577995768</v>
      </c>
      <c r="AL93" s="43">
        <f t="shared" si="52"/>
        <v>2.3184136105040534E-5</v>
      </c>
      <c r="AM93" s="38">
        <f>(MPM!$Q94^2)/(9.81*MPM!$F94*(AK93^2))</f>
        <v>0.15149490288485065</v>
      </c>
      <c r="AN93" s="36">
        <f>8.1*((AM93/MPM!$AE94)^(1/6))</f>
        <v>13.224208599968449</v>
      </c>
      <c r="AO93" s="43">
        <f t="shared" si="53"/>
        <v>7.7280441621749371E-6</v>
      </c>
      <c r="AP93" s="38">
        <f>(MPM!$Q94^2)/(9.81*MPM!$F94*(AN93^2))</f>
        <v>0.15149487946966556</v>
      </c>
      <c r="AQ93" s="36">
        <f>8.1*((AP93/MPM!$AE94)^(1/6))</f>
        <v>13.224208259310879</v>
      </c>
      <c r="AR93" s="43">
        <f t="shared" si="54"/>
        <v>2.5760148587241084E-6</v>
      </c>
      <c r="AS93" s="38">
        <f>(MPM!$Q94^2)/(9.81*MPM!$F94*(AQ93^2))</f>
        <v>0.15149488727472685</v>
      </c>
      <c r="AT93" s="36">
        <f>8.1*((AS93/MPM!$AE94)^(1/6))</f>
        <v>13.224208372863401</v>
      </c>
      <c r="AU93" s="43">
        <f t="shared" si="55"/>
        <v>8.5867160324645762E-7</v>
      </c>
      <c r="AV93" s="38">
        <f>(MPM!$Q94^2)/(9.81*MPM!$F94*(AT93^2))</f>
        <v>0.15149488467303973</v>
      </c>
      <c r="AW93" s="36">
        <f>8.1*((AV93/MPM!$AE94)^(1/6))</f>
        <v>13.224208335012563</v>
      </c>
      <c r="AX93" s="43">
        <f t="shared" si="56"/>
        <v>2.8622385513544638E-7</v>
      </c>
      <c r="AY93" s="38">
        <f>(MPM!$Q94^2)/(9.81*MPM!$F94*(AW93^2))</f>
        <v>0.15149488554026871</v>
      </c>
      <c r="AZ93" s="36">
        <f>8.1*((AY93/MPM!$AE94)^(1/6))</f>
        <v>13.224208347629508</v>
      </c>
      <c r="BA93" s="43">
        <f t="shared" si="57"/>
        <v>9.5407947143250738E-8</v>
      </c>
      <c r="BB93" s="38">
        <f>(MPM!$Q94^2)/(9.81*MPM!$F94*(AZ93^2))</f>
        <v>0.1514948852511924</v>
      </c>
      <c r="BC93" s="36">
        <f>8.1*((BB93/MPM!$AE94)^(1/6))</f>
        <v>13.224208343423861</v>
      </c>
      <c r="BD93" s="43">
        <f t="shared" si="58"/>
        <v>3.1802640102788442E-8</v>
      </c>
      <c r="BE93" s="38">
        <f>(MPM!$Q94^2)/(9.81*MPM!$F94*(BC93^2))</f>
        <v>0.15149488534755118</v>
      </c>
      <c r="BF93" s="36">
        <f>8.1*((BE93/MPM!$AE94)^(1/6))</f>
        <v>13.224208344825742</v>
      </c>
      <c r="BG93" s="43">
        <f t="shared" si="59"/>
        <v>1.0600871078063139E-8</v>
      </c>
      <c r="BH93" s="38">
        <f>(MPM!$Q94^2)/(9.81*MPM!$F94*(BF93^2))</f>
        <v>0.15149488531543159</v>
      </c>
      <c r="BI93" s="36">
        <f>8.1*((BH93/MPM!$AE94)^(1/6))</f>
        <v>13.224208344358448</v>
      </c>
      <c r="BJ93" s="43">
        <f t="shared" si="60"/>
        <v>3.533623692812578E-9</v>
      </c>
      <c r="BK93" s="38">
        <f>(MPM!$Q94^2)/(9.81*MPM!$F94*(BI93^2))</f>
        <v>0.15149488532613814</v>
      </c>
      <c r="BL93" s="36">
        <f>8.1*((BK93/MPM!$AE94)^(1/6))</f>
        <v>13.224208344514215</v>
      </c>
      <c r="BM93" s="43">
        <f t="shared" si="61"/>
        <v>1.1778924744087626E-9</v>
      </c>
      <c r="BN93" s="43">
        <f t="shared" si="62"/>
        <v>7.0672661570231292E-9</v>
      </c>
    </row>
    <row r="94" spans="1:66">
      <c r="A94" s="36">
        <f>MPM!B95</f>
        <v>90</v>
      </c>
      <c r="B94" s="41">
        <f>1/(MPM!AC95^0.5)</f>
        <v>12.789955240579584</v>
      </c>
      <c r="C94" s="38">
        <f>(MPM!$Q95^2)/(9.81*MPM!$F95*(Sheet1!B94^2))</f>
        <v>0.11043546081883336</v>
      </c>
      <c r="D94" s="36">
        <f>8.1*((C94/MPM!$AE95)^(1/6))</f>
        <v>12.545503973754174</v>
      </c>
      <c r="E94" s="41">
        <f t="shared" si="41"/>
        <v>1.9485169136035816</v>
      </c>
      <c r="F94" s="38">
        <f>(MPM!$Q95^2)/(9.81*MPM!$F95*(D94^2))</f>
        <v>0.11478109731616401</v>
      </c>
      <c r="G94" s="36">
        <f>8.1*((F94/MPM!$AE95)^(1/6))</f>
        <v>12.626464143491956</v>
      </c>
      <c r="H94" s="43">
        <f t="shared" si="42"/>
        <v>0.64119431075651845</v>
      </c>
      <c r="I94" s="38">
        <f>(MPM!$Q95^2)/(9.81*MPM!$F95*(G94^2))</f>
        <v>0.11331387658144221</v>
      </c>
      <c r="J94" s="36">
        <f>8.1*((I94/MPM!$AE95)^(1/6))</f>
        <v>12.599419534788234</v>
      </c>
      <c r="K94" s="43">
        <f t="shared" si="43"/>
        <v>0.21464964023976932</v>
      </c>
      <c r="L94" s="38">
        <f>(MPM!$Q95^2)/(9.81*MPM!$F95*(J94^2))</f>
        <v>0.11380085432594848</v>
      </c>
      <c r="M94" s="36">
        <f>8.1*((L94/MPM!$AE95)^(1/6))</f>
        <v>12.608427961908554</v>
      </c>
      <c r="N94" s="43">
        <f t="shared" si="44"/>
        <v>7.1447663003942188E-2</v>
      </c>
      <c r="O94" s="38">
        <f>(MPM!$Q95^2)/(9.81*MPM!$F95*(M94^2))</f>
        <v>0.11363829631686186</v>
      </c>
      <c r="P94" s="36">
        <f>8.1*((O94/MPM!$AE95)^(1/6))</f>
        <v>12.60542443743882</v>
      </c>
      <c r="Q94" s="43">
        <f t="shared" si="45"/>
        <v>2.3827237905710088E-2</v>
      </c>
      <c r="R94" s="38">
        <f>(MPM!$Q95^2)/(9.81*MPM!$F95*(P94^2))</f>
        <v>0.11369245650296225</v>
      </c>
      <c r="S94" s="36">
        <f>8.1*((R94/MPM!$AE95)^(1/6))</f>
        <v>12.606425532755152</v>
      </c>
      <c r="T94" s="43">
        <f t="shared" si="46"/>
        <v>7.9411512306177962E-3</v>
      </c>
      <c r="U94" s="38">
        <f>(MPM!$Q95^2)/(9.81*MPM!$F95*(S94^2))</f>
        <v>0.11367440024011088</v>
      </c>
      <c r="V94" s="36">
        <f>8.1*((U94/MPM!$AE95)^(1/6))</f>
        <v>12.606091825482819</v>
      </c>
      <c r="W94" s="43">
        <f t="shared" si="47"/>
        <v>2.6471905563787701E-3</v>
      </c>
      <c r="X94" s="38">
        <f>(MPM!$Q95^2)/(9.81*MPM!$F95*(V94^2))</f>
        <v>0.11368041867574591</v>
      </c>
      <c r="Y94" s="36">
        <f>8.1*((X94/MPM!$AE95)^(1/6))</f>
        <v>12.606203060258737</v>
      </c>
      <c r="Z94" s="43">
        <f t="shared" si="48"/>
        <v>8.8238127996607973E-4</v>
      </c>
      <c r="AA94" s="38">
        <f>(MPM!$Q95^2)/(9.81*MPM!$F95*(Y94^2))</f>
        <v>0.11367841249513026</v>
      </c>
      <c r="AB94" s="36">
        <f>8.1*((AA94/MPM!$AE95)^(1/6))</f>
        <v>12.60616598189104</v>
      </c>
      <c r="AC94" s="43">
        <f t="shared" si="49"/>
        <v>2.9412882354814981E-4</v>
      </c>
      <c r="AD94" s="38">
        <f>(MPM!$Q95^2)/(9.81*MPM!$F95*(AB94^2))</f>
        <v>0.11367908121806833</v>
      </c>
      <c r="AE94" s="36">
        <f>8.1*((AD94/MPM!$AE95)^(1/6))</f>
        <v>12.606178341334822</v>
      </c>
      <c r="AF94" s="43">
        <f t="shared" si="50"/>
        <v>9.8042748933521164E-5</v>
      </c>
      <c r="AG94" s="38">
        <f>(MPM!$Q95^2)/(9.81*MPM!$F95*(AE94^2))</f>
        <v>0.11367885830998521</v>
      </c>
      <c r="AH94" s="36">
        <f>8.1*((AG94/MPM!$AE95)^(1/6))</f>
        <v>12.606174221518883</v>
      </c>
      <c r="AI94" s="43">
        <f t="shared" si="51"/>
        <v>3.268093766331275E-5</v>
      </c>
      <c r="AJ94" s="38">
        <f>(MPM!$Q95^2)/(9.81*MPM!$F95*(AH94^2))</f>
        <v>0.113678932612631</v>
      </c>
      <c r="AK94" s="36">
        <f>8.1*((AJ94/MPM!$AE95)^(1/6))</f>
        <v>12.606175594790711</v>
      </c>
      <c r="AL94" s="43">
        <f t="shared" si="52"/>
        <v>1.0893643503307055E-5</v>
      </c>
      <c r="AM94" s="38">
        <f>(MPM!$Q95^2)/(9.81*MPM!$F95*(AK94^2))</f>
        <v>0.11367890784507702</v>
      </c>
      <c r="AN94" s="36">
        <f>8.1*((AM94/MPM!$AE95)^(1/6))</f>
        <v>12.606175137033418</v>
      </c>
      <c r="AO94" s="43">
        <f t="shared" si="53"/>
        <v>3.6312147691741362E-6</v>
      </c>
      <c r="AP94" s="38">
        <f>(MPM!$Q95^2)/(9.81*MPM!$F95*(AN94^2))</f>
        <v>0.11367891610092776</v>
      </c>
      <c r="AQ94" s="36">
        <f>8.1*((AP94/MPM!$AE95)^(1/6))</f>
        <v>12.606175289619181</v>
      </c>
      <c r="AR94" s="43">
        <f t="shared" si="54"/>
        <v>1.210404894316081E-6</v>
      </c>
      <c r="AS94" s="38">
        <f>(MPM!$Q95^2)/(9.81*MPM!$F95*(AQ94^2))</f>
        <v>0.11367891334897745</v>
      </c>
      <c r="AT94" s="36">
        <f>8.1*((AS94/MPM!$AE95)^(1/6))</f>
        <v>12.606175238757261</v>
      </c>
      <c r="AU94" s="43">
        <f t="shared" si="55"/>
        <v>4.034682856420628E-7</v>
      </c>
      <c r="AV94" s="38">
        <f>(MPM!$Q95^2)/(9.81*MPM!$F95*(AT94^2))</f>
        <v>0.11367891426629417</v>
      </c>
      <c r="AW94" s="36">
        <f>8.1*((AV94/MPM!$AE95)^(1/6))</f>
        <v>12.606175255711234</v>
      </c>
      <c r="AX94" s="43">
        <f t="shared" si="56"/>
        <v>1.3448942366942552E-7</v>
      </c>
      <c r="AY94" s="38">
        <f>(MPM!$Q95^2)/(9.81*MPM!$F95*(AW94^2))</f>
        <v>0.11367891396052195</v>
      </c>
      <c r="AZ94" s="36">
        <f>8.1*((AY94/MPM!$AE95)^(1/6))</f>
        <v>12.606175250059909</v>
      </c>
      <c r="BA94" s="43">
        <f t="shared" si="57"/>
        <v>4.4829812606960323E-8</v>
      </c>
      <c r="BB94" s="38">
        <f>(MPM!$Q95^2)/(9.81*MPM!$F95*(AZ94^2))</f>
        <v>0.11367891406244603</v>
      </c>
      <c r="BC94" s="36">
        <f>8.1*((BB94/MPM!$AE95)^(1/6))</f>
        <v>12.606175251943684</v>
      </c>
      <c r="BD94" s="43">
        <f t="shared" si="58"/>
        <v>1.494327086675376E-8</v>
      </c>
      <c r="BE94" s="38">
        <f>(MPM!$Q95^2)/(9.81*MPM!$F95*(BC94^2))</f>
        <v>0.11367891402847134</v>
      </c>
      <c r="BF94" s="36">
        <f>8.1*((BE94/MPM!$AE95)^(1/6))</f>
        <v>12.606175251315758</v>
      </c>
      <c r="BG94" s="43">
        <f t="shared" si="59"/>
        <v>4.9810996832754226E-9</v>
      </c>
      <c r="BH94" s="38">
        <f>(MPM!$Q95^2)/(9.81*MPM!$F95*(BF94^2))</f>
        <v>0.11367891403979626</v>
      </c>
      <c r="BI94" s="36">
        <f>8.1*((BH94/MPM!$AE95)^(1/6))</f>
        <v>12.606175251525068</v>
      </c>
      <c r="BJ94" s="43">
        <f t="shared" si="60"/>
        <v>1.6603759551736286E-9</v>
      </c>
      <c r="BK94" s="38">
        <f>(MPM!$Q95^2)/(9.81*MPM!$F95*(BI94^2))</f>
        <v>0.11367891403602126</v>
      </c>
      <c r="BL94" s="36">
        <f>8.1*((BK94/MPM!$AE95)^(1/6))</f>
        <v>12.606175251455298</v>
      </c>
      <c r="BM94" s="43">
        <f t="shared" si="61"/>
        <v>5.5345865172760606E-10</v>
      </c>
      <c r="BN94" s="43">
        <f t="shared" si="62"/>
        <v>3.3207514675255329E-9</v>
      </c>
    </row>
    <row r="95" spans="1:66">
      <c r="A95" s="36">
        <f>MPM!B96</f>
        <v>91</v>
      </c>
      <c r="B95" s="41">
        <f>1/(MPM!AC96^0.5)</f>
        <v>12.907145314623058</v>
      </c>
      <c r="C95" s="38">
        <f>(MPM!$Q96^2)/(9.81*MPM!$F96*(Sheet1!B95^2))</f>
        <v>0.12893843801908816</v>
      </c>
      <c r="D95" s="36">
        <f>8.1*((C95/MPM!$AE96)^(1/6))</f>
        <v>12.873612181748552</v>
      </c>
      <c r="E95" s="41">
        <f t="shared" si="41"/>
        <v>0.26047959501256079</v>
      </c>
      <c r="F95" s="38">
        <f>(MPM!$Q96^2)/(9.81*MPM!$F96*(D95^2))</f>
        <v>0.12961102950381825</v>
      </c>
      <c r="G95" s="36">
        <f>8.1*((F95/MPM!$AE96)^(1/6))</f>
        <v>12.884780201508143</v>
      </c>
      <c r="H95" s="43">
        <f t="shared" si="42"/>
        <v>8.6676059544141232E-2</v>
      </c>
      <c r="I95" s="38">
        <f>(MPM!$Q96^2)/(9.81*MPM!$F96*(G95^2))</f>
        <v>0.12938644341098873</v>
      </c>
      <c r="J95" s="36">
        <f>8.1*((I95/MPM!$AE96)^(1/6))</f>
        <v>12.881056452181234</v>
      </c>
      <c r="K95" s="43">
        <f t="shared" si="43"/>
        <v>2.890872608727928E-2</v>
      </c>
      <c r="L95" s="38">
        <f>(MPM!$Q96^2)/(9.81*MPM!$F96*(J95^2))</f>
        <v>0.12946126216904019</v>
      </c>
      <c r="M95" s="36">
        <f>8.1*((L95/MPM!$AE96)^(1/6))</f>
        <v>12.882297582366242</v>
      </c>
      <c r="N95" s="43">
        <f t="shared" si="44"/>
        <v>9.634385303339342E-3</v>
      </c>
      <c r="O95" s="38">
        <f>(MPM!$Q96^2)/(9.81*MPM!$F96*(M95^2))</f>
        <v>0.12943631777708564</v>
      </c>
      <c r="P95" s="36">
        <f>8.1*((O95/MPM!$AE96)^(1/6))</f>
        <v>12.881883859017723</v>
      </c>
      <c r="Q95" s="43">
        <f t="shared" si="45"/>
        <v>3.2116680529551433E-3</v>
      </c>
      <c r="R95" s="38">
        <f>(MPM!$Q96^2)/(9.81*MPM!$F96*(P95^2))</f>
        <v>0.12944463204033069</v>
      </c>
      <c r="S95" s="36">
        <f>8.1*((R95/MPM!$AE96)^(1/6))</f>
        <v>12.882021765324208</v>
      </c>
      <c r="T95" s="43">
        <f t="shared" si="46"/>
        <v>1.0705330964103535E-3</v>
      </c>
      <c r="U95" s="38">
        <f>(MPM!$Q96^2)/(9.81*MPM!$F96*(S95^2))</f>
        <v>0.12944186055991055</v>
      </c>
      <c r="V95" s="36">
        <f>8.1*((U95/MPM!$AE96)^(1/6))</f>
        <v>12.881975796391343</v>
      </c>
      <c r="W95" s="43">
        <f t="shared" si="47"/>
        <v>3.5684691223809872E-4</v>
      </c>
      <c r="X95" s="38">
        <f>(MPM!$Q96^2)/(9.81*MPM!$F96*(V95^2))</f>
        <v>0.12944278438012397</v>
      </c>
      <c r="Y95" s="36">
        <f>8.1*((X95/MPM!$AE96)^(1/6))</f>
        <v>12.881991119350738</v>
      </c>
      <c r="Z95" s="43">
        <f t="shared" si="48"/>
        <v>1.1894868777335079E-4</v>
      </c>
      <c r="AA95" s="38">
        <f>(MPM!$Q96^2)/(9.81*MPM!$F96*(Y95^2))</f>
        <v>0.12944247643932022</v>
      </c>
      <c r="AB95" s="36">
        <f>8.1*((AA95/MPM!$AE96)^(1/6))</f>
        <v>12.881986011695579</v>
      </c>
      <c r="AC95" s="43">
        <f t="shared" si="49"/>
        <v>3.9649594050382595E-5</v>
      </c>
      <c r="AD95" s="38">
        <f>(MPM!$Q96^2)/(9.81*MPM!$F96*(AB95^2))</f>
        <v>0.12944257908617346</v>
      </c>
      <c r="AE95" s="36">
        <f>8.1*((AD95/MPM!$AE96)^(1/6))</f>
        <v>12.881987714247074</v>
      </c>
      <c r="AF95" s="43">
        <f t="shared" si="50"/>
        <v>1.3216527861292246E-5</v>
      </c>
      <c r="AG95" s="38">
        <f>(MPM!$Q96^2)/(9.81*MPM!$F96*(AE95^2))</f>
        <v>0.12944254487054666</v>
      </c>
      <c r="AH95" s="36">
        <f>8.1*((AG95/MPM!$AE96)^(1/6))</f>
        <v>12.881987146729884</v>
      </c>
      <c r="AI95" s="43">
        <f t="shared" si="51"/>
        <v>4.4055096788315214E-6</v>
      </c>
      <c r="AJ95" s="38">
        <f>(MPM!$Q96^2)/(9.81*MPM!$F96*(AH95^2))</f>
        <v>0.1294425562757546</v>
      </c>
      <c r="AK95" s="36">
        <f>8.1*((AJ95/MPM!$AE96)^(1/6))</f>
        <v>12.881987335902277</v>
      </c>
      <c r="AL95" s="43">
        <f t="shared" si="52"/>
        <v>1.4685031771332319E-6</v>
      </c>
      <c r="AM95" s="38">
        <f>(MPM!$Q96^2)/(9.81*MPM!$F96*(AK95^2))</f>
        <v>0.12944255247401851</v>
      </c>
      <c r="AN95" s="36">
        <f>8.1*((AM95/MPM!$AE96)^(1/6))</f>
        <v>12.881987272844814</v>
      </c>
      <c r="AO95" s="43">
        <f t="shared" si="53"/>
        <v>4.8950105224754828E-7</v>
      </c>
      <c r="AP95" s="38">
        <f>(MPM!$Q96^2)/(9.81*MPM!$F96*(AN95^2))</f>
        <v>0.12944255374126382</v>
      </c>
      <c r="AQ95" s="36">
        <f>8.1*((AP95/MPM!$AE96)^(1/6))</f>
        <v>12.881987293863968</v>
      </c>
      <c r="AR95" s="43">
        <f t="shared" si="54"/>
        <v>1.6316701714961466E-7</v>
      </c>
      <c r="AS95" s="38">
        <f>(MPM!$Q96^2)/(9.81*MPM!$F96*(AQ95^2))</f>
        <v>0.12944255331884871</v>
      </c>
      <c r="AT95" s="36">
        <f>8.1*((AS95/MPM!$AE96)^(1/6))</f>
        <v>12.881987286857585</v>
      </c>
      <c r="AU95" s="43">
        <f t="shared" si="55"/>
        <v>5.4388991956657101E-8</v>
      </c>
      <c r="AV95" s="38">
        <f>(MPM!$Q96^2)/(9.81*MPM!$F96*(AT95^2))</f>
        <v>0.12944255345965372</v>
      </c>
      <c r="AW95" s="36">
        <f>8.1*((AV95/MPM!$AE96)^(1/6))</f>
        <v>12.881987289193045</v>
      </c>
      <c r="AX95" s="43">
        <f t="shared" si="56"/>
        <v>1.812965478929035E-8</v>
      </c>
      <c r="AY95" s="38">
        <f>(MPM!$Q96^2)/(9.81*MPM!$F96*(AW95^2))</f>
        <v>0.12944255341271874</v>
      </c>
      <c r="AZ95" s="36">
        <f>8.1*((AY95/MPM!$AE96)^(1/6))</f>
        <v>12.881987288414559</v>
      </c>
      <c r="BA95" s="43">
        <f t="shared" si="57"/>
        <v>6.0432182634619881E-9</v>
      </c>
      <c r="BB95" s="38">
        <f>(MPM!$Q96^2)/(9.81*MPM!$F96*(AZ95^2))</f>
        <v>0.12944255342836375</v>
      </c>
      <c r="BC95" s="36">
        <f>8.1*((BB95/MPM!$AE96)^(1/6))</f>
        <v>12.881987288674054</v>
      </c>
      <c r="BD95" s="43">
        <f t="shared" si="58"/>
        <v>2.0144060877800847E-9</v>
      </c>
      <c r="BE95" s="38">
        <f>(MPM!$Q96^2)/(9.81*MPM!$F96*(BC95^2))</f>
        <v>0.12944255342314875</v>
      </c>
      <c r="BF95" s="36">
        <f>8.1*((BE95/MPM!$AE96)^(1/6))</f>
        <v>12.881987288587556</v>
      </c>
      <c r="BG95" s="43">
        <f t="shared" si="59"/>
        <v>6.7146409944361809E-10</v>
      </c>
      <c r="BH95" s="38">
        <f>(MPM!$Q96^2)/(9.81*MPM!$F96*(BF95^2))</f>
        <v>0.12944255342488706</v>
      </c>
      <c r="BI95" s="36">
        <f>8.1*((BH95/MPM!$AE96)^(1/6))</f>
        <v>12.881987288616388</v>
      </c>
      <c r="BJ95" s="43">
        <f t="shared" si="60"/>
        <v>2.2381676999311976E-10</v>
      </c>
      <c r="BK95" s="38">
        <f>(MPM!$Q96^2)/(9.81*MPM!$F96*(BI95^2))</f>
        <v>0.12944255342430763</v>
      </c>
      <c r="BL95" s="36">
        <f>8.1*((BK95/MPM!$AE96)^(1/6))</f>
        <v>12.881987288606778</v>
      </c>
      <c r="BM95" s="43">
        <f t="shared" si="61"/>
        <v>7.4600993510176895E-11</v>
      </c>
      <c r="BN95" s="43">
        <f t="shared" si="62"/>
        <v>4.4763130919747493E-10</v>
      </c>
    </row>
    <row r="96" spans="1:66">
      <c r="A96" s="36">
        <f>MPM!B97</f>
        <v>92</v>
      </c>
      <c r="B96" s="41">
        <f>1/(MPM!AC97^0.5)</f>
        <v>12.643384610706374</v>
      </c>
      <c r="C96" s="38">
        <f>(MPM!$Q97^2)/(9.81*MPM!$F97*(Sheet1!B96^2))</f>
        <v>0.15364501474372957</v>
      </c>
      <c r="D96" s="36">
        <f>8.1*((C96/MPM!$AE97)^(1/6))</f>
        <v>12.224962597587238</v>
      </c>
      <c r="E96" s="41">
        <f t="shared" si="41"/>
        <v>3.422685425652892</v>
      </c>
      <c r="F96" s="38">
        <f>(MPM!$Q97^2)/(9.81*MPM!$F97*(D96^2))</f>
        <v>0.16434257748327605</v>
      </c>
      <c r="G96" s="36">
        <f>8.1*((F96/MPM!$AE97)^(1/6))</f>
        <v>12.362874933817682</v>
      </c>
      <c r="H96" s="43">
        <f t="shared" si="42"/>
        <v>1.1155361270637458</v>
      </c>
      <c r="I96" s="38">
        <f>(MPM!$Q97^2)/(9.81*MPM!$F97*(G96^2))</f>
        <v>0.16069642696833789</v>
      </c>
      <c r="J96" s="36">
        <f>8.1*((I96/MPM!$AE97)^(1/6))</f>
        <v>12.316732147526876</v>
      </c>
      <c r="K96" s="43">
        <f t="shared" si="43"/>
        <v>0.37463497409961583</v>
      </c>
      <c r="L96" s="38">
        <f>(MPM!$Q97^2)/(9.81*MPM!$F97*(J96^2))</f>
        <v>0.16190273239971015</v>
      </c>
      <c r="M96" s="36">
        <f>8.1*((L96/MPM!$AE97)^(1/6))</f>
        <v>12.332093908721307</v>
      </c>
      <c r="N96" s="43">
        <f t="shared" si="44"/>
        <v>0.12456733875150477</v>
      </c>
      <c r="O96" s="38">
        <f>(MPM!$Q97^2)/(9.81*MPM!$F97*(M96^2))</f>
        <v>0.16149962777430174</v>
      </c>
      <c r="P96" s="36">
        <f>8.1*((O96/MPM!$AE97)^(1/6))</f>
        <v>12.326971193990849</v>
      </c>
      <c r="Q96" s="43">
        <f t="shared" si="45"/>
        <v>4.1556961964470403E-2</v>
      </c>
      <c r="R96" s="38">
        <f>(MPM!$Q97^2)/(9.81*MPM!$F97*(P96^2))</f>
        <v>0.16163388434275586</v>
      </c>
      <c r="S96" s="36">
        <f>8.1*((R96/MPM!$AE97)^(1/6))</f>
        <v>12.328678529083973</v>
      </c>
      <c r="T96" s="43">
        <f t="shared" si="46"/>
        <v>1.3848484159083191E-2</v>
      </c>
      <c r="U96" s="38">
        <f>(MPM!$Q97^2)/(9.81*MPM!$F97*(S96^2))</f>
        <v>0.16158911975684098</v>
      </c>
      <c r="V96" s="36">
        <f>8.1*((U96/MPM!$AE97)^(1/6))</f>
        <v>12.328109391113129</v>
      </c>
      <c r="W96" s="43">
        <f t="shared" si="47"/>
        <v>4.6165876111903649E-3</v>
      </c>
      <c r="X96" s="38">
        <f>(MPM!$Q97^2)/(9.81*MPM!$F97*(V96^2))</f>
        <v>0.16160403990780139</v>
      </c>
      <c r="Y96" s="36">
        <f>8.1*((X96/MPM!$AE97)^(1/6))</f>
        <v>12.328299100850735</v>
      </c>
      <c r="Z96" s="43">
        <f t="shared" si="48"/>
        <v>1.5388151768084941E-3</v>
      </c>
      <c r="AA96" s="38">
        <f>(MPM!$Q97^2)/(9.81*MPM!$F97*(Y96^2))</f>
        <v>0.16159906637108357</v>
      </c>
      <c r="AB96" s="36">
        <f>8.1*((AA96/MPM!$AE97)^(1/6))</f>
        <v>12.328235863947166</v>
      </c>
      <c r="AC96" s="43">
        <f t="shared" si="49"/>
        <v>5.1294365444860845E-4</v>
      </c>
      <c r="AD96" s="38">
        <f>(MPM!$Q97^2)/(9.81*MPM!$F97*(AB96^2))</f>
        <v>0.16160072419964863</v>
      </c>
      <c r="AE96" s="36">
        <f>8.1*((AD96/MPM!$AE97)^(1/6))</f>
        <v>12.328256942878982</v>
      </c>
      <c r="AF96" s="43">
        <f t="shared" si="50"/>
        <v>1.7098063346413707E-4</v>
      </c>
      <c r="AG96" s="38">
        <f>(MPM!$Q97^2)/(9.81*MPM!$F97*(AE96^2))</f>
        <v>0.16160017158823722</v>
      </c>
      <c r="AH96" s="36">
        <f>8.1*((AG96/MPM!$AE97)^(1/6))</f>
        <v>12.328249916564371</v>
      </c>
      <c r="AI96" s="43">
        <f t="shared" si="51"/>
        <v>5.6993609462640384E-5</v>
      </c>
      <c r="AJ96" s="38">
        <f>(MPM!$Q97^2)/(9.81*MPM!$F97*(AH96^2))</f>
        <v>0.16160035579183107</v>
      </c>
      <c r="AK96" s="36">
        <f>8.1*((AJ96/MPM!$AE97)^(1/6))</f>
        <v>12.328252258668796</v>
      </c>
      <c r="AL96" s="43">
        <f t="shared" si="52"/>
        <v>1.8997862599877681E-5</v>
      </c>
      <c r="AM96" s="38">
        <f>(MPM!$Q97^2)/(9.81*MPM!$F97*(AK96^2))</f>
        <v>0.1616002943906098</v>
      </c>
      <c r="AN96" s="36">
        <f>8.1*((AM96/MPM!$AE97)^(1/6))</f>
        <v>12.328251477967271</v>
      </c>
      <c r="AO96" s="43">
        <f t="shared" si="53"/>
        <v>6.3326216710940635E-6</v>
      </c>
      <c r="AP96" s="38">
        <f>(MPM!$Q97^2)/(9.81*MPM!$F97*(AN96^2))</f>
        <v>0.16160031485768098</v>
      </c>
      <c r="AQ96" s="36">
        <f>8.1*((AP96/MPM!$AE97)^(1/6))</f>
        <v>12.328251738201107</v>
      </c>
      <c r="AR96" s="43">
        <f t="shared" si="54"/>
        <v>2.1108738025803137E-6</v>
      </c>
      <c r="AS96" s="38">
        <f>(MPM!$Q97^2)/(9.81*MPM!$F97*(AQ96^2))</f>
        <v>0.16160030803532363</v>
      </c>
      <c r="AT96" s="36">
        <f>8.1*((AS96/MPM!$AE97)^(1/6))</f>
        <v>12.328251651456496</v>
      </c>
      <c r="AU96" s="43">
        <f t="shared" si="55"/>
        <v>7.0362460100803708E-7</v>
      </c>
      <c r="AV96" s="38">
        <f>(MPM!$Q97^2)/(9.81*MPM!$F97*(AT96^2))</f>
        <v>0.16160031030944266</v>
      </c>
      <c r="AW96" s="36">
        <f>8.1*((AV96/MPM!$AE97)^(1/6))</f>
        <v>12.328251680371366</v>
      </c>
      <c r="AX96" s="43">
        <f t="shared" si="56"/>
        <v>2.3454153311924838E-7</v>
      </c>
      <c r="AY96" s="38">
        <f>(MPM!$Q97^2)/(9.81*MPM!$F97*(AW96^2))</f>
        <v>0.161600309551403</v>
      </c>
      <c r="AZ96" s="36">
        <f>8.1*((AY96/MPM!$AE97)^(1/6))</f>
        <v>12.328251670733076</v>
      </c>
      <c r="BA96" s="43">
        <f t="shared" si="57"/>
        <v>7.8180511100871384E-8</v>
      </c>
      <c r="BB96" s="38">
        <f>(MPM!$Q97^2)/(9.81*MPM!$F97*(AZ96^2))</f>
        <v>0.16160030980408288</v>
      </c>
      <c r="BC96" s="36">
        <f>8.1*((BB96/MPM!$AE97)^(1/6))</f>
        <v>12.328251673945838</v>
      </c>
      <c r="BD96" s="43">
        <f t="shared" si="58"/>
        <v>2.6060155951335694E-8</v>
      </c>
      <c r="BE96" s="38">
        <f>(MPM!$Q97^2)/(9.81*MPM!$F97*(BC96^2))</f>
        <v>0.16160030971985631</v>
      </c>
      <c r="BF96" s="36">
        <f>8.1*((BE96/MPM!$AE97)^(1/6))</f>
        <v>12.328251672874918</v>
      </c>
      <c r="BG96" s="43">
        <f t="shared" si="59"/>
        <v>8.6867090453130799E-9</v>
      </c>
      <c r="BH96" s="38">
        <f>(MPM!$Q97^2)/(9.81*MPM!$F97*(BF96^2))</f>
        <v>0.16160030974793183</v>
      </c>
      <c r="BI96" s="36">
        <f>8.1*((BH96/MPM!$AE97)^(1/6))</f>
        <v>12.328251673231891</v>
      </c>
      <c r="BJ96" s="43">
        <f t="shared" si="60"/>
        <v>2.8955696816871833E-9</v>
      </c>
      <c r="BK96" s="38">
        <f>(MPM!$Q97^2)/(9.81*MPM!$F97*(BI96^2))</f>
        <v>0.16160030973857331</v>
      </c>
      <c r="BL96" s="36">
        <f>8.1*((BK96/MPM!$AE97)^(1/6))</f>
        <v>12.3282516731129</v>
      </c>
      <c r="BM96" s="43">
        <f t="shared" si="61"/>
        <v>9.6518989390504376E-10</v>
      </c>
      <c r="BN96" s="43">
        <f t="shared" si="62"/>
        <v>5.7911485311599356E-9</v>
      </c>
    </row>
    <row r="97" spans="1:66">
      <c r="A97" s="36">
        <f>MPM!B98</f>
        <v>93</v>
      </c>
      <c r="B97" s="41">
        <f>1/(MPM!AC98^0.5)</f>
        <v>12.6482080885075</v>
      </c>
      <c r="C97" s="38">
        <f>(MPM!$Q98^2)/(9.81*MPM!$F98*(Sheet1!B97^2))</f>
        <v>0.14402721699780971</v>
      </c>
      <c r="D97" s="36">
        <f>8.1*((C97/MPM!$AE98)^(1/6))</f>
        <v>12.093960755332738</v>
      </c>
      <c r="E97" s="41">
        <f t="shared" si="41"/>
        <v>4.5828438208745759</v>
      </c>
      <c r="F97" s="38">
        <f>(MPM!$Q98^2)/(9.81*MPM!$F98*(D97^2))</f>
        <v>0.15753079437712311</v>
      </c>
      <c r="G97" s="36">
        <f>8.1*((F97/MPM!$AE98)^(1/6))</f>
        <v>12.27595734316907</v>
      </c>
      <c r="H97" s="43">
        <f t="shared" si="42"/>
        <v>1.4825449677666396</v>
      </c>
      <c r="I97" s="38">
        <f>(MPM!$Q98^2)/(9.81*MPM!$F98*(G97^2))</f>
        <v>0.1528944889645073</v>
      </c>
      <c r="J97" s="36">
        <f>8.1*((I97/MPM!$AE98)^(1/6))</f>
        <v>12.214989522055749</v>
      </c>
      <c r="K97" s="43">
        <f t="shared" si="43"/>
        <v>0.49912299149529188</v>
      </c>
      <c r="L97" s="38">
        <f>(MPM!$Q98^2)/(9.81*MPM!$F98*(J97^2))</f>
        <v>0.15442456102381666</v>
      </c>
      <c r="M97" s="36">
        <f>8.1*((L97/MPM!$AE98)^(1/6))</f>
        <v>12.235278410937662</v>
      </c>
      <c r="N97" s="43">
        <f t="shared" si="44"/>
        <v>0.16582286238599753</v>
      </c>
      <c r="O97" s="38">
        <f>(MPM!$Q98^2)/(9.81*MPM!$F98*(M97^2))</f>
        <v>0.15391284319382215</v>
      </c>
      <c r="P97" s="36">
        <f>8.1*((O97/MPM!$AE98)^(1/6))</f>
        <v>12.228511706349872</v>
      </c>
      <c r="Q97" s="43">
        <f t="shared" si="45"/>
        <v>5.5335471317216688E-2</v>
      </c>
      <c r="R97" s="38">
        <f>(MPM!$Q98^2)/(9.81*MPM!$F98*(P97^2))</f>
        <v>0.15408322711655417</v>
      </c>
      <c r="S97" s="36">
        <f>8.1*((R97/MPM!$AE98)^(1/6))</f>
        <v>12.230766858630556</v>
      </c>
      <c r="T97" s="43">
        <f t="shared" si="46"/>
        <v>1.843835555652527E-2</v>
      </c>
      <c r="U97" s="38">
        <f>(MPM!$Q98^2)/(9.81*MPM!$F98*(S97^2))</f>
        <v>0.15402641152842977</v>
      </c>
      <c r="V97" s="36">
        <f>8.1*((U97/MPM!$AE98)^(1/6))</f>
        <v>12.230015094997487</v>
      </c>
      <c r="W97" s="43">
        <f t="shared" si="47"/>
        <v>6.1468741226365711E-3</v>
      </c>
      <c r="X97" s="38">
        <f>(MPM!$Q98^2)/(9.81*MPM!$F98*(V97^2))</f>
        <v>0.15404534772966866</v>
      </c>
      <c r="Y97" s="36">
        <f>8.1*((X97/MPM!$AE98)^(1/6))</f>
        <v>12.23026567774091</v>
      </c>
      <c r="Z97" s="43">
        <f t="shared" si="48"/>
        <v>2.0488740802971452E-3</v>
      </c>
      <c r="AA97" s="38">
        <f>(MPM!$Q98^2)/(9.81*MPM!$F98*(Y97^2))</f>
        <v>0.15403903540393207</v>
      </c>
      <c r="AB97" s="36">
        <f>8.1*((AA97/MPM!$AE98)^(1/6))</f>
        <v>12.230182149589305</v>
      </c>
      <c r="AC97" s="43">
        <f t="shared" si="49"/>
        <v>6.8296735553598415E-4</v>
      </c>
      <c r="AD97" s="38">
        <f>(MPM!$Q98^2)/(9.81*MPM!$F98*(AB97^2))</f>
        <v>0.15404113948377032</v>
      </c>
      <c r="AE97" s="36">
        <f>8.1*((AD97/MPM!$AE98)^(1/6))</f>
        <v>12.230209992243122</v>
      </c>
      <c r="AF97" s="43">
        <f t="shared" si="50"/>
        <v>2.2765474864240223E-4</v>
      </c>
      <c r="AG97" s="38">
        <f>(MPM!$Q98^2)/(9.81*MPM!$F98*(AE97^2))</f>
        <v>0.15404043812063084</v>
      </c>
      <c r="AH97" s="36">
        <f>8.1*((AG97/MPM!$AE98)^(1/6))</f>
        <v>12.230200711351472</v>
      </c>
      <c r="AI97" s="43">
        <f t="shared" si="51"/>
        <v>7.5885031398146923E-5</v>
      </c>
      <c r="AJ97" s="38">
        <f>(MPM!$Q98^2)/(9.81*MPM!$F98*(AH97^2))</f>
        <v>0.1540406719079892</v>
      </c>
      <c r="AK97" s="36">
        <f>8.1*((AJ97/MPM!$AE98)^(1/6))</f>
        <v>12.230203804981238</v>
      </c>
      <c r="AL97" s="43">
        <f t="shared" si="52"/>
        <v>2.5294997662441083E-5</v>
      </c>
      <c r="AM97" s="38">
        <f>(MPM!$Q98^2)/(9.81*MPM!$F98*(AK97^2))</f>
        <v>0.15404059397883038</v>
      </c>
      <c r="AN97" s="36">
        <f>8.1*((AM97/MPM!$AE98)^(1/6))</f>
        <v>12.23020277377123</v>
      </c>
      <c r="AO97" s="43">
        <f t="shared" si="53"/>
        <v>8.4316673004203829E-6</v>
      </c>
      <c r="AP97" s="38">
        <f>(MPM!$Q98^2)/(9.81*MPM!$F98*(AN97^2))</f>
        <v>0.15404061995521223</v>
      </c>
      <c r="AQ97" s="36">
        <f>8.1*((AP97/MPM!$AE98)^(1/6))</f>
        <v>12.230203117507891</v>
      </c>
      <c r="AR97" s="43">
        <f t="shared" si="54"/>
        <v>2.8105556151928388E-6</v>
      </c>
      <c r="AS97" s="38">
        <f>(MPM!$Q98^2)/(9.81*MPM!$F98*(AQ97^2))</f>
        <v>0.15404061129641777</v>
      </c>
      <c r="AT97" s="36">
        <f>8.1*((AS97/MPM!$AE98)^(1/6))</f>
        <v>12.230203002929004</v>
      </c>
      <c r="AU97" s="43">
        <f t="shared" si="55"/>
        <v>9.3685188050786054E-7</v>
      </c>
      <c r="AV97" s="38">
        <f>(MPM!$Q98^2)/(9.81*MPM!$F98*(AT97^2))</f>
        <v>0.15404061418268253</v>
      </c>
      <c r="AW97" s="36">
        <f>8.1*((AV97/MPM!$AE98)^(1/6))</f>
        <v>12.230203041121966</v>
      </c>
      <c r="AX97" s="43">
        <f t="shared" si="56"/>
        <v>3.1228395435262594E-7</v>
      </c>
      <c r="AY97" s="38">
        <f>(MPM!$Q98^2)/(9.81*MPM!$F98*(AW97^2))</f>
        <v>0.15404061322059426</v>
      </c>
      <c r="AZ97" s="36">
        <f>8.1*((AY97/MPM!$AE98)^(1/6))</f>
        <v>12.230203028390978</v>
      </c>
      <c r="BA97" s="43">
        <f t="shared" si="57"/>
        <v>1.0409465640068051E-7</v>
      </c>
      <c r="BB97" s="38">
        <f>(MPM!$Q98^2)/(9.81*MPM!$F98*(AZ97^2))</f>
        <v>0.15404061354129037</v>
      </c>
      <c r="BC97" s="36">
        <f>8.1*((BB97/MPM!$AE98)^(1/6))</f>
        <v>12.230203032634641</v>
      </c>
      <c r="BD97" s="43">
        <f t="shared" si="58"/>
        <v>3.4698223629635382E-8</v>
      </c>
      <c r="BE97" s="38">
        <f>(MPM!$Q98^2)/(9.81*MPM!$F98*(BC97^2))</f>
        <v>0.15404061343439165</v>
      </c>
      <c r="BF97" s="36">
        <f>8.1*((BE97/MPM!$AE98)^(1/6))</f>
        <v>12.230203031220087</v>
      </c>
      <c r="BG97" s="43">
        <f t="shared" si="59"/>
        <v>1.1566069703101318E-8</v>
      </c>
      <c r="BH97" s="38">
        <f>(MPM!$Q98^2)/(9.81*MPM!$F98*(BF97^2))</f>
        <v>0.15404061347002454</v>
      </c>
      <c r="BI97" s="36">
        <f>8.1*((BH97/MPM!$AE98)^(1/6))</f>
        <v>12.230203031691605</v>
      </c>
      <c r="BJ97" s="43">
        <f t="shared" si="60"/>
        <v>3.8553565675518023E-9</v>
      </c>
      <c r="BK97" s="38">
        <f>(MPM!$Q98^2)/(9.81*MPM!$F98*(BI97^2))</f>
        <v>0.1540406134581469</v>
      </c>
      <c r="BL97" s="36">
        <f>8.1*((BK97/MPM!$AE98)^(1/6))</f>
        <v>12.230203031534431</v>
      </c>
      <c r="BM97" s="43">
        <f t="shared" si="61"/>
        <v>1.2851285387635478E-9</v>
      </c>
      <c r="BN97" s="43">
        <f t="shared" si="62"/>
        <v>7.7107182940767531E-9</v>
      </c>
    </row>
    <row r="98" spans="1:66">
      <c r="A98" s="36">
        <f>MPM!B99</f>
        <v>94</v>
      </c>
      <c r="B98" s="41">
        <f>1/(MPM!AC99^0.5)</f>
        <v>12.457348800501336</v>
      </c>
      <c r="C98" s="38">
        <f>(MPM!$Q99^2)/(9.81*MPM!$F99*(Sheet1!B98^2))</f>
        <v>0.13553478714549944</v>
      </c>
      <c r="D98" s="36">
        <f>8.1*((C98/MPM!$AE99)^(1/6))</f>
        <v>11.972079437949482</v>
      </c>
      <c r="E98" s="41">
        <f t="shared" si="41"/>
        <v>4.05334232091404</v>
      </c>
      <c r="F98" s="38">
        <f>(MPM!$Q99^2)/(9.81*MPM!$F99*(D98^2))</f>
        <v>0.14674484293599127</v>
      </c>
      <c r="G98" s="36">
        <f>8.1*((F98/MPM!$AE99)^(1/6))</f>
        <v>12.131698300946223</v>
      </c>
      <c r="H98" s="43">
        <f t="shared" si="42"/>
        <v>1.3157173796869903</v>
      </c>
      <c r="I98" s="38">
        <f>(MPM!$Q99^2)/(9.81*MPM!$F99*(G98^2))</f>
        <v>0.14290875131051484</v>
      </c>
      <c r="J98" s="36">
        <f>8.1*((I98/MPM!$AE99)^(1/6))</f>
        <v>12.0782569443813</v>
      </c>
      <c r="K98" s="43">
        <f t="shared" si="43"/>
        <v>0.44245917942475321</v>
      </c>
      <c r="L98" s="38">
        <f>(MPM!$Q99^2)/(9.81*MPM!$F99*(J98^2))</f>
        <v>0.14417617481368145</v>
      </c>
      <c r="M98" s="36">
        <f>8.1*((L98/MPM!$AE99)^(1/6))</f>
        <v>12.096044521384922</v>
      </c>
      <c r="N98" s="43">
        <f t="shared" si="44"/>
        <v>0.14705284006002833</v>
      </c>
      <c r="O98" s="38">
        <f>(MPM!$Q99^2)/(9.81*MPM!$F99*(M98^2))</f>
        <v>0.14375245626848837</v>
      </c>
      <c r="P98" s="36">
        <f>8.1*((O98/MPM!$AE99)^(1/6))</f>
        <v>12.090112420325108</v>
      </c>
      <c r="Q98" s="43">
        <f t="shared" si="45"/>
        <v>4.9065722911241769E-2</v>
      </c>
      <c r="R98" s="38">
        <f>(MPM!$Q99^2)/(9.81*MPM!$F99*(P98^2))</f>
        <v>0.14389355723984551</v>
      </c>
      <c r="S98" s="36">
        <f>8.1*((R98/MPM!$AE99)^(1/6))</f>
        <v>12.09208946403003</v>
      </c>
      <c r="T98" s="43">
        <f t="shared" si="46"/>
        <v>1.6349893133056261E-2</v>
      </c>
      <c r="U98" s="38">
        <f>(MPM!$Q99^2)/(9.81*MPM!$F99*(S98^2))</f>
        <v>0.14384650820072567</v>
      </c>
      <c r="V98" s="36">
        <f>8.1*((U98/MPM!$AE99)^(1/6))</f>
        <v>12.091430413542401</v>
      </c>
      <c r="W98" s="43">
        <f t="shared" si="47"/>
        <v>5.450558495467956E-3</v>
      </c>
      <c r="X98" s="38">
        <f>(MPM!$Q99^2)/(9.81*MPM!$F99*(V98^2))</f>
        <v>0.14386218950421964</v>
      </c>
      <c r="Y98" s="36">
        <f>8.1*((X98/MPM!$AE99)^(1/6))</f>
        <v>12.091650093047072</v>
      </c>
      <c r="Z98" s="43">
        <f t="shared" si="48"/>
        <v>1.8167868155318369E-3</v>
      </c>
      <c r="AA98" s="38">
        <f>(MPM!$Q99^2)/(9.81*MPM!$F99*(Y98^2))</f>
        <v>0.14385696221312158</v>
      </c>
      <c r="AB98" s="36">
        <f>8.1*((AA98/MPM!$AE99)^(1/6))</f>
        <v>12.091576866102056</v>
      </c>
      <c r="AC98" s="43">
        <f t="shared" si="49"/>
        <v>6.0560294018714516E-4</v>
      </c>
      <c r="AD98" s="38">
        <f>(MPM!$Q99^2)/(9.81*MPM!$F99*(AB98^2))</f>
        <v>0.14385870462238326</v>
      </c>
      <c r="AE98" s="36">
        <f>8.1*((AD98/MPM!$AE99)^(1/6))</f>
        <v>12.091601275034453</v>
      </c>
      <c r="AF98" s="43">
        <f t="shared" si="50"/>
        <v>2.0186683171133761E-4</v>
      </c>
      <c r="AG98" s="38">
        <f>(MPM!$Q99^2)/(9.81*MPM!$F99*(AE98^2))</f>
        <v>0.14385812381695115</v>
      </c>
      <c r="AH98" s="36">
        <f>8.1*((AG98/MPM!$AE99)^(1/6))</f>
        <v>12.091593138718178</v>
      </c>
      <c r="AI98" s="43">
        <f t="shared" si="51"/>
        <v>6.7289034468828696E-5</v>
      </c>
      <c r="AJ98" s="38">
        <f>(MPM!$Q99^2)/(9.81*MPM!$F99*(AH98^2))</f>
        <v>0.14385831741850133</v>
      </c>
      <c r="AK98" s="36">
        <f>8.1*((AJ98/MPM!$AE99)^(1/6))</f>
        <v>12.091595850822996</v>
      </c>
      <c r="AL98" s="43">
        <f t="shared" si="52"/>
        <v>2.2429668106003987E-5</v>
      </c>
      <c r="AM98" s="38">
        <f>(MPM!$Q99^2)/(9.81*MPM!$F99*(AK98^2))</f>
        <v>0.14385825288462228</v>
      </c>
      <c r="AN98" s="36">
        <f>8.1*((AM98/MPM!$AE99)^(1/6))</f>
        <v>12.091594946787989</v>
      </c>
      <c r="AO98" s="43">
        <f t="shared" si="53"/>
        <v>7.4765571525755582E-6</v>
      </c>
      <c r="AP98" s="38">
        <f>(MPM!$Q99^2)/(9.81*MPM!$F99*(AN98^2))</f>
        <v>0.14385827439591206</v>
      </c>
      <c r="AQ98" s="36">
        <f>8.1*((AP98/MPM!$AE99)^(1/6))</f>
        <v>12.091595248132984</v>
      </c>
      <c r="AR98" s="43">
        <f t="shared" si="54"/>
        <v>2.4921855966519349E-6</v>
      </c>
      <c r="AS98" s="38">
        <f>(MPM!$Q99^2)/(9.81*MPM!$F99*(AQ98^2))</f>
        <v>0.14385826722548178</v>
      </c>
      <c r="AT98" s="36">
        <f>8.1*((AS98/MPM!$AE99)^(1/6))</f>
        <v>12.09159514768465</v>
      </c>
      <c r="AU98" s="43">
        <f t="shared" si="55"/>
        <v>8.3072855870619687E-7</v>
      </c>
      <c r="AV98" s="38">
        <f>(MPM!$Q99^2)/(9.81*MPM!$F99*(AT98^2))</f>
        <v>0.1438582696156252</v>
      </c>
      <c r="AW98" s="36">
        <f>8.1*((AV98/MPM!$AE99)^(1/6))</f>
        <v>12.091595181167429</v>
      </c>
      <c r="AX98" s="43">
        <f t="shared" si="56"/>
        <v>2.7690952859583642E-7</v>
      </c>
      <c r="AY98" s="38">
        <f>(MPM!$Q99^2)/(9.81*MPM!$F99*(AW98^2))</f>
        <v>0.1438582688189107</v>
      </c>
      <c r="AZ98" s="36">
        <f>8.1*((AY98/MPM!$AE99)^(1/6))</f>
        <v>12.091595170006503</v>
      </c>
      <c r="BA98" s="43">
        <f t="shared" si="57"/>
        <v>9.2303176283810915E-8</v>
      </c>
      <c r="BB98" s="38">
        <f>(MPM!$Q99^2)/(9.81*MPM!$F99*(AZ98^2))</f>
        <v>0.14385826908448218</v>
      </c>
      <c r="BC98" s="36">
        <f>8.1*((BB98/MPM!$AE99)^(1/6))</f>
        <v>12.091595173726811</v>
      </c>
      <c r="BD98" s="43">
        <f t="shared" si="58"/>
        <v>3.0767715624577445E-8</v>
      </c>
      <c r="BE98" s="38">
        <f>(MPM!$Q99^2)/(9.81*MPM!$F99*(BC98^2))</f>
        <v>0.14385826899595841</v>
      </c>
      <c r="BF98" s="36">
        <f>8.1*((BE98/MPM!$AE99)^(1/6))</f>
        <v>12.091595172486709</v>
      </c>
      <c r="BG98" s="43">
        <f t="shared" si="59"/>
        <v>1.025589541535132E-8</v>
      </c>
      <c r="BH98" s="38">
        <f>(MPM!$Q99^2)/(9.81*MPM!$F99*(BF98^2))</f>
        <v>0.14385826902546628</v>
      </c>
      <c r="BI98" s="36">
        <f>8.1*((BH98/MPM!$AE99)^(1/6))</f>
        <v>12.091595172900075</v>
      </c>
      <c r="BJ98" s="43">
        <f t="shared" si="60"/>
        <v>3.4186171141607401E-9</v>
      </c>
      <c r="BK98" s="38">
        <f>(MPM!$Q99^2)/(9.81*MPM!$F99*(BI98^2))</f>
        <v>0.14385826901563037</v>
      </c>
      <c r="BL98" s="36">
        <f>8.1*((BK98/MPM!$AE99)^(1/6))</f>
        <v>12.091595172762288</v>
      </c>
      <c r="BM98" s="43">
        <f t="shared" si="61"/>
        <v>1.1395243472270689E-9</v>
      </c>
      <c r="BN98" s="43">
        <f t="shared" si="62"/>
        <v>6.8372224493368742E-9</v>
      </c>
    </row>
    <row r="99" spans="1:66">
      <c r="A99" s="36">
        <f>MPM!B100</f>
        <v>95</v>
      </c>
      <c r="B99" s="41">
        <f>1/(MPM!AC100^0.5)</f>
        <v>12.303257827221929</v>
      </c>
      <c r="C99" s="38">
        <f>(MPM!$Q100^2)/(9.81*MPM!$F100*(Sheet1!B99^2))</f>
        <v>0.12094783598099319</v>
      </c>
      <c r="D99" s="36">
        <f>8.1*((C99/MPM!$AE100)^(1/6))</f>
        <v>11.747013753016567</v>
      </c>
      <c r="E99" s="41">
        <f t="shared" si="41"/>
        <v>4.7351955645963297</v>
      </c>
      <c r="F99" s="38">
        <f>(MPM!$Q100^2)/(9.81*MPM!$F100*(D99^2))</f>
        <v>0.13267325928024559</v>
      </c>
      <c r="G99" s="36">
        <f>8.1*((F99/MPM!$AE100)^(1/6))</f>
        <v>11.929576501263112</v>
      </c>
      <c r="H99" s="43">
        <f t="shared" si="42"/>
        <v>1.5303372104383985</v>
      </c>
      <c r="I99" s="38">
        <f>(MPM!$Q100^2)/(9.81*MPM!$F100*(G99^2))</f>
        <v>0.12864363394496031</v>
      </c>
      <c r="J99" s="36">
        <f>8.1*((I99/MPM!$AE100)^(1/6))</f>
        <v>11.868409160347069</v>
      </c>
      <c r="K99" s="43">
        <f t="shared" si="43"/>
        <v>0.51537944209411146</v>
      </c>
      <c r="L99" s="38">
        <f>(MPM!$Q100^2)/(9.81*MPM!$F100*(J99^2))</f>
        <v>0.12997305661114347</v>
      </c>
      <c r="M99" s="36">
        <f>8.1*((L99/MPM!$AE100)^(1/6))</f>
        <v>11.888763346832688</v>
      </c>
      <c r="N99" s="43">
        <f t="shared" si="44"/>
        <v>0.17120524559050759</v>
      </c>
      <c r="O99" s="38">
        <f>(MPM!$Q100^2)/(9.81*MPM!$F100*(M99^2))</f>
        <v>0.1295283961966934</v>
      </c>
      <c r="P99" s="36">
        <f>8.1*((O99/MPM!$AE100)^(1/6))</f>
        <v>11.881974742379967</v>
      </c>
      <c r="Q99" s="43">
        <f t="shared" si="45"/>
        <v>5.7133638135989186E-2</v>
      </c>
      <c r="R99" s="38">
        <f>(MPM!$Q100^2)/(9.81*MPM!$F100*(P99^2))</f>
        <v>0.12967644704836664</v>
      </c>
      <c r="S99" s="36">
        <f>8.1*((R99/MPM!$AE100)^(1/6))</f>
        <v>11.884237179714642</v>
      </c>
      <c r="T99" s="43">
        <f t="shared" si="46"/>
        <v>1.9037295372536914E-2</v>
      </c>
      <c r="U99" s="38">
        <f>(MPM!$Q100^2)/(9.81*MPM!$F100*(S99^2))</f>
        <v>0.12962707797157602</v>
      </c>
      <c r="V99" s="36">
        <f>8.1*((U99/MPM!$AE100)^(1/6))</f>
        <v>11.883482986075036</v>
      </c>
      <c r="W99" s="43">
        <f t="shared" si="47"/>
        <v>6.3465706181430872E-3</v>
      </c>
      <c r="X99" s="38">
        <f>(MPM!$Q100^2)/(9.81*MPM!$F100*(V99^2))</f>
        <v>0.12964353224178782</v>
      </c>
      <c r="Y99" s="36">
        <f>8.1*((X99/MPM!$AE100)^(1/6))</f>
        <v>11.883734378636712</v>
      </c>
      <c r="Z99" s="43">
        <f t="shared" si="48"/>
        <v>2.1154340350116054E-3</v>
      </c>
      <c r="AA99" s="38">
        <f>(MPM!$Q100^2)/(9.81*MPM!$F100*(Y99^2))</f>
        <v>0.12963804725299363</v>
      </c>
      <c r="AB99" s="36">
        <f>8.1*((AA99/MPM!$AE100)^(1/6))</f>
        <v>11.883650580525252</v>
      </c>
      <c r="AC99" s="43">
        <f t="shared" si="49"/>
        <v>7.0515462308333259E-4</v>
      </c>
      <c r="AD99" s="38">
        <f>(MPM!$Q100^2)/(9.81*MPM!$F100*(AB99^2))</f>
        <v>0.12963987555680673</v>
      </c>
      <c r="AE99" s="36">
        <f>8.1*((AD99/MPM!$AE100)^(1/6))</f>
        <v>11.883678513163416</v>
      </c>
      <c r="AF99" s="43">
        <f t="shared" si="50"/>
        <v>2.3505043604489225E-4</v>
      </c>
      <c r="AG99" s="38">
        <f>(MPM!$Q100^2)/(9.81*MPM!$F100*(AE99^2))</f>
        <v>0.12963926611933743</v>
      </c>
      <c r="AH99" s="36">
        <f>8.1*((AG99/MPM!$AE100)^(1/6))</f>
        <v>11.883669202276732</v>
      </c>
      <c r="AI99" s="43">
        <f t="shared" si="51"/>
        <v>7.8350268131780024E-5</v>
      </c>
      <c r="AJ99" s="38">
        <f>(MPM!$Q100^2)/(9.81*MPM!$F100*(AH99^2))</f>
        <v>0.12963946926484224</v>
      </c>
      <c r="AK99" s="36">
        <f>8.1*((AJ99/MPM!$AE100)^(1/6))</f>
        <v>11.883672305904819</v>
      </c>
      <c r="AL99" s="43">
        <f t="shared" si="52"/>
        <v>2.6116742426778901E-5</v>
      </c>
      <c r="AM99" s="38">
        <f>(MPM!$Q100^2)/(9.81*MPM!$F100*(AK99^2))</f>
        <v>0.12963940154963852</v>
      </c>
      <c r="AN99" s="36">
        <f>8.1*((AM99/MPM!$AE100)^(1/6))</f>
        <v>11.883671271362031</v>
      </c>
      <c r="AO99" s="43">
        <f t="shared" si="53"/>
        <v>8.705582339104903E-6</v>
      </c>
      <c r="AP99" s="38">
        <f>(MPM!$Q100^2)/(9.81*MPM!$F100*(AN99^2))</f>
        <v>0.12963942412136922</v>
      </c>
      <c r="AQ99" s="36">
        <f>8.1*((AP99/MPM!$AE100)^(1/6))</f>
        <v>11.883671616209616</v>
      </c>
      <c r="AR99" s="43">
        <f t="shared" si="54"/>
        <v>2.9018606058064065E-6</v>
      </c>
      <c r="AS99" s="38">
        <f>(MPM!$Q100^2)/(9.81*MPM!$F100*(AQ99^2))</f>
        <v>0.12963941659745853</v>
      </c>
      <c r="AT99" s="36">
        <f>8.1*((AS99/MPM!$AE100)^(1/6))</f>
        <v>11.883671501260419</v>
      </c>
      <c r="AU99" s="43">
        <f t="shared" si="55"/>
        <v>9.672868929064535E-7</v>
      </c>
      <c r="AV99" s="38">
        <f>(MPM!$Q100^2)/(9.81*MPM!$F100*(AT99^2))</f>
        <v>0.12963941910542873</v>
      </c>
      <c r="AW99" s="36">
        <f>8.1*((AV99/MPM!$AE100)^(1/6))</f>
        <v>11.883671539576818</v>
      </c>
      <c r="AX99" s="43">
        <f t="shared" si="56"/>
        <v>3.2242896326254682E-7</v>
      </c>
      <c r="AY99" s="38">
        <f>(MPM!$Q100^2)/(9.81*MPM!$F100*(AW99^2))</f>
        <v>0.12963941826943864</v>
      </c>
      <c r="AZ99" s="36">
        <f>8.1*((AY99/MPM!$AE100)^(1/6))</f>
        <v>11.883671526804687</v>
      </c>
      <c r="BA99" s="43">
        <f t="shared" si="57"/>
        <v>1.0747631123777454E-7</v>
      </c>
      <c r="BB99" s="38">
        <f>(MPM!$Q100^2)/(9.81*MPM!$F100*(AZ99^2))</f>
        <v>0.12963941854810199</v>
      </c>
      <c r="BC99" s="36">
        <f>8.1*((BB99/MPM!$AE100)^(1/6))</f>
        <v>11.883671531062063</v>
      </c>
      <c r="BD99" s="43">
        <f t="shared" si="58"/>
        <v>3.5825432083797231E-8</v>
      </c>
      <c r="BE99" s="38">
        <f>(MPM!$Q100^2)/(9.81*MPM!$F100*(BC99^2))</f>
        <v>0.12963941845521423</v>
      </c>
      <c r="BF99" s="36">
        <f>8.1*((BE99/MPM!$AE100)^(1/6))</f>
        <v>11.883671529642939</v>
      </c>
      <c r="BG99" s="43">
        <f t="shared" si="59"/>
        <v>1.1941800730772487E-8</v>
      </c>
      <c r="BH99" s="38">
        <f>(MPM!$Q100^2)/(9.81*MPM!$F100*(BF99^2))</f>
        <v>0.12963941848617677</v>
      </c>
      <c r="BI99" s="36">
        <f>8.1*((BH99/MPM!$AE100)^(1/6))</f>
        <v>11.883671530115981</v>
      </c>
      <c r="BJ99" s="43">
        <f t="shared" si="60"/>
        <v>3.9806052260587057E-9</v>
      </c>
      <c r="BK99" s="38">
        <f>(MPM!$Q100^2)/(9.81*MPM!$F100*(BI99^2))</f>
        <v>0.12963941847585592</v>
      </c>
      <c r="BL99" s="36">
        <f>8.1*((BK99/MPM!$AE100)^(1/6))</f>
        <v>11.883671529958299</v>
      </c>
      <c r="BM99" s="43">
        <f t="shared" si="61"/>
        <v>1.3268783739564986E-9</v>
      </c>
      <c r="BN99" s="43">
        <f t="shared" si="62"/>
        <v>7.9612014639224405E-9</v>
      </c>
    </row>
    <row r="100" spans="1:66">
      <c r="A100" s="36">
        <f>MPM!B101</f>
        <v>96</v>
      </c>
      <c r="B100" s="41">
        <f>1/(MPM!AC101^0.5)</f>
        <v>12.154211595992276</v>
      </c>
      <c r="C100" s="38">
        <f>(MPM!$Q101^2)/(9.81*MPM!$F101*(Sheet1!B100^2))</f>
        <v>0.10635607013512029</v>
      </c>
      <c r="D100" s="36">
        <f>8.1*((C100/MPM!$AE101)^(1/6))</f>
        <v>11.497978894259209</v>
      </c>
      <c r="E100" s="41">
        <f t="shared" si="41"/>
        <v>5.7073743809072024</v>
      </c>
      <c r="F100" s="38">
        <f>(MPM!$Q101^2)/(9.81*MPM!$F101*(D100^2))</f>
        <v>0.11884279389782978</v>
      </c>
      <c r="G100" s="36">
        <f>8.1*((F100/MPM!$AE101)^(1/6))</f>
        <v>11.712688743153263</v>
      </c>
      <c r="H100" s="43">
        <f t="shared" si="42"/>
        <v>1.8331388599356815</v>
      </c>
      <c r="I100" s="38">
        <f>(MPM!$Q101^2)/(9.81*MPM!$F101*(G100^2))</f>
        <v>0.11452562293312231</v>
      </c>
      <c r="J100" s="36">
        <f>8.1*((I100/MPM!$AE101)^(1/6))</f>
        <v>11.640676959061961</v>
      </c>
      <c r="K100" s="43">
        <f t="shared" si="43"/>
        <v>0.61862196111578072</v>
      </c>
      <c r="L100" s="38">
        <f>(MPM!$Q101^2)/(9.81*MPM!$F101*(J100^2))</f>
        <v>0.11594696705917962</v>
      </c>
      <c r="M100" s="36">
        <f>8.1*((L100/MPM!$AE101)^(1/6))</f>
        <v>11.664631558650887</v>
      </c>
      <c r="N100" s="43">
        <f t="shared" si="44"/>
        <v>0.20536096205422216</v>
      </c>
      <c r="O100" s="38">
        <f>(MPM!$Q101^2)/(9.81*MPM!$F101*(M100^2))</f>
        <v>0.11547123642971924</v>
      </c>
      <c r="P100" s="36">
        <f>8.1*((O100/MPM!$AE101)^(1/6))</f>
        <v>11.656641219943735</v>
      </c>
      <c r="Q100" s="43">
        <f t="shared" si="45"/>
        <v>6.8547522021022253E-2</v>
      </c>
      <c r="R100" s="38">
        <f>(MPM!$Q101^2)/(9.81*MPM!$F101*(P100^2))</f>
        <v>0.11562959602935317</v>
      </c>
      <c r="S100" s="36">
        <f>8.1*((R100/MPM!$AE101)^(1/6))</f>
        <v>11.659304057835639</v>
      </c>
      <c r="T100" s="43">
        <f t="shared" si="46"/>
        <v>2.2838737875736974E-2</v>
      </c>
      <c r="U100" s="38">
        <f>(MPM!$Q101^2)/(9.81*MPM!$F101*(S100^2))</f>
        <v>0.11557678537999697</v>
      </c>
      <c r="V100" s="36">
        <f>8.1*((U100/MPM!$AE101)^(1/6))</f>
        <v>11.658416377623254</v>
      </c>
      <c r="W100" s="43">
        <f t="shared" si="47"/>
        <v>7.6140719599662289E-3</v>
      </c>
      <c r="X100" s="38">
        <f>(MPM!$Q101^2)/(9.81*MPM!$F101*(V100^2))</f>
        <v>0.11559438624925857</v>
      </c>
      <c r="Y100" s="36">
        <f>8.1*((X100/MPM!$AE101)^(1/6))</f>
        <v>11.658712263517854</v>
      </c>
      <c r="Z100" s="43">
        <f t="shared" si="48"/>
        <v>2.5378951629650643E-3</v>
      </c>
      <c r="AA100" s="38">
        <f>(MPM!$Q101^2)/(9.81*MPM!$F101*(Y100^2))</f>
        <v>0.11558851899503736</v>
      </c>
      <c r="AB100" s="36">
        <f>8.1*((AA100/MPM!$AE101)^(1/6))</f>
        <v>11.658613634051946</v>
      </c>
      <c r="AC100" s="43">
        <f t="shared" si="49"/>
        <v>8.4597936773670248E-4</v>
      </c>
      <c r="AD100" s="38">
        <f>(MPM!$Q101^2)/(9.81*MPM!$F101*(AB100^2))</f>
        <v>0.11559047471335415</v>
      </c>
      <c r="AE100" s="36">
        <f>8.1*((AD100/MPM!$AE101)^(1/6))</f>
        <v>11.658646510447873</v>
      </c>
      <c r="AF100" s="43">
        <f t="shared" si="50"/>
        <v>2.8199153218990612E-4</v>
      </c>
      <c r="AG100" s="38">
        <f>(MPM!$Q101^2)/(9.81*MPM!$F101*(AE100^2))</f>
        <v>0.1155898228035719</v>
      </c>
      <c r="AH100" s="36">
        <f>8.1*((AG100/MPM!$AE101)^(1/6))</f>
        <v>11.65863555163893</v>
      </c>
      <c r="AI100" s="43">
        <f t="shared" si="51"/>
        <v>9.3997354102324328E-5</v>
      </c>
      <c r="AJ100" s="38">
        <f>(MPM!$Q101^2)/(9.81*MPM!$F101*(AH100^2))</f>
        <v>0.11559004010642412</v>
      </c>
      <c r="AK100" s="36">
        <f>8.1*((AJ100/MPM!$AE101)^(1/6))</f>
        <v>11.658639204574101</v>
      </c>
      <c r="AL100" s="43">
        <f t="shared" si="52"/>
        <v>3.133243173798126E-5</v>
      </c>
      <c r="AM100" s="38">
        <f>(MPM!$Q101^2)/(9.81*MPM!$F101*(AK100^2))</f>
        <v>0.11558996767209465</v>
      </c>
      <c r="AN100" s="36">
        <f>8.1*((AM100/MPM!$AE101)^(1/6))</f>
        <v>11.658637986928916</v>
      </c>
      <c r="AO100" s="43">
        <f t="shared" si="53"/>
        <v>1.0444146100482946E-5</v>
      </c>
      <c r="AP100" s="38">
        <f>(MPM!$Q101^2)/(9.81*MPM!$F101*(AN100^2))</f>
        <v>0.11558999181686611</v>
      </c>
      <c r="AQ100" s="36">
        <f>8.1*((AP100/MPM!$AE101)^(1/6))</f>
        <v>11.658638392810632</v>
      </c>
      <c r="AR100" s="43">
        <f t="shared" si="54"/>
        <v>3.4813818056393106E-6</v>
      </c>
      <c r="AS100" s="38">
        <f>(MPM!$Q101^2)/(9.81*MPM!$F101*(AQ100^2))</f>
        <v>0.11558998376860836</v>
      </c>
      <c r="AT100" s="36">
        <f>8.1*((AS100/MPM!$AE101)^(1/6))</f>
        <v>11.658638257516722</v>
      </c>
      <c r="AU100" s="43">
        <f t="shared" si="55"/>
        <v>1.1604606508980605E-6</v>
      </c>
      <c r="AV100" s="38">
        <f>(MPM!$Q101^2)/(9.81*MPM!$F101*(AT100^2))</f>
        <v>0.11558998645136094</v>
      </c>
      <c r="AW100" s="36">
        <f>8.1*((AV100/MPM!$AE101)^(1/6))</f>
        <v>11.658638302614692</v>
      </c>
      <c r="AX100" s="43">
        <f t="shared" si="56"/>
        <v>3.8682021546972138E-7</v>
      </c>
      <c r="AY100" s="38">
        <f>(MPM!$Q101^2)/(9.81*MPM!$F101*(AW100^2))</f>
        <v>0.11558998555711006</v>
      </c>
      <c r="AZ100" s="36">
        <f>8.1*((AY100/MPM!$AE101)^(1/6))</f>
        <v>11.658638287582036</v>
      </c>
      <c r="BA100" s="43">
        <f t="shared" si="57"/>
        <v>1.2894006691069567E-7</v>
      </c>
      <c r="BB100" s="38">
        <f>(MPM!$Q101^2)/(9.81*MPM!$F101*(AZ100^2))</f>
        <v>0.11558998585519367</v>
      </c>
      <c r="BC100" s="36">
        <f>8.1*((BB100/MPM!$AE101)^(1/6))</f>
        <v>11.658638292592922</v>
      </c>
      <c r="BD100" s="43">
        <f t="shared" si="58"/>
        <v>4.2980027363892604E-8</v>
      </c>
      <c r="BE100" s="38">
        <f>(MPM!$Q101^2)/(9.81*MPM!$F101*(BC100^2))</f>
        <v>0.11558998575583244</v>
      </c>
      <c r="BF100" s="36">
        <f>8.1*((BE100/MPM!$AE101)^(1/6))</f>
        <v>11.658638290922626</v>
      </c>
      <c r="BG100" s="43">
        <f t="shared" si="59"/>
        <v>1.4326680868816953E-8</v>
      </c>
      <c r="BH100" s="38">
        <f>(MPM!$Q101^2)/(9.81*MPM!$F101*(BF100^2))</f>
        <v>0.11558998578895285</v>
      </c>
      <c r="BI100" s="36">
        <f>8.1*((BH100/MPM!$AE101)^(1/6))</f>
        <v>11.658638291479392</v>
      </c>
      <c r="BJ100" s="43">
        <f t="shared" si="60"/>
        <v>4.7755602893775911E-9</v>
      </c>
      <c r="BK100" s="38">
        <f>(MPM!$Q101^2)/(9.81*MPM!$F101*(BI100^2))</f>
        <v>0.11558998577791273</v>
      </c>
      <c r="BL100" s="36">
        <f>8.1*((BK100/MPM!$AE101)^(1/6))</f>
        <v>11.658638291293803</v>
      </c>
      <c r="BM100" s="43">
        <f t="shared" si="61"/>
        <v>1.5918534298178704E-9</v>
      </c>
      <c r="BN100" s="43">
        <f t="shared" si="62"/>
        <v>9.5511103937873966E-9</v>
      </c>
    </row>
    <row r="101" spans="1:66">
      <c r="A101" s="36">
        <f>MPM!B102</f>
        <v>97</v>
      </c>
      <c r="B101" s="41">
        <f>1/(MPM!AC102^0.5)</f>
        <v>12.451525084423778</v>
      </c>
      <c r="C101" s="38">
        <f>(MPM!$Q102^2)/(9.81*MPM!$F102*(Sheet1!B101^2))</f>
        <v>0.14485766234138539</v>
      </c>
      <c r="D101" s="36">
        <f>8.1*((C101/MPM!$AE102)^(1/6))</f>
        <v>12.105555009907503</v>
      </c>
      <c r="E101" s="41">
        <f t="shared" si="41"/>
        <v>2.8579447553881199</v>
      </c>
      <c r="F101" s="38">
        <f>(MPM!$Q102^2)/(9.81*MPM!$F102*(D101^2))</f>
        <v>0.15325588380873342</v>
      </c>
      <c r="G101" s="36">
        <f>8.1*((F101/MPM!$AE102)^(1/6))</f>
        <v>12.219796859991249</v>
      </c>
      <c r="H101" s="43">
        <f t="shared" si="42"/>
        <v>0.93489156483266822</v>
      </c>
      <c r="I101" s="38">
        <f>(MPM!$Q102^2)/(9.81*MPM!$F102*(G101^2))</f>
        <v>0.15040372605311345</v>
      </c>
      <c r="J101" s="36">
        <f>8.1*((I101/MPM!$AE102)^(1/6))</f>
        <v>12.181596952246668</v>
      </c>
      <c r="K101" s="43">
        <f t="shared" si="43"/>
        <v>0.31358702717163228</v>
      </c>
      <c r="L101" s="38">
        <f>(MPM!$Q102^2)/(9.81*MPM!$F102*(J101^2))</f>
        <v>0.15134849822215204</v>
      </c>
      <c r="M101" s="36">
        <f>8.1*((L101/MPM!$AE102)^(1/6))</f>
        <v>12.19431696797283</v>
      </c>
      <c r="N101" s="43">
        <f t="shared" si="44"/>
        <v>0.10431101438128446</v>
      </c>
      <c r="O101" s="38">
        <f>(MPM!$Q102^2)/(9.81*MPM!$F102*(M101^2))</f>
        <v>0.15103291659374743</v>
      </c>
      <c r="P101" s="36">
        <f>8.1*((O101/MPM!$AE102)^(1/6))</f>
        <v>12.190075487611677</v>
      </c>
      <c r="Q101" s="43">
        <f t="shared" si="45"/>
        <v>3.4794537289474438E-2</v>
      </c>
      <c r="R101" s="38">
        <f>(MPM!$Q102^2)/(9.81*MPM!$F102*(P101^2))</f>
        <v>0.15113803728766301</v>
      </c>
      <c r="S101" s="36">
        <f>8.1*((R101/MPM!$AE102)^(1/6))</f>
        <v>12.191489150452258</v>
      </c>
      <c r="T101" s="43">
        <f t="shared" si="46"/>
        <v>1.1595489469206034E-2</v>
      </c>
      <c r="U101" s="38">
        <f>(MPM!$Q102^2)/(9.81*MPM!$F102*(S101^2))</f>
        <v>0.15110298892939986</v>
      </c>
      <c r="V101" s="36">
        <f>8.1*((U101/MPM!$AE102)^(1/6))</f>
        <v>12.191017911290764</v>
      </c>
      <c r="W101" s="43">
        <f t="shared" si="47"/>
        <v>3.865461973088779E-3</v>
      </c>
      <c r="X101" s="38">
        <f>(MPM!$Q102^2)/(9.81*MPM!$F102*(V101^2))</f>
        <v>0.1511146708123294</v>
      </c>
      <c r="Y101" s="36">
        <f>8.1*((X101/MPM!$AE102)^(1/6))</f>
        <v>12.191174988987353</v>
      </c>
      <c r="Z101" s="43">
        <f t="shared" si="48"/>
        <v>1.288454121365266E-3</v>
      </c>
      <c r="AA101" s="38">
        <f>(MPM!$Q102^2)/(9.81*MPM!$F102*(Y101^2))</f>
        <v>0.15111077675100804</v>
      </c>
      <c r="AB101" s="36">
        <f>8.1*((AA101/MPM!$AE102)^(1/6))</f>
        <v>12.191122629530282</v>
      </c>
      <c r="AC101" s="43">
        <f t="shared" si="49"/>
        <v>4.2948839628325329E-4</v>
      </c>
      <c r="AD101" s="38">
        <f>(MPM!$Q102^2)/(9.81*MPM!$F102*(AB101^2))</f>
        <v>0.15111207476029878</v>
      </c>
      <c r="AE101" s="36">
        <f>8.1*((AD101/MPM!$AE102)^(1/6))</f>
        <v>12.191140082657652</v>
      </c>
      <c r="AF101" s="43">
        <f t="shared" si="50"/>
        <v>1.4316238884689512E-4</v>
      </c>
      <c r="AG101" s="38">
        <f>(MPM!$Q102^2)/(9.81*MPM!$F102*(AE101^2))</f>
        <v>0.15111164208929637</v>
      </c>
      <c r="AH101" s="36">
        <f>8.1*((AG101/MPM!$AE102)^(1/6))</f>
        <v>12.191134264945751</v>
      </c>
      <c r="AI101" s="43">
        <f t="shared" si="51"/>
        <v>4.7720841843937033E-5</v>
      </c>
      <c r="AJ101" s="38">
        <f>(MPM!$Q102^2)/(9.81*MPM!$F102*(AH101^2))</f>
        <v>0.15111178631282626</v>
      </c>
      <c r="AK101" s="36">
        <f>8.1*((AJ101/MPM!$AE102)^(1/6))</f>
        <v>12.191136204182744</v>
      </c>
      <c r="AL101" s="43">
        <f t="shared" si="52"/>
        <v>1.5906942230239754E-5</v>
      </c>
      <c r="AM101" s="38">
        <f>(MPM!$Q102^2)/(9.81*MPM!$F102*(AK101^2))</f>
        <v>0.15111173823830096</v>
      </c>
      <c r="AN101" s="36">
        <f>8.1*((AM101/MPM!$AE102)^(1/6))</f>
        <v>12.191135557770378</v>
      </c>
      <c r="AO101" s="43">
        <f t="shared" si="53"/>
        <v>5.3023146395958151E-6</v>
      </c>
      <c r="AP101" s="38">
        <f>(MPM!$Q102^2)/(9.81*MPM!$F102*(AN101^2))</f>
        <v>0.15111175426314102</v>
      </c>
      <c r="AQ101" s="36">
        <f>8.1*((AP101/MPM!$AE102)^(1/6))</f>
        <v>12.191135773241164</v>
      </c>
      <c r="AR101" s="43">
        <f t="shared" si="54"/>
        <v>1.7674381625323758E-6</v>
      </c>
      <c r="AS101" s="38">
        <f>(MPM!$Q102^2)/(9.81*MPM!$F102*(AQ101^2))</f>
        <v>0.15111174892152746</v>
      </c>
      <c r="AT101" s="36">
        <f>8.1*((AS101/MPM!$AE102)^(1/6))</f>
        <v>12.191135701417567</v>
      </c>
      <c r="AU101" s="43">
        <f t="shared" si="55"/>
        <v>5.8914607707624129E-7</v>
      </c>
      <c r="AV101" s="38">
        <f>(MPM!$Q102^2)/(9.81*MPM!$F102*(AT101^2))</f>
        <v>0.15111175070206537</v>
      </c>
      <c r="AW101" s="36">
        <f>8.1*((AV101/MPM!$AE102)^(1/6))</f>
        <v>12.191135725358766</v>
      </c>
      <c r="AX101" s="43">
        <f t="shared" si="56"/>
        <v>1.9638202530642145E-7</v>
      </c>
      <c r="AY101" s="38">
        <f>(MPM!$Q102^2)/(9.81*MPM!$F102*(AW101^2))</f>
        <v>0.15111175010855271</v>
      </c>
      <c r="AZ101" s="36">
        <f>8.1*((AY101/MPM!$AE102)^(1/6))</f>
        <v>12.191135717378367</v>
      </c>
      <c r="BA101" s="43">
        <f t="shared" si="57"/>
        <v>6.5460665431065544E-8</v>
      </c>
      <c r="BB101" s="38">
        <f>(MPM!$Q102^2)/(9.81*MPM!$F102*(AZ101^2))</f>
        <v>0.15111175030639021</v>
      </c>
      <c r="BC101" s="36">
        <f>8.1*((BB101/MPM!$AE102)^(1/6))</f>
        <v>12.191135720038499</v>
      </c>
      <c r="BD101" s="43">
        <f t="shared" si="58"/>
        <v>2.1820212091668044E-8</v>
      </c>
      <c r="BE101" s="38">
        <f>(MPM!$Q102^2)/(9.81*MPM!$F102*(BC101^2))</f>
        <v>0.15111175024044443</v>
      </c>
      <c r="BF101" s="36">
        <f>8.1*((BE101/MPM!$AE102)^(1/6))</f>
        <v>12.19113571915179</v>
      </c>
      <c r="BG101" s="43">
        <f t="shared" si="59"/>
        <v>7.2733943171591148E-9</v>
      </c>
      <c r="BH101" s="38">
        <f>(MPM!$Q102^2)/(9.81*MPM!$F102*(BF101^2))</f>
        <v>0.15111175026242635</v>
      </c>
      <c r="BI101" s="36">
        <f>8.1*((BH101/MPM!$AE102)^(1/6))</f>
        <v>12.19113571944736</v>
      </c>
      <c r="BJ101" s="43">
        <f t="shared" si="60"/>
        <v>2.4244647723275912E-9</v>
      </c>
      <c r="BK101" s="38">
        <f>(MPM!$Q102^2)/(9.81*MPM!$F102*(BI101^2))</f>
        <v>0.15111175025509904</v>
      </c>
      <c r="BL101" s="36">
        <f>8.1*((BK101/MPM!$AE102)^(1/6))</f>
        <v>12.191135719348836</v>
      </c>
      <c r="BM101" s="43">
        <f t="shared" si="61"/>
        <v>8.0815978107868972E-10</v>
      </c>
      <c r="BN101" s="43">
        <f t="shared" si="62"/>
        <v>4.8489316129968461E-9</v>
      </c>
    </row>
    <row r="102" spans="1:66">
      <c r="A102" s="36">
        <f>MPM!B103</f>
        <v>98</v>
      </c>
      <c r="B102" s="41">
        <f>1/(MPM!AC103^0.5)</f>
        <v>12.813971090941504</v>
      </c>
      <c r="C102" s="38">
        <f>(MPM!$Q103^2)/(9.81*MPM!$F103*(Sheet1!B102^2))</f>
        <v>0.179203353786662</v>
      </c>
      <c r="D102" s="36">
        <f>8.1*((C102/MPM!$AE103)^(1/6))</f>
        <v>12.542539642816818</v>
      </c>
      <c r="E102" s="41">
        <f t="shared" si="41"/>
        <v>2.164086826547412</v>
      </c>
      <c r="F102" s="38">
        <f>(MPM!$Q103^2)/(9.81*MPM!$F103*(D102^2))</f>
        <v>0.18704351193191571</v>
      </c>
      <c r="G102" s="36">
        <f>8.1*((F102/MPM!$AE103)^(1/6))</f>
        <v>12.632371859561683</v>
      </c>
      <c r="H102" s="43">
        <f t="shared" si="42"/>
        <v>0.71112707687487331</v>
      </c>
      <c r="I102" s="38">
        <f>(MPM!$Q103^2)/(9.81*MPM!$F103*(G102^2))</f>
        <v>0.18439273663670447</v>
      </c>
      <c r="J102" s="36">
        <f>8.1*((I102/MPM!$AE103)^(1/6))</f>
        <v>12.602356525420118</v>
      </c>
      <c r="K102" s="43">
        <f t="shared" si="43"/>
        <v>0.23817239324265316</v>
      </c>
      <c r="L102" s="38">
        <f>(MPM!$Q103^2)/(9.81*MPM!$F103*(J102^2))</f>
        <v>0.18527212781220817</v>
      </c>
      <c r="M102" s="36">
        <f>8.1*((L102/MPM!$AE103)^(1/6))</f>
        <v>12.612353704156439</v>
      </c>
      <c r="N102" s="43">
        <f t="shared" si="44"/>
        <v>7.9264972826012817E-2</v>
      </c>
      <c r="O102" s="38">
        <f>(MPM!$Q103^2)/(9.81*MPM!$F103*(M102^2))</f>
        <v>0.18497853241396975</v>
      </c>
      <c r="P102" s="36">
        <f>8.1*((O102/MPM!$AE103)^(1/6))</f>
        <v>12.609020430382955</v>
      </c>
      <c r="Q102" s="43">
        <f t="shared" si="45"/>
        <v>2.6435628301874618E-2</v>
      </c>
      <c r="R102" s="38">
        <f>(MPM!$Q103^2)/(9.81*MPM!$F103*(P102^2))</f>
        <v>0.1850763458155891</v>
      </c>
      <c r="S102" s="36">
        <f>8.1*((R102/MPM!$AE103)^(1/6))</f>
        <v>12.610131423747175</v>
      </c>
      <c r="T102" s="43">
        <f t="shared" si="46"/>
        <v>8.8103234366593008E-3</v>
      </c>
      <c r="U102" s="38">
        <f>(MPM!$Q103^2)/(9.81*MPM!$F103*(S102^2))</f>
        <v>0.18504373560284285</v>
      </c>
      <c r="V102" s="36">
        <f>8.1*((U102/MPM!$AE103)^(1/6))</f>
        <v>12.609761081749449</v>
      </c>
      <c r="W102" s="43">
        <f t="shared" si="47"/>
        <v>2.9369469835741082E-3</v>
      </c>
      <c r="X102" s="38">
        <f>(MPM!$Q103^2)/(9.81*MPM!$F103*(V102^2))</f>
        <v>0.18505460503527738</v>
      </c>
      <c r="Y102" s="36">
        <f>8.1*((X102/MPM!$AE103)^(1/6))</f>
        <v>12.609884527873515</v>
      </c>
      <c r="Z102" s="43">
        <f t="shared" si="48"/>
        <v>9.7896316015531545E-4</v>
      </c>
      <c r="AA102" s="38">
        <f>(MPM!$Q103^2)/(9.81*MPM!$F103*(Y102^2))</f>
        <v>0.18505098182019353</v>
      </c>
      <c r="AB102" s="36">
        <f>8.1*((AA102/MPM!$AE103)^(1/6))</f>
        <v>12.609843379031217</v>
      </c>
      <c r="AC102" s="43">
        <f t="shared" si="49"/>
        <v>3.2632318309699216E-4</v>
      </c>
      <c r="AD102" s="38">
        <f>(MPM!$Q103^2)/(9.81*MPM!$F103*(AB102^2))</f>
        <v>0.18505218955067254</v>
      </c>
      <c r="AE102" s="36">
        <f>8.1*((AD102/MPM!$AE103)^(1/6))</f>
        <v>12.609857095297061</v>
      </c>
      <c r="AF102" s="43">
        <f t="shared" si="50"/>
        <v>1.0877415771131939E-4</v>
      </c>
      <c r="AG102" s="38">
        <f>(MPM!$Q103^2)/(9.81*MPM!$F103*(AE102^2))</f>
        <v>0.18505178697297045</v>
      </c>
      <c r="AH102" s="36">
        <f>8.1*((AG102/MPM!$AE103)^(1/6))</f>
        <v>12.60985252320679</v>
      </c>
      <c r="AI102" s="43">
        <f t="shared" si="51"/>
        <v>3.6258078850743877E-5</v>
      </c>
      <c r="AJ102" s="38">
        <f>(MPM!$Q103^2)/(9.81*MPM!$F103*(AH102^2))</f>
        <v>0.18505192116544042</v>
      </c>
      <c r="AK102" s="36">
        <f>8.1*((AJ102/MPM!$AE103)^(1/6))</f>
        <v>12.609854047236695</v>
      </c>
      <c r="AL102" s="43">
        <f t="shared" si="52"/>
        <v>1.2086023353112122E-5</v>
      </c>
      <c r="AM102" s="38">
        <f>(MPM!$Q103^2)/(9.81*MPM!$F103*(AK102^2))</f>
        <v>0.18505187643460633</v>
      </c>
      <c r="AN102" s="36">
        <f>8.1*((AM102/MPM!$AE103)^(1/6))</f>
        <v>12.609853539226705</v>
      </c>
      <c r="AO102" s="43">
        <f t="shared" si="53"/>
        <v>4.0286747823842102E-6</v>
      </c>
      <c r="AP102" s="38">
        <f>(MPM!$Q103^2)/(9.81*MPM!$F103*(AN102^2))</f>
        <v>0.18505189134488317</v>
      </c>
      <c r="AQ102" s="36">
        <f>8.1*((AP102/MPM!$AE103)^(1/6))</f>
        <v>12.609853708563367</v>
      </c>
      <c r="AR102" s="43">
        <f t="shared" si="54"/>
        <v>1.3428915667031231E-6</v>
      </c>
      <c r="AS102" s="38">
        <f>(MPM!$Q103^2)/(9.81*MPM!$F103*(AQ102^2))</f>
        <v>0.18505188637479072</v>
      </c>
      <c r="AT102" s="36">
        <f>8.1*((AS102/MPM!$AE103)^(1/6))</f>
        <v>12.609853652117813</v>
      </c>
      <c r="AU102" s="43">
        <f t="shared" si="55"/>
        <v>4.4763052423810524E-7</v>
      </c>
      <c r="AV102" s="38">
        <f>(MPM!$Q103^2)/(9.81*MPM!$F103*(AT102^2))</f>
        <v>0.18505188803148823</v>
      </c>
      <c r="AW102" s="36">
        <f>8.1*((AV102/MPM!$AE103)^(1/6))</f>
        <v>12.609853670932997</v>
      </c>
      <c r="AX102" s="43">
        <f t="shared" si="56"/>
        <v>1.4921016982771379E-7</v>
      </c>
      <c r="AY102" s="38">
        <f>(MPM!$Q103^2)/(9.81*MPM!$F103*(AW102^2))</f>
        <v>0.18505188747925572</v>
      </c>
      <c r="AZ102" s="36">
        <f>8.1*((AY102/MPM!$AE103)^(1/6))</f>
        <v>12.609853664661269</v>
      </c>
      <c r="BA102" s="43">
        <f t="shared" si="57"/>
        <v>4.9736723300642015E-8</v>
      </c>
      <c r="BB102" s="38">
        <f>(MPM!$Q103^2)/(9.81*MPM!$F103*(AZ102^2))</f>
        <v>0.18505188766333325</v>
      </c>
      <c r="BC102" s="36">
        <f>8.1*((BB102/MPM!$AE103)^(1/6))</f>
        <v>12.609853666751846</v>
      </c>
      <c r="BD102" s="43">
        <f t="shared" si="58"/>
        <v>1.6578912459816588E-8</v>
      </c>
      <c r="BE102" s="38">
        <f>(MPM!$Q103^2)/(9.81*MPM!$F103*(BC102^2))</f>
        <v>0.18505188760197402</v>
      </c>
      <c r="BF102" s="36">
        <f>8.1*((BE102/MPM!$AE103)^(1/6))</f>
        <v>12.609853666054986</v>
      </c>
      <c r="BG102" s="43">
        <f t="shared" si="59"/>
        <v>5.5263088492621162E-9</v>
      </c>
      <c r="BH102" s="38">
        <f>(MPM!$Q103^2)/(9.81*MPM!$F103*(BF102^2))</f>
        <v>0.18505188762242711</v>
      </c>
      <c r="BI102" s="36">
        <f>8.1*((BH102/MPM!$AE103)^(1/6))</f>
        <v>12.609853666287272</v>
      </c>
      <c r="BJ102" s="43">
        <f t="shared" si="60"/>
        <v>1.8420935583510675E-9</v>
      </c>
      <c r="BK102" s="38">
        <f>(MPM!$Q103^2)/(9.81*MPM!$F103*(BI102^2))</f>
        <v>0.18505188761560942</v>
      </c>
      <c r="BL102" s="36">
        <f>8.1*((BK102/MPM!$AE103)^(1/6))</f>
        <v>12.609853666209844</v>
      </c>
      <c r="BM102" s="43">
        <f t="shared" si="61"/>
        <v>6.1402649043627385E-10</v>
      </c>
      <c r="BN102" s="43">
        <f t="shared" si="62"/>
        <v>3.6842019787204234E-9</v>
      </c>
    </row>
    <row r="103" spans="1:66">
      <c r="A103" s="36">
        <f>MPM!B104</f>
        <v>99</v>
      </c>
      <c r="B103" s="41">
        <f>1/(MPM!AC104^0.5)</f>
        <v>12.506800499382329</v>
      </c>
      <c r="C103" s="38">
        <f>(MPM!$Q104^2)/(9.81*MPM!$F104*(Sheet1!B103^2))</f>
        <v>0.14462427628860094</v>
      </c>
      <c r="D103" s="36">
        <f>8.1*((C103/MPM!$AE104)^(1/6))</f>
        <v>12.102302200505102</v>
      </c>
      <c r="E103" s="41">
        <f t="shared" si="41"/>
        <v>3.3423252218932777</v>
      </c>
      <c r="F103" s="38">
        <f>(MPM!$Q104^2)/(9.81*MPM!$F104*(D103^2))</f>
        <v>0.15445346538860028</v>
      </c>
      <c r="G103" s="36">
        <f>8.1*((F103/MPM!$AE104)^(1/6))</f>
        <v>12.235660070187151</v>
      </c>
      <c r="H103" s="43">
        <f t="shared" si="42"/>
        <v>1.0899115284101664</v>
      </c>
      <c r="I103" s="38">
        <f>(MPM!$Q104^2)/(9.81*MPM!$F104*(G103^2))</f>
        <v>0.15110500077543115</v>
      </c>
      <c r="J103" s="36">
        <f>8.1*((I103/MPM!$AE104)^(1/6))</f>
        <v>12.191044963827483</v>
      </c>
      <c r="K103" s="43">
        <f t="shared" si="43"/>
        <v>0.36596621940159541</v>
      </c>
      <c r="L103" s="38">
        <f>(MPM!$Q104^2)/(9.81*MPM!$F104*(J103^2))</f>
        <v>0.15221301106128263</v>
      </c>
      <c r="M103" s="36">
        <f>8.1*((L103/MPM!$AE104)^(1/6))</f>
        <v>12.205898560940547</v>
      </c>
      <c r="N103" s="43">
        <f t="shared" si="44"/>
        <v>0.12169195933346241</v>
      </c>
      <c r="O103" s="38">
        <f>(MPM!$Q104^2)/(9.81*MPM!$F104*(M103^2))</f>
        <v>0.15184277448146849</v>
      </c>
      <c r="P103" s="36">
        <f>8.1*((O103/MPM!$AE104)^(1/6))</f>
        <v>12.200945352140234</v>
      </c>
      <c r="Q103" s="43">
        <f t="shared" si="45"/>
        <v>4.0596926363937129E-2</v>
      </c>
      <c r="R103" s="38">
        <f>(MPM!$Q104^2)/(9.81*MPM!$F104*(P103^2))</f>
        <v>0.15196608650552493</v>
      </c>
      <c r="S103" s="36">
        <f>8.1*((R103/MPM!$AE104)^(1/6))</f>
        <v>12.20259619836288</v>
      </c>
      <c r="T103" s="43">
        <f t="shared" si="46"/>
        <v>1.352864747640278E-2</v>
      </c>
      <c r="U103" s="38">
        <f>(MPM!$Q104^2)/(9.81*MPM!$F104*(S103^2))</f>
        <v>0.15192497137461958</v>
      </c>
      <c r="V103" s="36">
        <f>8.1*((U103/MPM!$AE104)^(1/6))</f>
        <v>12.20204589147156</v>
      </c>
      <c r="W103" s="43">
        <f t="shared" si="47"/>
        <v>4.5099559222653929E-3</v>
      </c>
      <c r="X103" s="38">
        <f>(MPM!$Q104^2)/(9.81*MPM!$F104*(V103^2))</f>
        <v>0.15193867518211829</v>
      </c>
      <c r="Y103" s="36">
        <f>8.1*((X103/MPM!$AE104)^(1/6))</f>
        <v>12.202229324344447</v>
      </c>
      <c r="Z103" s="43">
        <f t="shared" si="48"/>
        <v>1.5032734430061507E-3</v>
      </c>
      <c r="AA103" s="38">
        <f>(MPM!$Q104^2)/(9.81*MPM!$F104*(Y103^2))</f>
        <v>0.1519341071089465</v>
      </c>
      <c r="AB103" s="36">
        <f>8.1*((AA103/MPM!$AE104)^(1/6))</f>
        <v>12.202168179747094</v>
      </c>
      <c r="AC103" s="43">
        <f t="shared" si="49"/>
        <v>5.0109616957072804E-4</v>
      </c>
      <c r="AD103" s="38">
        <f>(MPM!$Q104^2)/(9.81*MPM!$F104*(AB103^2))</f>
        <v>0.15193562978474354</v>
      </c>
      <c r="AE103" s="36">
        <f>8.1*((AD103/MPM!$AE104)^(1/6))</f>
        <v>12.202188561245501</v>
      </c>
      <c r="AF103" s="43">
        <f t="shared" si="50"/>
        <v>1.6703149852929144E-4</v>
      </c>
      <c r="AG103" s="38">
        <f>(MPM!$Q104^2)/(9.81*MPM!$F104*(AE103^2))</f>
        <v>0.15193512222444899</v>
      </c>
      <c r="AH103" s="36">
        <f>8.1*((AG103/MPM!$AE104)^(1/6))</f>
        <v>12.202181767408916</v>
      </c>
      <c r="AI103" s="43">
        <f t="shared" si="51"/>
        <v>5.5677228174126128E-5</v>
      </c>
      <c r="AJ103" s="38">
        <f>(MPM!$Q104^2)/(9.81*MPM!$F104*(AH103^2))</f>
        <v>0.15193529141102544</v>
      </c>
      <c r="AK103" s="36">
        <f>8.1*((AJ103/MPM!$AE104)^(1/6))</f>
        <v>12.202184032020691</v>
      </c>
      <c r="AL103" s="43">
        <f t="shared" si="52"/>
        <v>1.8559069168328928E-5</v>
      </c>
      <c r="AM103" s="38">
        <f>(MPM!$Q104^2)/(9.81*MPM!$F104*(AK103^2))</f>
        <v>0.15193523501547904</v>
      </c>
      <c r="AN103" s="36">
        <f>8.1*((AM103/MPM!$AE104)^(1/6))</f>
        <v>12.202183277150054</v>
      </c>
      <c r="AO103" s="43">
        <f t="shared" si="53"/>
        <v>6.1863571458006262E-6</v>
      </c>
      <c r="AP103" s="38">
        <f>(MPM!$Q104^2)/(9.81*MPM!$F104*(AN103^2))</f>
        <v>0.15193525381399217</v>
      </c>
      <c r="AQ103" s="36">
        <f>8.1*((AP103/MPM!$AE104)^(1/6))</f>
        <v>12.202183528773594</v>
      </c>
      <c r="AR103" s="43">
        <f t="shared" si="54"/>
        <v>2.062118957551206E-6</v>
      </c>
      <c r="AS103" s="38">
        <f>(MPM!$Q104^2)/(9.81*MPM!$F104*(AQ103^2))</f>
        <v>0.15193524754782084</v>
      </c>
      <c r="AT103" s="36">
        <f>8.1*((AS103/MPM!$AE104)^(1/6))</f>
        <v>12.202183444899079</v>
      </c>
      <c r="AU103" s="43">
        <f t="shared" si="55"/>
        <v>6.8737300028034935E-7</v>
      </c>
      <c r="AV103" s="38">
        <f>(MPM!$Q104^2)/(9.81*MPM!$F104*(AT103^2))</f>
        <v>0.15193524963654459</v>
      </c>
      <c r="AW103" s="36">
        <f>8.1*((AV103/MPM!$AE104)^(1/6))</f>
        <v>12.20218347285725</v>
      </c>
      <c r="AX103" s="43">
        <f t="shared" si="56"/>
        <v>2.2912432804923803E-7</v>
      </c>
      <c r="AY103" s="38">
        <f>(MPM!$Q104^2)/(9.81*MPM!$F104*(AW103^2))</f>
        <v>0.15193524894030339</v>
      </c>
      <c r="AZ103" s="36">
        <f>8.1*((AY103/MPM!$AE104)^(1/6))</f>
        <v>12.20218346353786</v>
      </c>
      <c r="BA103" s="43">
        <f t="shared" si="57"/>
        <v>7.6374771222178222E-8</v>
      </c>
      <c r="BB103" s="38">
        <f>(MPM!$Q104^2)/(9.81*MPM!$F104*(AZ103^2))</f>
        <v>0.15193524917238377</v>
      </c>
      <c r="BC103" s="36">
        <f>8.1*((BB103/MPM!$AE104)^(1/6))</f>
        <v>12.202183466644323</v>
      </c>
      <c r="BD103" s="43">
        <f t="shared" si="58"/>
        <v>2.5458252215012669E-8</v>
      </c>
      <c r="BE103" s="38">
        <f>(MPM!$Q104^2)/(9.81*MPM!$F104*(BC103^2))</f>
        <v>0.15193524909502365</v>
      </c>
      <c r="BF103" s="36">
        <f>8.1*((BE103/MPM!$AE104)^(1/6))</f>
        <v>12.202183465608835</v>
      </c>
      <c r="BG103" s="43">
        <f t="shared" si="59"/>
        <v>8.4860889249565379E-9</v>
      </c>
      <c r="BH103" s="38">
        <f>(MPM!$Q104^2)/(9.81*MPM!$F104*(BF103^2))</f>
        <v>0.15193524912081036</v>
      </c>
      <c r="BI103" s="36">
        <f>8.1*((BH103/MPM!$AE104)^(1/6))</f>
        <v>12.202183465953999</v>
      </c>
      <c r="BJ103" s="43">
        <f t="shared" si="60"/>
        <v>2.8287060133698528E-9</v>
      </c>
      <c r="BK103" s="38">
        <f>(MPM!$Q104^2)/(9.81*MPM!$F104*(BI103^2))</f>
        <v>0.15193524911221476</v>
      </c>
      <c r="BL103" s="36">
        <f>8.1*((BK103/MPM!$AE104)^(1/6))</f>
        <v>12.202183465838942</v>
      </c>
      <c r="BM103" s="43">
        <f t="shared" si="61"/>
        <v>9.4291656216204174E-10</v>
      </c>
      <c r="BN103" s="43">
        <f t="shared" si="62"/>
        <v>5.6574076832427848E-9</v>
      </c>
    </row>
    <row r="104" spans="1:66">
      <c r="A104" s="36">
        <f>MPM!B105</f>
        <v>100</v>
      </c>
      <c r="B104" s="41">
        <f>1/(MPM!AC105^0.5)</f>
        <v>12.786746944457954</v>
      </c>
      <c r="C104" s="38">
        <f>(MPM!$Q105^2)/(9.81*MPM!$F105*(Sheet1!B104^2))</f>
        <v>0.17883732508804073</v>
      </c>
      <c r="D104" s="36">
        <f>8.1*((C104/MPM!$AE105)^(1/6))</f>
        <v>12.538266246714501</v>
      </c>
      <c r="E104" s="41">
        <f t="shared" si="41"/>
        <v>1.9817787631409116</v>
      </c>
      <c r="F104" s="38">
        <f>(MPM!$Q105^2)/(9.81*MPM!$F105*(D104^2))</f>
        <v>0.18599588275914036</v>
      </c>
      <c r="G104" s="36">
        <f>8.1*((F104/MPM!$AE105)^(1/6))</f>
        <v>12.620551942921391</v>
      </c>
      <c r="H104" s="43">
        <f t="shared" si="42"/>
        <v>0.65199760342528001</v>
      </c>
      <c r="I104" s="38">
        <f>(MPM!$Q105^2)/(9.81*MPM!$F105*(G104^2))</f>
        <v>0.18357841206427017</v>
      </c>
      <c r="J104" s="36">
        <f>8.1*((I104/MPM!$AE105)^(1/6))</f>
        <v>12.593063549455472</v>
      </c>
      <c r="K104" s="43">
        <f t="shared" si="43"/>
        <v>0.21828201976403086</v>
      </c>
      <c r="L104" s="38">
        <f>(MPM!$Q105^2)/(9.81*MPM!$F105*(J104^2))</f>
        <v>0.18438072409247647</v>
      </c>
      <c r="M104" s="36">
        <f>8.1*((L104/MPM!$AE105)^(1/6))</f>
        <v>12.602219688437135</v>
      </c>
      <c r="N104" s="43">
        <f t="shared" si="44"/>
        <v>7.2654970378460873E-2</v>
      </c>
      <c r="O104" s="38">
        <f>(MPM!$Q105^2)/(9.81*MPM!$F105*(M104^2))</f>
        <v>0.18411289790140786</v>
      </c>
      <c r="P104" s="36">
        <f>8.1*((O104/MPM!$AE105)^(1/6))</f>
        <v>12.599166902656965</v>
      </c>
      <c r="Q104" s="43">
        <f t="shared" si="45"/>
        <v>2.4230060636202172E-2</v>
      </c>
      <c r="R104" s="38">
        <f>(MPM!$Q105^2)/(9.81*MPM!$F105*(P104^2))</f>
        <v>0.18420213004420066</v>
      </c>
      <c r="S104" s="36">
        <f>8.1*((R104/MPM!$AE105)^(1/6))</f>
        <v>12.600184415740102</v>
      </c>
      <c r="T104" s="43">
        <f t="shared" si="46"/>
        <v>8.0753824671544201E-3</v>
      </c>
      <c r="U104" s="38">
        <f>(MPM!$Q105^2)/(9.81*MPM!$F105*(S104^2))</f>
        <v>0.18417238119238852</v>
      </c>
      <c r="V104" s="36">
        <f>8.1*((U104/MPM!$AE105)^(1/6))</f>
        <v>12.599845235582194</v>
      </c>
      <c r="W104" s="43">
        <f t="shared" si="47"/>
        <v>2.6919390799389153E-3</v>
      </c>
      <c r="X104" s="38">
        <f>(MPM!$Q105^2)/(9.81*MPM!$F105*(V104^2))</f>
        <v>0.18418229694245725</v>
      </c>
      <c r="Y104" s="36">
        <f>8.1*((X104/MPM!$AE105)^(1/6))</f>
        <v>12.599958294620341</v>
      </c>
      <c r="Z104" s="43">
        <f t="shared" si="48"/>
        <v>8.9729692356031948E-4</v>
      </c>
      <c r="AA104" s="38">
        <f>(MPM!$Q105^2)/(9.81*MPM!$F105*(Y104^2))</f>
        <v>0.18417899163311813</v>
      </c>
      <c r="AB104" s="36">
        <f>8.1*((AA104/MPM!$AE105)^(1/6))</f>
        <v>12.599920608161574</v>
      </c>
      <c r="AC104" s="43">
        <f t="shared" si="49"/>
        <v>2.9910076372610201E-4</v>
      </c>
      <c r="AD104" s="38">
        <f>(MPM!$Q105^2)/(9.81*MPM!$F105*(AB104^2))</f>
        <v>0.184180093396307</v>
      </c>
      <c r="AE104" s="36">
        <f>8.1*((AD104/MPM!$AE105)^(1/6))</f>
        <v>12.599933170301972</v>
      </c>
      <c r="AF104" s="43">
        <f t="shared" si="50"/>
        <v>9.9700055772837396E-5</v>
      </c>
      <c r="AG104" s="38">
        <f>(MPM!$Q105^2)/(9.81*MPM!$F105*(AE104^2))</f>
        <v>0.18417972614117842</v>
      </c>
      <c r="AH104" s="36">
        <f>8.1*((AG104/MPM!$AE105)^(1/6))</f>
        <v>12.599928982920447</v>
      </c>
      <c r="AI104" s="43">
        <f t="shared" si="51"/>
        <v>3.3233374012393808E-5</v>
      </c>
      <c r="AJ104" s="38">
        <f>(MPM!$Q105^2)/(9.81*MPM!$F105*(AH104^2))</f>
        <v>0.18417984855947322</v>
      </c>
      <c r="AK104" s="36">
        <f>8.1*((AJ104/MPM!$AE105)^(1/6))</f>
        <v>12.599930378714133</v>
      </c>
      <c r="AL104" s="43">
        <f t="shared" si="52"/>
        <v>1.1077788869653238E-5</v>
      </c>
      <c r="AM104" s="38">
        <f>(MPM!$Q105^2)/(9.81*MPM!$F105*(AK104^2))</f>
        <v>0.18417980775336598</v>
      </c>
      <c r="AN104" s="36">
        <f>8.1*((AM104/MPM!$AE105)^(1/6))</f>
        <v>12.599929913449555</v>
      </c>
      <c r="AO104" s="43">
        <f t="shared" si="53"/>
        <v>3.6925965484210501E-6</v>
      </c>
      <c r="AP104" s="38">
        <f>(MPM!$Q105^2)/(9.81*MPM!$F105*(AN104^2))</f>
        <v>0.18417982135540065</v>
      </c>
      <c r="AQ104" s="36">
        <f>8.1*((AP104/MPM!$AE105)^(1/6))</f>
        <v>12.599930068537747</v>
      </c>
      <c r="AR104" s="43">
        <f t="shared" si="54"/>
        <v>1.2308654915912855E-6</v>
      </c>
      <c r="AS104" s="38">
        <f>(MPM!$Q105^2)/(9.81*MPM!$F105*(AQ104^2))</f>
        <v>0.18417981682138895</v>
      </c>
      <c r="AT104" s="36">
        <f>8.1*((AS104/MPM!$AE105)^(1/6))</f>
        <v>12.599930016841682</v>
      </c>
      <c r="AU104" s="43">
        <f t="shared" si="55"/>
        <v>4.1028850357984453E-7</v>
      </c>
      <c r="AV104" s="38">
        <f>(MPM!$Q105^2)/(9.81*MPM!$F105*(AT104^2))</f>
        <v>0.1841798183327262</v>
      </c>
      <c r="AW104" s="36">
        <f>8.1*((AV104/MPM!$AE105)^(1/6))</f>
        <v>12.599930034073701</v>
      </c>
      <c r="AX104" s="43">
        <f t="shared" si="56"/>
        <v>1.3676281084266008E-7</v>
      </c>
      <c r="AY104" s="38">
        <f>(MPM!$Q105^2)/(9.81*MPM!$F105*(AW104^2))</f>
        <v>0.18417981782894718</v>
      </c>
      <c r="AZ104" s="36">
        <f>8.1*((AY104/MPM!$AE105)^(1/6))</f>
        <v>12.599930028329696</v>
      </c>
      <c r="BA104" s="43">
        <f t="shared" si="57"/>
        <v>4.5587589536853872E-8</v>
      </c>
      <c r="BB104" s="38">
        <f>(MPM!$Q105^2)/(9.81*MPM!$F105*(AZ104^2))</f>
        <v>0.18417981799687347</v>
      </c>
      <c r="BC104" s="36">
        <f>8.1*((BB104/MPM!$AE105)^(1/6))</f>
        <v>12.599930030244366</v>
      </c>
      <c r="BD104" s="43">
        <f t="shared" si="58"/>
        <v>1.5195872575407776E-8</v>
      </c>
      <c r="BE104" s="38">
        <f>(MPM!$Q105^2)/(9.81*MPM!$F105*(BC104^2))</f>
        <v>0.18417981794089805</v>
      </c>
      <c r="BF104" s="36">
        <f>8.1*((BE104/MPM!$AE105)^(1/6))</f>
        <v>12.599930029606142</v>
      </c>
      <c r="BG104" s="43">
        <f t="shared" si="59"/>
        <v>5.0652955581086449E-9</v>
      </c>
      <c r="BH104" s="38">
        <f>(MPM!$Q105^2)/(9.81*MPM!$F105*(BF104^2))</f>
        <v>0.18417981795955651</v>
      </c>
      <c r="BI104" s="36">
        <f>8.1*((BH104/MPM!$AE105)^(1/6))</f>
        <v>12.599930029818882</v>
      </c>
      <c r="BJ104" s="43">
        <f t="shared" si="60"/>
        <v>1.6884224539087448E-9</v>
      </c>
      <c r="BK104" s="38">
        <f>(MPM!$Q105^2)/(9.81*MPM!$F105*(BI104^2))</f>
        <v>0.18417981795333707</v>
      </c>
      <c r="BL104" s="36">
        <f>8.1*((BK104/MPM!$AE105)^(1/6))</f>
        <v>12.59993002974797</v>
      </c>
      <c r="BM104" s="43">
        <f t="shared" si="61"/>
        <v>5.6279808587378656E-10</v>
      </c>
      <c r="BN104" s="43">
        <f t="shared" si="62"/>
        <v>3.3768312388875525E-9</v>
      </c>
    </row>
    <row r="105" spans="1:66">
      <c r="A105" s="36">
        <f>MPM!B106</f>
        <v>101</v>
      </c>
      <c r="B105" s="41">
        <f>1/(MPM!AC106^0.5)</f>
        <v>12.760378441628905</v>
      </c>
      <c r="C105" s="38">
        <f>(MPM!$Q106^2)/(9.81*MPM!$F106*(Sheet1!B105^2))</f>
        <v>0.17188515634851154</v>
      </c>
      <c r="D105" s="36">
        <f>8.1*((C105/MPM!$AE106)^(1/6))</f>
        <v>12.455682300435198</v>
      </c>
      <c r="E105" s="41">
        <f t="shared" si="41"/>
        <v>2.4462420752579828</v>
      </c>
      <c r="F105" s="38">
        <f>(MPM!$Q106^2)/(9.81*MPM!$F106*(D105^2))</f>
        <v>0.18039746818136035</v>
      </c>
      <c r="G105" s="36">
        <f>8.1*((F105/MPM!$AE106)^(1/6))</f>
        <v>12.556430577293543</v>
      </c>
      <c r="H105" s="43">
        <f t="shared" si="42"/>
        <v>0.80236398583315427</v>
      </c>
      <c r="I105" s="38">
        <f>(MPM!$Q106^2)/(9.81*MPM!$F106*(G105^2))</f>
        <v>0.17751419332118312</v>
      </c>
      <c r="J105" s="36">
        <f>8.1*((I105/MPM!$AE106)^(1/6))</f>
        <v>12.522757597158385</v>
      </c>
      <c r="K105" s="43">
        <f t="shared" si="43"/>
        <v>0.26889429004677862</v>
      </c>
      <c r="L105" s="38">
        <f>(MPM!$Q106^2)/(9.81*MPM!$F106*(J105^2))</f>
        <v>0.17847012788200439</v>
      </c>
      <c r="M105" s="36">
        <f>8.1*((L105/MPM!$AE106)^(1/6))</f>
        <v>12.533971878347661</v>
      </c>
      <c r="N105" s="43">
        <f t="shared" si="44"/>
        <v>8.9471089436923334E-2</v>
      </c>
      <c r="O105" s="38">
        <f>(MPM!$Q106^2)/(9.81*MPM!$F106*(M105^2))</f>
        <v>0.17815091241322437</v>
      </c>
      <c r="P105" s="36">
        <f>8.1*((O105/MPM!$AE106)^(1/6))</f>
        <v>12.5302326692257</v>
      </c>
      <c r="Q105" s="43">
        <f t="shared" si="45"/>
        <v>2.9841497924804235E-2</v>
      </c>
      <c r="R105" s="38">
        <f>(MPM!$Q106^2)/(9.81*MPM!$F106*(P105^2))</f>
        <v>0.17825725407949194</v>
      </c>
      <c r="S105" s="36">
        <f>8.1*((R105/MPM!$AE106)^(1/6))</f>
        <v>12.531478948305125</v>
      </c>
      <c r="T105" s="43">
        <f t="shared" si="46"/>
        <v>9.9451875119105377E-3</v>
      </c>
      <c r="U105" s="38">
        <f>(MPM!$Q106^2)/(9.81*MPM!$F106*(S105^2))</f>
        <v>0.17822179980623301</v>
      </c>
      <c r="V105" s="36">
        <f>8.1*((U105/MPM!$AE106)^(1/6))</f>
        <v>12.531063508172911</v>
      </c>
      <c r="W105" s="43">
        <f t="shared" si="47"/>
        <v>3.3152823137690031E-3</v>
      </c>
      <c r="X105" s="38">
        <f>(MPM!$Q106^2)/(9.81*MPM!$F106*(V105^2))</f>
        <v>0.17823361711373487</v>
      </c>
      <c r="Y105" s="36">
        <f>8.1*((X105/MPM!$AE106)^(1/6))</f>
        <v>12.531201986686677</v>
      </c>
      <c r="Z105" s="43">
        <f t="shared" si="48"/>
        <v>1.1050696805651324E-3</v>
      </c>
      <c r="AA105" s="38">
        <f>(MPM!$Q106^2)/(9.81*MPM!$F106*(Y105^2))</f>
        <v>0.17822967792417374</v>
      </c>
      <c r="AB105" s="36">
        <f>8.1*((AA105/MPM!$AE106)^(1/6))</f>
        <v>12.531155827012055</v>
      </c>
      <c r="AC105" s="43">
        <f t="shared" si="49"/>
        <v>3.6835927394496146E-4</v>
      </c>
      <c r="AD105" s="38">
        <f>(MPM!$Q106^2)/(9.81*MPM!$F106*(AB105^2))</f>
        <v>0.17823099097768724</v>
      </c>
      <c r="AE105" s="36">
        <f>8.1*((AD105/MPM!$AE106)^(1/6))</f>
        <v>12.531171213551371</v>
      </c>
      <c r="AF105" s="43">
        <f t="shared" si="50"/>
        <v>1.2278612312713108E-4</v>
      </c>
      <c r="AG105" s="38">
        <f>(MPM!$Q106^2)/(9.81*MPM!$F106*(AE105^2))</f>
        <v>0.17823055329210791</v>
      </c>
      <c r="AH105" s="36">
        <f>8.1*((AG105/MPM!$AE106)^(1/6))</f>
        <v>12.531166084702832</v>
      </c>
      <c r="AI105" s="43">
        <f t="shared" si="51"/>
        <v>4.0928741220827844E-5</v>
      </c>
      <c r="AJ105" s="38">
        <f>(MPM!$Q106^2)/(9.81*MPM!$F106*(AH105^2))</f>
        <v>0.17823069918718162</v>
      </c>
      <c r="AK105" s="36">
        <f>8.1*((AJ105/MPM!$AE106)^(1/6))</f>
        <v>12.53116779431878</v>
      </c>
      <c r="AL105" s="43">
        <f t="shared" si="52"/>
        <v>1.364291002671897E-5</v>
      </c>
      <c r="AM105" s="38">
        <f>(MPM!$Q106^2)/(9.81*MPM!$F106*(AK105^2))</f>
        <v>0.1782306505554771</v>
      </c>
      <c r="AN105" s="36">
        <f>8.1*((AM105/MPM!$AE106)^(1/6))</f>
        <v>12.53116722444677</v>
      </c>
      <c r="AO105" s="43">
        <f t="shared" si="53"/>
        <v>4.5476370950156496E-6</v>
      </c>
      <c r="AP105" s="38">
        <f>(MPM!$Q106^2)/(9.81*MPM!$F106*(AN105^2))</f>
        <v>0.17823066676604379</v>
      </c>
      <c r="AQ105" s="36">
        <f>8.1*((AP105/MPM!$AE106)^(1/6))</f>
        <v>12.531167414404104</v>
      </c>
      <c r="AR105" s="43">
        <f t="shared" si="54"/>
        <v>1.5158789850671423E-6</v>
      </c>
      <c r="AS105" s="38">
        <f>(MPM!$Q106^2)/(9.81*MPM!$F106*(AQ105^2))</f>
        <v>0.17823066136252139</v>
      </c>
      <c r="AT105" s="36">
        <f>8.1*((AS105/MPM!$AE106)^(1/6))</f>
        <v>12.531167351084994</v>
      </c>
      <c r="AU105" s="43">
        <f t="shared" si="55"/>
        <v>5.0529298812525101E-7</v>
      </c>
      <c r="AV105" s="38">
        <f>(MPM!$Q106^2)/(9.81*MPM!$F106*(AT105^2))</f>
        <v>0.17823066316369546</v>
      </c>
      <c r="AW105" s="36">
        <f>8.1*((AV105/MPM!$AE106)^(1/6))</f>
        <v>12.531167372191362</v>
      </c>
      <c r="AX105" s="43">
        <f t="shared" si="56"/>
        <v>1.6843098158255071E-7</v>
      </c>
      <c r="AY105" s="38">
        <f>(MPM!$Q106^2)/(9.81*MPM!$F106*(AW105^2))</f>
        <v>0.17823066256330417</v>
      </c>
      <c r="AZ105" s="36">
        <f>8.1*((AY105/MPM!$AE106)^(1/6))</f>
        <v>12.531167365155905</v>
      </c>
      <c r="BA105" s="43">
        <f t="shared" si="57"/>
        <v>5.6143665284207902E-8</v>
      </c>
      <c r="BB105" s="38">
        <f>(MPM!$Q106^2)/(9.81*MPM!$F106*(AZ105^2))</f>
        <v>0.17823066276343463</v>
      </c>
      <c r="BC105" s="36">
        <f>8.1*((BB105/MPM!$AE106)^(1/6))</f>
        <v>12.531167367501059</v>
      </c>
      <c r="BD105" s="43">
        <f t="shared" si="58"/>
        <v>1.8714564541573387E-8</v>
      </c>
      <c r="BE105" s="38">
        <f>(MPM!$Q106^2)/(9.81*MPM!$F106*(BC105^2))</f>
        <v>0.17823066269672444</v>
      </c>
      <c r="BF105" s="36">
        <f>8.1*((BE105/MPM!$AE106)^(1/6))</f>
        <v>12.531167366719341</v>
      </c>
      <c r="BG105" s="43">
        <f t="shared" si="59"/>
        <v>6.238188180913612E-9</v>
      </c>
      <c r="BH105" s="38">
        <f>(MPM!$Q106^2)/(9.81*MPM!$F106*(BF105^2))</f>
        <v>0.17823066271896115</v>
      </c>
      <c r="BI105" s="36">
        <f>8.1*((BH105/MPM!$AE106)^(1/6))</f>
        <v>12.531167366979913</v>
      </c>
      <c r="BJ105" s="43">
        <f t="shared" si="60"/>
        <v>2.0793913350914151E-9</v>
      </c>
      <c r="BK105" s="38">
        <f>(MPM!$Q106^2)/(9.81*MPM!$F106*(BI105^2))</f>
        <v>0.17823066271154892</v>
      </c>
      <c r="BL105" s="36">
        <f>8.1*((BK105/MPM!$AE106)^(1/6))</f>
        <v>12.531167366893056</v>
      </c>
      <c r="BM105" s="43">
        <f t="shared" si="61"/>
        <v>6.9312571986539251E-10</v>
      </c>
      <c r="BN105" s="43">
        <f t="shared" si="62"/>
        <v>4.1587891655052847E-9</v>
      </c>
    </row>
    <row r="106" spans="1:66">
      <c r="A106" s="36">
        <f>MPM!B107</f>
        <v>102</v>
      </c>
      <c r="B106" s="41">
        <f>1/(MPM!AC107^0.5)</f>
        <v>12.801626927406341</v>
      </c>
      <c r="C106" s="38">
        <f>(MPM!$Q107^2)/(9.81*MPM!$F107*(Sheet1!B106^2))</f>
        <v>0.15997812217871596</v>
      </c>
      <c r="D106" s="36">
        <f>8.1*((C106/MPM!$AE107)^(1/6))</f>
        <v>12.307539150648564</v>
      </c>
      <c r="E106" s="41">
        <f t="shared" si="41"/>
        <v>4.0145131427978438</v>
      </c>
      <c r="F106" s="38">
        <f>(MPM!$Q107^2)/(9.81*MPM!$F107*(D106^2))</f>
        <v>0.17308063345303898</v>
      </c>
      <c r="G106" s="36">
        <f>8.1*((F106/MPM!$AE107)^(1/6))</f>
        <v>12.470079038629029</v>
      </c>
      <c r="H106" s="43">
        <f t="shared" si="42"/>
        <v>1.3034391159587606</v>
      </c>
      <c r="I106" s="38">
        <f>(MPM!$Q107^2)/(9.81*MPM!$F107*(G106^2))</f>
        <v>0.16859803769118761</v>
      </c>
      <c r="J106" s="36">
        <f>8.1*((I106/MPM!$AE107)^(1/6))</f>
        <v>12.41566195545578</v>
      </c>
      <c r="K106" s="43">
        <f t="shared" si="43"/>
        <v>0.43829385310652985</v>
      </c>
      <c r="L106" s="38">
        <f>(MPM!$Q107^2)/(9.81*MPM!$F107*(J106^2))</f>
        <v>0.17007918615612699</v>
      </c>
      <c r="M106" s="36">
        <f>8.1*((L106/MPM!$AE107)^(1/6))</f>
        <v>12.433774546772824</v>
      </c>
      <c r="N106" s="43">
        <f t="shared" si="44"/>
        <v>0.14567250876963012</v>
      </c>
      <c r="O106" s="38">
        <f>(MPM!$Q107^2)/(9.81*MPM!$F107*(M106^2))</f>
        <v>0.16958402983758339</v>
      </c>
      <c r="P106" s="36">
        <f>8.1*((O106/MPM!$AE107)^(1/6))</f>
        <v>12.427734082284905</v>
      </c>
      <c r="Q106" s="43">
        <f t="shared" si="45"/>
        <v>4.8604713038792893E-2</v>
      </c>
      <c r="R106" s="38">
        <f>(MPM!$Q107^2)/(9.81*MPM!$F107*(P106^2))</f>
        <v>0.1697489215625464</v>
      </c>
      <c r="S106" s="36">
        <f>8.1*((R106/MPM!$AE107)^(1/6))</f>
        <v>12.429747244318888</v>
      </c>
      <c r="T106" s="43">
        <f t="shared" si="46"/>
        <v>1.6196323178676281E-2</v>
      </c>
      <c r="U106" s="38">
        <f>(MPM!$Q107^2)/(9.81*MPM!$F107*(S106^2))</f>
        <v>0.16969393984755793</v>
      </c>
      <c r="V106" s="36">
        <f>8.1*((U106/MPM!$AE107)^(1/6))</f>
        <v>12.429076154075608</v>
      </c>
      <c r="W106" s="43">
        <f t="shared" si="47"/>
        <v>5.3993574016359333E-3</v>
      </c>
      <c r="X106" s="38">
        <f>(MPM!$Q107^2)/(9.81*MPM!$F107*(V106^2))</f>
        <v>0.16971226510687029</v>
      </c>
      <c r="Y106" s="36">
        <f>8.1*((X106/MPM!$AE107)^(1/6))</f>
        <v>12.429299846797427</v>
      </c>
      <c r="Z106" s="43">
        <f t="shared" si="48"/>
        <v>1.7997210186958641E-3</v>
      </c>
      <c r="AA106" s="38">
        <f>(MPM!$Q107^2)/(9.81*MPM!$F107*(Y106^2))</f>
        <v>0.16970615646722714</v>
      </c>
      <c r="AB106" s="36">
        <f>8.1*((AA106/MPM!$AE107)^(1/6))</f>
        <v>12.429225282109499</v>
      </c>
      <c r="AC106" s="43">
        <f t="shared" si="49"/>
        <v>5.9991420410916696E-4</v>
      </c>
      <c r="AD106" s="38">
        <f>(MPM!$Q107^2)/(9.81*MPM!$F107*(AB106^2))</f>
        <v>0.16970819265601064</v>
      </c>
      <c r="AE106" s="36">
        <f>8.1*((AD106/MPM!$AE107)^(1/6))</f>
        <v>12.429250136955774</v>
      </c>
      <c r="AF106" s="43">
        <f t="shared" si="50"/>
        <v>1.9997060161695105E-4</v>
      </c>
      <c r="AG106" s="38">
        <f>(MPM!$Q107^2)/(9.81*MPM!$F107*(AE106^2))</f>
        <v>0.16970751392370154</v>
      </c>
      <c r="AH106" s="36">
        <f>8.1*((AG106/MPM!$AE107)^(1/6))</f>
        <v>12.429241852001493</v>
      </c>
      <c r="AI106" s="43">
        <f t="shared" si="51"/>
        <v>6.6656956074920398E-5</v>
      </c>
      <c r="AJ106" s="38">
        <f>(MPM!$Q107^2)/(9.81*MPM!$F107*(AH106^2))</f>
        <v>0.16970774016750295</v>
      </c>
      <c r="AK106" s="36">
        <f>8.1*((AJ106/MPM!$AE107)^(1/6))</f>
        <v>12.429244613652306</v>
      </c>
      <c r="AL106" s="43">
        <f t="shared" si="52"/>
        <v>2.2218975486057467E-5</v>
      </c>
      <c r="AM106" s="38">
        <f>(MPM!$Q107^2)/(9.81*MPM!$F107*(AK106^2))</f>
        <v>0.169707664752869</v>
      </c>
      <c r="AN106" s="36">
        <f>8.1*((AM106/MPM!$AE107)^(1/6))</f>
        <v>12.429243693101967</v>
      </c>
      <c r="AO106" s="43">
        <f t="shared" si="53"/>
        <v>7.4063262631702204E-6</v>
      </c>
      <c r="AP106" s="38">
        <f>(MPM!$Q107^2)/(9.81*MPM!$F107*(AN106^2))</f>
        <v>0.1697076898910766</v>
      </c>
      <c r="AQ106" s="36">
        <f>8.1*((AP106/MPM!$AE107)^(1/6))</f>
        <v>12.429243999952071</v>
      </c>
      <c r="AR106" s="43">
        <f t="shared" si="54"/>
        <v>2.468775288649458E-6</v>
      </c>
      <c r="AS106" s="38">
        <f>(MPM!$Q107^2)/(9.81*MPM!$F107*(AQ106^2))</f>
        <v>0.16970768151167367</v>
      </c>
      <c r="AT106" s="36">
        <f>8.1*((AS106/MPM!$AE107)^(1/6))</f>
        <v>12.429243897668703</v>
      </c>
      <c r="AU106" s="43">
        <f t="shared" si="55"/>
        <v>8.2292509822462549E-7</v>
      </c>
      <c r="AV106" s="38">
        <f>(MPM!$Q107^2)/(9.81*MPM!$F107*(AT106^2))</f>
        <v>0.16970768430480793</v>
      </c>
      <c r="AW106" s="36">
        <f>8.1*((AV106/MPM!$AE107)^(1/6))</f>
        <v>12.429243931763159</v>
      </c>
      <c r="AX106" s="43">
        <f t="shared" si="56"/>
        <v>2.7430836055850674E-7</v>
      </c>
      <c r="AY106" s="38">
        <f>(MPM!$Q107^2)/(9.81*MPM!$F107*(AW106^2))</f>
        <v>0.16970768337376319</v>
      </c>
      <c r="AZ106" s="36">
        <f>8.1*((AY106/MPM!$AE107)^(1/6))</f>
        <v>12.429243920398342</v>
      </c>
      <c r="BA106" s="43">
        <f t="shared" si="57"/>
        <v>9.1436105978021546E-8</v>
      </c>
      <c r="BB106" s="38">
        <f>(MPM!$Q107^2)/(9.81*MPM!$F107*(AZ106^2))</f>
        <v>0.1697076836841114</v>
      </c>
      <c r="BC106" s="36">
        <f>8.1*((BB106/MPM!$AE107)^(1/6))</f>
        <v>12.429243924186613</v>
      </c>
      <c r="BD106" s="43">
        <f t="shared" si="58"/>
        <v>3.0478692455549015E-8</v>
      </c>
      <c r="BE106" s="38">
        <f>(MPM!$Q107^2)/(9.81*MPM!$F107*(BC106^2))</f>
        <v>0.16970768358066202</v>
      </c>
      <c r="BF106" s="36">
        <f>8.1*((BE106/MPM!$AE107)^(1/6))</f>
        <v>12.429243922923856</v>
      </c>
      <c r="BG106" s="43">
        <f t="shared" si="59"/>
        <v>1.015956415288184E-8</v>
      </c>
      <c r="BH106" s="38">
        <f>(MPM!$Q107^2)/(9.81*MPM!$F107*(BF106^2))</f>
        <v>0.16970768361514516</v>
      </c>
      <c r="BI106" s="36">
        <f>8.1*((BH106/MPM!$AE107)^(1/6))</f>
        <v>12.429243923344774</v>
      </c>
      <c r="BJ106" s="43">
        <f t="shared" si="60"/>
        <v>3.3865166202615998E-9</v>
      </c>
      <c r="BK106" s="38">
        <f>(MPM!$Q107^2)/(9.81*MPM!$F107*(BI106^2))</f>
        <v>0.16970768360365079</v>
      </c>
      <c r="BL106" s="36">
        <f>8.1*((BK106/MPM!$AE107)^(1/6))</f>
        <v>12.429243923204469</v>
      </c>
      <c r="BM106" s="43">
        <f t="shared" si="61"/>
        <v>1.1288341095156144E-9</v>
      </c>
      <c r="BN106" s="43">
        <f t="shared" si="62"/>
        <v>6.7730351239688363E-9</v>
      </c>
    </row>
    <row r="107" spans="1:66">
      <c r="A107" s="36">
        <f>MPM!B108</f>
        <v>103</v>
      </c>
      <c r="B107" s="41">
        <f>1/(MPM!AC108^0.5)</f>
        <v>12.589163739705207</v>
      </c>
      <c r="C107" s="38">
        <f>(MPM!$Q108^2)/(9.81*MPM!$F108*(Sheet1!B107^2))</f>
        <v>0.15334965395269542</v>
      </c>
      <c r="D107" s="36">
        <f>8.1*((C107/MPM!$AE108)^(1/6))</f>
        <v>12.221042663272588</v>
      </c>
      <c r="E107" s="41">
        <f t="shared" si="41"/>
        <v>3.0121904208625212</v>
      </c>
      <c r="F107" s="38">
        <f>(MPM!$Q108^2)/(9.81*MPM!$F108*(D107^2))</f>
        <v>0.16272715973179658</v>
      </c>
      <c r="G107" s="36">
        <f>8.1*((F107/MPM!$AE108)^(1/6))</f>
        <v>12.342537844948554</v>
      </c>
      <c r="H107" s="43">
        <f t="shared" si="42"/>
        <v>0.98436142714110186</v>
      </c>
      <c r="I107" s="38">
        <f>(MPM!$Q108^2)/(9.81*MPM!$F108*(G107^2))</f>
        <v>0.15953928067963299</v>
      </c>
      <c r="J107" s="36">
        <f>8.1*((I107/MPM!$AE108)^(1/6))</f>
        <v>12.301905836033553</v>
      </c>
      <c r="K107" s="43">
        <f t="shared" si="43"/>
        <v>0.33029035871812146</v>
      </c>
      <c r="L107" s="38">
        <f>(MPM!$Q108^2)/(9.81*MPM!$F108*(J107^2))</f>
        <v>0.1605949068460098</v>
      </c>
      <c r="M107" s="36">
        <f>8.1*((L107/MPM!$AE108)^(1/6))</f>
        <v>12.315434954794942</v>
      </c>
      <c r="N107" s="43">
        <f t="shared" si="44"/>
        <v>0.10985498125765279</v>
      </c>
      <c r="O107" s="38">
        <f>(MPM!$Q108^2)/(9.81*MPM!$F108*(M107^2))</f>
        <v>0.16024225764418798</v>
      </c>
      <c r="P107" s="36">
        <f>8.1*((O107/MPM!$AE108)^(1/6))</f>
        <v>12.310923596153573</v>
      </c>
      <c r="Q107" s="43">
        <f t="shared" si="45"/>
        <v>3.6645168058533156E-2</v>
      </c>
      <c r="R107" s="38">
        <f>(MPM!$Q108^2)/(9.81*MPM!$F108*(P107^2))</f>
        <v>0.16035972125184247</v>
      </c>
      <c r="S107" s="36">
        <f>8.1*((R107/MPM!$AE108)^(1/6))</f>
        <v>12.312427198716424</v>
      </c>
      <c r="T107" s="43">
        <f t="shared" si="46"/>
        <v>1.2212072717940699E-2</v>
      </c>
      <c r="U107" s="38">
        <f>(MPM!$Q108^2)/(9.81*MPM!$F108*(S107^2))</f>
        <v>0.16032055715182356</v>
      </c>
      <c r="V107" s="36">
        <f>8.1*((U107/MPM!$AE108)^(1/6))</f>
        <v>12.311925977458417</v>
      </c>
      <c r="W107" s="43">
        <f t="shared" si="47"/>
        <v>4.0710223479657592E-3</v>
      </c>
      <c r="X107" s="38">
        <f>(MPM!$Q108^2)/(9.81*MPM!$F108*(V107^2))</f>
        <v>0.16033361078894642</v>
      </c>
      <c r="Y107" s="36">
        <f>8.1*((X107/MPM!$AE108)^(1/6))</f>
        <v>12.312093048943934</v>
      </c>
      <c r="Z107" s="43">
        <f t="shared" si="48"/>
        <v>1.3569706211052567E-3</v>
      </c>
      <c r="AA107" s="38">
        <f>(MPM!$Q108^2)/(9.81*MPM!$F108*(Y107^2))</f>
        <v>0.16032925945848145</v>
      </c>
      <c r="AB107" s="36">
        <f>8.1*((AA107/MPM!$AE108)^(1/6))</f>
        <v>12.312037358196859</v>
      </c>
      <c r="AC107" s="43">
        <f t="shared" si="49"/>
        <v>4.5232763234068229E-4</v>
      </c>
      <c r="AD107" s="38">
        <f>(MPM!$Q108^2)/(9.81*MPM!$F108*(AB107^2))</f>
        <v>0.16033070988884832</v>
      </c>
      <c r="AE107" s="36">
        <f>8.1*((AD107/MPM!$AE108)^(1/6))</f>
        <v>12.312055921751227</v>
      </c>
      <c r="AF107" s="43">
        <f t="shared" si="50"/>
        <v>1.5077542277533429E-4</v>
      </c>
      <c r="AG107" s="38">
        <f>(MPM!$Q108^2)/(9.81*MPM!$F108*(AE107^2))</f>
        <v>0.16033022641060146</v>
      </c>
      <c r="AH107" s="36">
        <f>8.1*((AG107/MPM!$AE108)^(1/6))</f>
        <v>12.312049733896661</v>
      </c>
      <c r="AI107" s="43">
        <f t="shared" si="51"/>
        <v>5.0258524780675057E-5</v>
      </c>
      <c r="AJ107" s="38">
        <f>(MPM!$Q108^2)/(9.81*MPM!$F108*(AH107^2))</f>
        <v>0.16033038756985507</v>
      </c>
      <c r="AK107" s="36">
        <f>8.1*((AJ107/MPM!$AE108)^(1/6))</f>
        <v>12.312051796514504</v>
      </c>
      <c r="AL107" s="43">
        <f t="shared" si="52"/>
        <v>1.6752835983181973E-5</v>
      </c>
      <c r="AM107" s="38">
        <f>(MPM!$Q108^2)/(9.81*MPM!$F108*(AK107^2))</f>
        <v>0.16033033385008585</v>
      </c>
      <c r="AN107" s="36">
        <f>8.1*((AM107/MPM!$AE108)^(1/6))</f>
        <v>12.312051108975185</v>
      </c>
      <c r="AO107" s="43">
        <f t="shared" si="53"/>
        <v>5.5842792855044837E-6</v>
      </c>
      <c r="AP107" s="38">
        <f>(MPM!$Q108^2)/(9.81*MPM!$F108*(AN107^2))</f>
        <v>0.16033035175667362</v>
      </c>
      <c r="AQ107" s="36">
        <f>8.1*((AP107/MPM!$AE108)^(1/6))</f>
        <v>12.312051338154955</v>
      </c>
      <c r="AR107" s="43">
        <f t="shared" si="54"/>
        <v>1.8614263698060966E-6</v>
      </c>
      <c r="AS107" s="38">
        <f>(MPM!$Q108^2)/(9.81*MPM!$F108*(AQ107^2))</f>
        <v>0.16033034578781077</v>
      </c>
      <c r="AT107" s="36">
        <f>8.1*((AS107/MPM!$AE108)^(1/6))</f>
        <v>12.312051261761695</v>
      </c>
      <c r="AU107" s="43">
        <f t="shared" si="55"/>
        <v>6.204754844982461E-7</v>
      </c>
      <c r="AV107" s="38">
        <f>(MPM!$Q108^2)/(9.81*MPM!$F108*(AT107^2))</f>
        <v>0.16033034777743174</v>
      </c>
      <c r="AW107" s="36">
        <f>8.1*((AV107/MPM!$AE108)^(1/6))</f>
        <v>12.312051287226117</v>
      </c>
      <c r="AX107" s="43">
        <f t="shared" si="56"/>
        <v>2.0682517549943834E-7</v>
      </c>
      <c r="AY107" s="38">
        <f>(MPM!$Q108^2)/(9.81*MPM!$F108*(AW107^2))</f>
        <v>0.1603303471142247</v>
      </c>
      <c r="AZ107" s="36">
        <f>8.1*((AY107/MPM!$AE108)^(1/6))</f>
        <v>12.312051278737977</v>
      </c>
      <c r="BA107" s="43">
        <f t="shared" si="57"/>
        <v>6.8941720404745892E-8</v>
      </c>
      <c r="BB107" s="38">
        <f>(MPM!$Q108^2)/(9.81*MPM!$F108*(AZ107^2))</f>
        <v>0.16033034733529375</v>
      </c>
      <c r="BC107" s="36">
        <f>8.1*((BB107/MPM!$AE108)^(1/6))</f>
        <v>12.312051281567358</v>
      </c>
      <c r="BD107" s="43">
        <f t="shared" si="58"/>
        <v>2.2980583081493882E-8</v>
      </c>
      <c r="BE107" s="38">
        <f>(MPM!$Q108^2)/(9.81*MPM!$F108*(BC107^2))</f>
        <v>0.160330347261604</v>
      </c>
      <c r="BF107" s="36">
        <f>8.1*((BE107/MPM!$AE108)^(1/6))</f>
        <v>12.312051280624228</v>
      </c>
      <c r="BG107" s="43">
        <f t="shared" si="59"/>
        <v>7.6602184074005473E-9</v>
      </c>
      <c r="BH107" s="38">
        <f>(MPM!$Q108^2)/(9.81*MPM!$F108*(BF107^2))</f>
        <v>0.16033034728616735</v>
      </c>
      <c r="BI107" s="36">
        <f>8.1*((BH107/MPM!$AE108)^(1/6))</f>
        <v>12.312051280938606</v>
      </c>
      <c r="BJ107" s="43">
        <f t="shared" si="60"/>
        <v>2.5534157542613032E-9</v>
      </c>
      <c r="BK107" s="38">
        <f>(MPM!$Q108^2)/(9.81*MPM!$F108*(BI107^2))</f>
        <v>0.16033034727797957</v>
      </c>
      <c r="BL107" s="36">
        <f>8.1*((BK107/MPM!$AE108)^(1/6))</f>
        <v>12.312051280833815</v>
      </c>
      <c r="BM107" s="43">
        <f t="shared" si="61"/>
        <v>8.5112415697153252E-10</v>
      </c>
      <c r="BN107" s="43">
        <f t="shared" si="62"/>
        <v>5.1068209626666298E-9</v>
      </c>
    </row>
    <row r="108" spans="1:66">
      <c r="A108" s="36">
        <f>MPM!B109</f>
        <v>104</v>
      </c>
      <c r="B108" s="41">
        <f>1/(MPM!AC109^0.5)</f>
        <v>12.562803681021672</v>
      </c>
      <c r="C108" s="38">
        <f>(MPM!$Q109^2)/(9.81*MPM!$F109*(Sheet1!B108^2))</f>
        <v>0.14438781486291177</v>
      </c>
      <c r="D108" s="36">
        <f>8.1*((C108/MPM!$AE109)^(1/6))</f>
        <v>12.099002063978764</v>
      </c>
      <c r="E108" s="41">
        <f t="shared" si="41"/>
        <v>3.8333873702174253</v>
      </c>
      <c r="F108" s="38">
        <f>(MPM!$Q109^2)/(9.81*MPM!$F109*(D108^2))</f>
        <v>0.15566987923526374</v>
      </c>
      <c r="G108" s="36">
        <f>8.1*((F108/MPM!$AE109)^(1/6))</f>
        <v>12.251668148984972</v>
      </c>
      <c r="H108" s="43">
        <f t="shared" si="42"/>
        <v>1.2460840691221005</v>
      </c>
      <c r="I108" s="38">
        <f>(MPM!$Q109^2)/(9.81*MPM!$F109*(G108^2))</f>
        <v>0.15181449536334027</v>
      </c>
      <c r="J108" s="36">
        <f>8.1*((I108/MPM!$AE109)^(1/6))</f>
        <v>12.200566606478787</v>
      </c>
      <c r="K108" s="43">
        <f t="shared" si="43"/>
        <v>0.41884564999668794</v>
      </c>
      <c r="L108" s="38">
        <f>(MPM!$Q109^2)/(9.81*MPM!$F109*(J108^2))</f>
        <v>0.15308889549030238</v>
      </c>
      <c r="M108" s="36">
        <f>8.1*((L108/MPM!$AE109)^(1/6))</f>
        <v>12.217576727322157</v>
      </c>
      <c r="N108" s="43">
        <f t="shared" si="44"/>
        <v>0.13922663407818203</v>
      </c>
      <c r="O108" s="38">
        <f>(MPM!$Q109^2)/(9.81*MPM!$F109*(M108^2))</f>
        <v>0.15266291120599193</v>
      </c>
      <c r="P108" s="36">
        <f>8.1*((O108/MPM!$AE109)^(1/6))</f>
        <v>12.211904053601724</v>
      </c>
      <c r="Q108" s="43">
        <f t="shared" si="45"/>
        <v>4.6452000404964069E-2</v>
      </c>
      <c r="R108" s="38">
        <f>(MPM!$Q109^2)/(9.81*MPM!$F109*(P108^2))</f>
        <v>0.15280477409968019</v>
      </c>
      <c r="S108" s="36">
        <f>8.1*((R108/MPM!$AE109)^(1/6))</f>
        <v>12.213794652131803</v>
      </c>
      <c r="T108" s="43">
        <f t="shared" si="46"/>
        <v>1.5479206781557847E-2</v>
      </c>
      <c r="U108" s="38">
        <f>(MPM!$Q109^2)/(9.81*MPM!$F109*(S108^2))</f>
        <v>0.1527574718270619</v>
      </c>
      <c r="V108" s="36">
        <f>8.1*((U108/MPM!$AE109)^(1/6))</f>
        <v>12.21316442010235</v>
      </c>
      <c r="W108" s="43">
        <f t="shared" si="47"/>
        <v>5.1602681154061568E-3</v>
      </c>
      <c r="X108" s="38">
        <f>(MPM!$Q109^2)/(9.81*MPM!$F109*(V108^2))</f>
        <v>0.15277323762405526</v>
      </c>
      <c r="Y108" s="36">
        <f>8.1*((X108/MPM!$AE109)^(1/6))</f>
        <v>12.213374493832086</v>
      </c>
      <c r="Z108" s="43">
        <f t="shared" si="48"/>
        <v>1.7200302000256167E-3</v>
      </c>
      <c r="AA108" s="38">
        <f>(MPM!$Q109^2)/(9.81*MPM!$F109*(Y108^2))</f>
        <v>0.1527679821776039</v>
      </c>
      <c r="AB108" s="36">
        <f>8.1*((AA108/MPM!$AE109)^(1/6))</f>
        <v>12.213304468854023</v>
      </c>
      <c r="AC108" s="43">
        <f t="shared" si="49"/>
        <v>5.733499745442629E-4</v>
      </c>
      <c r="AD108" s="38">
        <f>(MPM!$Q109^2)/(9.81*MPM!$F109*(AB108^2))</f>
        <v>0.1527697339729997</v>
      </c>
      <c r="AE108" s="36">
        <f>8.1*((AD108/MPM!$AE109)^(1/6))</f>
        <v>12.213327810468767</v>
      </c>
      <c r="AF108" s="43">
        <f t="shared" si="50"/>
        <v>1.911159276683546E-4</v>
      </c>
      <c r="AG108" s="38">
        <f>(MPM!$Q109^2)/(9.81*MPM!$F109*(AE108^2))</f>
        <v>0.15276915003896915</v>
      </c>
      <c r="AH108" s="36">
        <f>8.1*((AG108/MPM!$AE109)^(1/6))</f>
        <v>12.213320029925562</v>
      </c>
      <c r="AI108" s="43">
        <f t="shared" si="51"/>
        <v>6.3705390395135247E-5</v>
      </c>
      <c r="AJ108" s="38">
        <f>(MPM!$Q109^2)/(9.81*MPM!$F109*(AH108^2))</f>
        <v>0.15276934468339801</v>
      </c>
      <c r="AK108" s="36">
        <f>8.1*((AJ108/MPM!$AE109)^(1/6))</f>
        <v>12.213322623439414</v>
      </c>
      <c r="AL108" s="43">
        <f t="shared" si="52"/>
        <v>2.1235121118484338E-5</v>
      </c>
      <c r="AM108" s="38">
        <f>(MPM!$Q109^2)/(9.81*MPM!$F109*(AK108^2))</f>
        <v>0.15276927980189414</v>
      </c>
      <c r="AN108" s="36">
        <f>8.1*((AM108/MPM!$AE109)^(1/6))</f>
        <v>12.213321758934736</v>
      </c>
      <c r="AO108" s="43">
        <f t="shared" si="53"/>
        <v>7.0783747017055474E-6</v>
      </c>
      <c r="AP108" s="38">
        <f>(MPM!$Q109^2)/(9.81*MPM!$F109*(AN108^2))</f>
        <v>0.15276930142905903</v>
      </c>
      <c r="AQ108" s="36">
        <f>8.1*((AP108/MPM!$AE109)^(1/6))</f>
        <v>12.213322047102954</v>
      </c>
      <c r="AR108" s="43">
        <f t="shared" si="54"/>
        <v>2.359458115205601E-6</v>
      </c>
      <c r="AS108" s="38">
        <f>(MPM!$Q109^2)/(9.81*MPM!$F109*(AQ108^2))</f>
        <v>0.15276929422000377</v>
      </c>
      <c r="AT108" s="36">
        <f>8.1*((AS108/MPM!$AE109)^(1/6))</f>
        <v>12.213321951046881</v>
      </c>
      <c r="AU108" s="43">
        <f t="shared" si="55"/>
        <v>7.8648604943560989E-7</v>
      </c>
      <c r="AV108" s="38">
        <f>(MPM!$Q109^2)/(9.81*MPM!$F109*(AT108^2))</f>
        <v>0.15276929662302213</v>
      </c>
      <c r="AW108" s="36">
        <f>8.1*((AV108/MPM!$AE109)^(1/6))</f>
        <v>12.213321983065571</v>
      </c>
      <c r="AX108" s="43">
        <f t="shared" si="56"/>
        <v>2.6216200609496747E-7</v>
      </c>
      <c r="AY108" s="38">
        <f>(MPM!$Q109^2)/(9.81*MPM!$F109*(AW108^2))</f>
        <v>0.15276929582201604</v>
      </c>
      <c r="AZ108" s="36">
        <f>8.1*((AY108/MPM!$AE109)^(1/6))</f>
        <v>12.213321972392675</v>
      </c>
      <c r="BA108" s="43">
        <f t="shared" si="57"/>
        <v>8.7387325745074627E-8</v>
      </c>
      <c r="BB108" s="38">
        <f>(MPM!$Q109^2)/(9.81*MPM!$F109*(AZ108^2))</f>
        <v>0.15276929608901804</v>
      </c>
      <c r="BC108" s="36">
        <f>8.1*((BB108/MPM!$AE109)^(1/6))</f>
        <v>12.213321975950308</v>
      </c>
      <c r="BD108" s="43">
        <f t="shared" si="58"/>
        <v>2.912911342134648E-8</v>
      </c>
      <c r="BE108" s="38">
        <f>(MPM!$Q109^2)/(9.81*MPM!$F109*(BC108^2))</f>
        <v>0.15276929600001735</v>
      </c>
      <c r="BF108" s="36">
        <f>8.1*((BE108/MPM!$AE109)^(1/6))</f>
        <v>12.21332197476443</v>
      </c>
      <c r="BG108" s="43">
        <f t="shared" si="59"/>
        <v>9.709709322864932E-9</v>
      </c>
      <c r="BH108" s="38">
        <f>(MPM!$Q109^2)/(9.81*MPM!$F109*(BF108^2))</f>
        <v>0.15276929602968425</v>
      </c>
      <c r="BI108" s="36">
        <f>8.1*((BH108/MPM!$AE109)^(1/6))</f>
        <v>12.213321975159722</v>
      </c>
      <c r="BJ108" s="43">
        <f t="shared" si="60"/>
        <v>3.2365697741835567E-9</v>
      </c>
      <c r="BK108" s="38">
        <f>(MPM!$Q109^2)/(9.81*MPM!$F109*(BI108^2))</f>
        <v>0.1527692960197953</v>
      </c>
      <c r="BL108" s="36">
        <f>8.1*((BK108/MPM!$AE109)^(1/6))</f>
        <v>12.213321975027958</v>
      </c>
      <c r="BM108" s="43">
        <f t="shared" si="61"/>
        <v>1.0788614395461458E-9</v>
      </c>
      <c r="BN108" s="43">
        <f t="shared" si="62"/>
        <v>6.4731271446614535E-9</v>
      </c>
    </row>
    <row r="109" spans="1:66">
      <c r="A109" s="36">
        <f>MPM!B110</f>
        <v>105</v>
      </c>
      <c r="B109" s="41">
        <f>1/(MPM!AC110^0.5)</f>
        <v>12.384418763279632</v>
      </c>
      <c r="C109" s="38">
        <f>(MPM!$Q110^2)/(9.81*MPM!$F110*(Sheet1!B109^2))</f>
        <v>0.13033979999956632</v>
      </c>
      <c r="D109" s="36">
        <f>8.1*((C109/MPM!$AE110)^(1/6))</f>
        <v>11.894347847800049</v>
      </c>
      <c r="E109" s="41">
        <f t="shared" si="41"/>
        <v>4.1201999617845839</v>
      </c>
      <c r="F109" s="38">
        <f>(MPM!$Q110^2)/(9.81*MPM!$F110*(D109^2))</f>
        <v>0.14130158624563793</v>
      </c>
      <c r="G109" s="36">
        <f>8.1*((F109/MPM!$AE110)^(1/6))</f>
        <v>12.05551126042011</v>
      </c>
      <c r="H109" s="43">
        <f t="shared" si="42"/>
        <v>1.3368442792565958</v>
      </c>
      <c r="I109" s="38">
        <f>(MPM!$Q110^2)/(9.81*MPM!$F110*(G109^2))</f>
        <v>0.13754887465129623</v>
      </c>
      <c r="J109" s="36">
        <f>8.1*((I109/MPM!$AE110)^(1/6))</f>
        <v>12.001548939636194</v>
      </c>
      <c r="K109" s="43">
        <f t="shared" si="43"/>
        <v>0.44962796931735921</v>
      </c>
      <c r="L109" s="38">
        <f>(MPM!$Q110^2)/(9.81*MPM!$F110*(J109^2))</f>
        <v>0.13878857183622251</v>
      </c>
      <c r="M109" s="36">
        <f>8.1*((L109/MPM!$AE110)^(1/6))</f>
        <v>12.019509488183594</v>
      </c>
      <c r="N109" s="43">
        <f t="shared" si="44"/>
        <v>0.14942829875925451</v>
      </c>
      <c r="O109" s="38">
        <f>(MPM!$Q110^2)/(9.81*MPM!$F110*(M109^2))</f>
        <v>0.13837410293114311</v>
      </c>
      <c r="P109" s="36">
        <f>8.1*((O109/MPM!$AE110)^(1/6))</f>
        <v>12.01351965417399</v>
      </c>
      <c r="Q109" s="43">
        <f t="shared" si="45"/>
        <v>4.9859110252697285E-2</v>
      </c>
      <c r="R109" s="38">
        <f>(MPM!$Q110^2)/(9.81*MPM!$F110*(P109^2))</f>
        <v>0.13851212152307185</v>
      </c>
      <c r="S109" s="36">
        <f>8.1*((R109/MPM!$AE110)^(1/6))</f>
        <v>12.015515933771528</v>
      </c>
      <c r="T109" s="43">
        <f t="shared" si="46"/>
        <v>1.6614181268132289E-2</v>
      </c>
      <c r="U109" s="38">
        <f>(MPM!$Q110^2)/(9.81*MPM!$F110*(S109^2))</f>
        <v>0.1384661000365397</v>
      </c>
      <c r="V109" s="36">
        <f>8.1*((U109/MPM!$AE110)^(1/6))</f>
        <v>12.014850470383889</v>
      </c>
      <c r="W109" s="43">
        <f t="shared" si="47"/>
        <v>5.5386739042604365E-3</v>
      </c>
      <c r="X109" s="38">
        <f>(MPM!$Q110^2)/(9.81*MPM!$F110*(V109^2))</f>
        <v>0.13848143883280881</v>
      </c>
      <c r="Y109" s="36">
        <f>8.1*((X109/MPM!$AE110)^(1/6))</f>
        <v>12.015072287417913</v>
      </c>
      <c r="Z109" s="43">
        <f t="shared" si="48"/>
        <v>1.8461564667948433E-3</v>
      </c>
      <c r="AA109" s="38">
        <f>(MPM!$Q110^2)/(9.81*MPM!$F110*(Y109^2))</f>
        <v>0.13847632571193072</v>
      </c>
      <c r="AB109" s="36">
        <f>8.1*((AA109/MPM!$AE110)^(1/6))</f>
        <v>12.014998347951556</v>
      </c>
      <c r="AC109" s="43">
        <f t="shared" si="49"/>
        <v>6.1539306303935119E-4</v>
      </c>
      <c r="AD109" s="38">
        <f>(MPM!$Q110^2)/(9.81*MPM!$F110*(AB109^2))</f>
        <v>0.1384780300645797</v>
      </c>
      <c r="AE109" s="36">
        <f>8.1*((AD109/MPM!$AE110)^(1/6))</f>
        <v>12.015022994389785</v>
      </c>
      <c r="AF109" s="43">
        <f t="shared" si="50"/>
        <v>2.051301794468343E-4</v>
      </c>
      <c r="AG109" s="38">
        <f>(MPM!$Q110^2)/(9.81*MPM!$F110*(AE109^2))</f>
        <v>0.13847746194469926</v>
      </c>
      <c r="AH109" s="36">
        <f>8.1*((AG109/MPM!$AE110)^(1/6))</f>
        <v>12.015014778904757</v>
      </c>
      <c r="AI109" s="43">
        <f t="shared" si="51"/>
        <v>6.8376819999403269E-5</v>
      </c>
      <c r="AJ109" s="38">
        <f>(MPM!$Q110^2)/(9.81*MPM!$F110*(AH109^2))</f>
        <v>0.13847765131773379</v>
      </c>
      <c r="AK109" s="36">
        <f>8.1*((AJ109/MPM!$AE110)^(1/6))</f>
        <v>12.015017517399144</v>
      </c>
      <c r="AL109" s="43">
        <f t="shared" si="52"/>
        <v>2.2792262963694529E-5</v>
      </c>
      <c r="AM109" s="38">
        <f>(MPM!$Q110^2)/(9.81*MPM!$F110*(AK109^2))</f>
        <v>0.13847758819336015</v>
      </c>
      <c r="AN109" s="36">
        <f>8.1*((AM109/MPM!$AE110)^(1/6))</f>
        <v>12.015016604567611</v>
      </c>
      <c r="AO109" s="43">
        <f t="shared" si="53"/>
        <v>7.597422151557068E-6</v>
      </c>
      <c r="AP109" s="38">
        <f>(MPM!$Q110^2)/(9.81*MPM!$F110*(AN109^2))</f>
        <v>0.13847760923481484</v>
      </c>
      <c r="AQ109" s="36">
        <f>8.1*((AP109/MPM!$AE110)^(1/6))</f>
        <v>12.01501690884478</v>
      </c>
      <c r="AR109" s="43">
        <f t="shared" si="54"/>
        <v>2.532473912462417E-6</v>
      </c>
      <c r="AS109" s="38">
        <f>(MPM!$Q110^2)/(9.81*MPM!$F110*(AQ109^2))</f>
        <v>0.13847760222099625</v>
      </c>
      <c r="AT109" s="36">
        <f>8.1*((AS109/MPM!$AE110)^(1/6))</f>
        <v>12.015016807419057</v>
      </c>
      <c r="AU109" s="43">
        <f t="shared" si="55"/>
        <v>8.4415797794683241E-7</v>
      </c>
      <c r="AV109" s="38">
        <f>(MPM!$Q110^2)/(9.81*MPM!$F110*(AT109^2))</f>
        <v>0.13847760455893574</v>
      </c>
      <c r="AW109" s="36">
        <f>8.1*((AV109/MPM!$AE110)^(1/6))</f>
        <v>12.015016841227631</v>
      </c>
      <c r="AX109" s="43">
        <f t="shared" si="56"/>
        <v>2.8138598692900594E-7</v>
      </c>
      <c r="AY109" s="38">
        <f>(MPM!$Q110^2)/(9.81*MPM!$F110*(AW109^2))</f>
        <v>0.13847760377962257</v>
      </c>
      <c r="AZ109" s="36">
        <f>8.1*((AY109/MPM!$AE110)^(1/6))</f>
        <v>12.015016829958107</v>
      </c>
      <c r="BA109" s="43">
        <f t="shared" si="57"/>
        <v>9.3795324136153503E-8</v>
      </c>
      <c r="BB109" s="38">
        <f>(MPM!$Q110^2)/(9.81*MPM!$F110*(AZ109^2))</f>
        <v>0.13847760403939363</v>
      </c>
      <c r="BC109" s="36">
        <f>8.1*((BB109/MPM!$AE110)^(1/6))</f>
        <v>12.015016833714615</v>
      </c>
      <c r="BD109" s="43">
        <f t="shared" si="58"/>
        <v>3.1265108035609434E-8</v>
      </c>
      <c r="BE109" s="38">
        <f>(MPM!$Q110^2)/(9.81*MPM!$F110*(BC109^2))</f>
        <v>0.13847760395280326</v>
      </c>
      <c r="BF109" s="36">
        <f>8.1*((BE109/MPM!$AE110)^(1/6))</f>
        <v>12.015016832462445</v>
      </c>
      <c r="BG109" s="43">
        <f t="shared" si="59"/>
        <v>1.0421707607780041E-8</v>
      </c>
      <c r="BH109" s="38">
        <f>(MPM!$Q110^2)/(9.81*MPM!$F110*(BF109^2))</f>
        <v>0.13847760398166672</v>
      </c>
      <c r="BI109" s="36">
        <f>8.1*((BH109/MPM!$AE110)^(1/6))</f>
        <v>12.015016832879835</v>
      </c>
      <c r="BJ109" s="43">
        <f t="shared" si="60"/>
        <v>3.4739074639634445E-9</v>
      </c>
      <c r="BK109" s="38">
        <f>(MPM!$Q110^2)/(9.81*MPM!$F110*(BI109^2))</f>
        <v>0.13847760397204556</v>
      </c>
      <c r="BL109" s="36">
        <f>8.1*((BK109/MPM!$AE110)^(1/6))</f>
        <v>12.015016832740706</v>
      </c>
      <c r="BM109" s="43">
        <f t="shared" si="61"/>
        <v>1.1579642265104462E-9</v>
      </c>
      <c r="BN109" s="43">
        <f t="shared" si="62"/>
        <v>6.9478130035873619E-9</v>
      </c>
    </row>
    <row r="110" spans="1:66">
      <c r="A110" s="36">
        <f>MPM!B111</f>
        <v>106</v>
      </c>
      <c r="B110" s="41">
        <f>1/(MPM!AC111^0.5)</f>
        <v>12.248766220877821</v>
      </c>
      <c r="C110" s="38">
        <f>(MPM!$Q111^2)/(9.81*MPM!$F111*(Sheet1!B110^2))</f>
        <v>0.11475221274032897</v>
      </c>
      <c r="D110" s="36">
        <f>8.1*((C110/MPM!$AE111)^(1/6))</f>
        <v>11.644512326318074</v>
      </c>
      <c r="E110" s="41">
        <f t="shared" si="41"/>
        <v>5.1891730424300961</v>
      </c>
      <c r="F110" s="38">
        <f>(MPM!$Q111^2)/(9.81*MPM!$F111*(D110^2))</f>
        <v>0.12697059373293326</v>
      </c>
      <c r="G110" s="36">
        <f>8.1*((F110/MPM!$AE111)^(1/6))</f>
        <v>11.842543406694896</v>
      </c>
      <c r="H110" s="43">
        <f t="shared" si="42"/>
        <v>1.6722005871210897</v>
      </c>
      <c r="I110" s="38">
        <f>(MPM!$Q111^2)/(9.81*MPM!$F111*(G110^2))</f>
        <v>0.12275969191845051</v>
      </c>
      <c r="J110" s="36">
        <f>8.1*((I110/MPM!$AE111)^(1/6))</f>
        <v>11.776161647932183</v>
      </c>
      <c r="K110" s="43">
        <f t="shared" si="43"/>
        <v>0.56369605604360151</v>
      </c>
      <c r="L110" s="38">
        <f>(MPM!$Q111^2)/(9.81*MPM!$F111*(J110^2))</f>
        <v>0.12414757573099072</v>
      </c>
      <c r="M110" s="36">
        <f>8.1*((L110/MPM!$AE111)^(1/6))</f>
        <v>11.798247453752278</v>
      </c>
      <c r="N110" s="43">
        <f t="shared" si="44"/>
        <v>0.18719564839328379</v>
      </c>
      <c r="O110" s="38">
        <f>(MPM!$Q111^2)/(9.81*MPM!$F111*(M110^2))</f>
        <v>0.123683213052834</v>
      </c>
      <c r="P110" s="36">
        <f>8.1*((O110/MPM!$AE111)^(1/6))</f>
        <v>11.79088091995474</v>
      </c>
      <c r="Q110" s="43">
        <f t="shared" si="45"/>
        <v>6.2476534599478412E-2</v>
      </c>
      <c r="R110" s="38">
        <f>(MPM!$Q111^2)/(9.81*MPM!$F111*(P110^2))</f>
        <v>0.12383780730111085</v>
      </c>
      <c r="S110" s="36">
        <f>8.1*((R110/MPM!$AE111)^(1/6))</f>
        <v>11.793335920025225</v>
      </c>
      <c r="T110" s="43">
        <f t="shared" si="46"/>
        <v>2.0816841707329389E-2</v>
      </c>
      <c r="U110" s="38">
        <f>(MPM!$Q111^2)/(9.81*MPM!$F111*(S110^2))</f>
        <v>0.12378625442687013</v>
      </c>
      <c r="V110" s="36">
        <f>8.1*((U110/MPM!$AE111)^(1/6))</f>
        <v>11.792517529878108</v>
      </c>
      <c r="W110" s="43">
        <f t="shared" si="47"/>
        <v>6.9399103715006493E-3</v>
      </c>
      <c r="X110" s="38">
        <f>(MPM!$Q111^2)/(9.81*MPM!$F111*(V110^2))</f>
        <v>0.1238034363332728</v>
      </c>
      <c r="Y110" s="36">
        <f>8.1*((X110/MPM!$AE111)^(1/6))</f>
        <v>11.792790320283439</v>
      </c>
      <c r="Z110" s="43">
        <f t="shared" si="48"/>
        <v>2.3131964354698989E-3</v>
      </c>
      <c r="AA110" s="38">
        <f>(MPM!$Q111^2)/(9.81*MPM!$F111*(Y110^2))</f>
        <v>0.12379770876616604</v>
      </c>
      <c r="AB110" s="36">
        <f>8.1*((AA110/MPM!$AE111)^(1/6))</f>
        <v>11.792699389447192</v>
      </c>
      <c r="AC110" s="43">
        <f t="shared" si="49"/>
        <v>7.710773695181999E-4</v>
      </c>
      <c r="AD110" s="38">
        <f>(MPM!$Q111^2)/(9.81*MPM!$F111*(AB110^2))</f>
        <v>0.1237996179257591</v>
      </c>
      <c r="AE110" s="36">
        <f>8.1*((AD110/MPM!$AE111)^(1/6))</f>
        <v>11.792729699648035</v>
      </c>
      <c r="AF110" s="43">
        <f t="shared" si="50"/>
        <v>2.5702446859555739E-4</v>
      </c>
      <c r="AG110" s="38">
        <f>(MPM!$Q111^2)/(9.81*MPM!$F111*(AE110^2))</f>
        <v>0.12379898153595673</v>
      </c>
      <c r="AH110" s="36">
        <f>8.1*((AG110/MPM!$AE111)^(1/6))</f>
        <v>11.792719596239097</v>
      </c>
      <c r="AI110" s="43">
        <f t="shared" si="51"/>
        <v>8.5674969674889598E-5</v>
      </c>
      <c r="AJ110" s="38">
        <f>(MPM!$Q111^2)/(9.81*MPM!$F111*(AH110^2))</f>
        <v>0.12379919366552739</v>
      </c>
      <c r="AK110" s="36">
        <f>8.1*((AJ110/MPM!$AE111)^(1/6))</f>
        <v>11.792722964041115</v>
      </c>
      <c r="AL110" s="43">
        <f t="shared" si="52"/>
        <v>2.8558306914998478E-5</v>
      </c>
      <c r="AM110" s="38">
        <f>(MPM!$Q111^2)/(9.81*MPM!$F111*(AK110^2))</f>
        <v>0.12379912295563011</v>
      </c>
      <c r="AN110" s="36">
        <f>8.1*((AM110/MPM!$AE111)^(1/6))</f>
        <v>11.792721841440335</v>
      </c>
      <c r="AO110" s="43">
        <f t="shared" si="53"/>
        <v>9.5194374583613985E-6</v>
      </c>
      <c r="AP110" s="38">
        <f>(MPM!$Q111^2)/(9.81*MPM!$F111*(AN110^2))</f>
        <v>0.12379914652559142</v>
      </c>
      <c r="AQ110" s="36">
        <f>8.1*((AP110/MPM!$AE111)^(1/6))</f>
        <v>11.792722215640584</v>
      </c>
      <c r="AR110" s="43">
        <f t="shared" si="54"/>
        <v>3.1731456283862903E-6</v>
      </c>
      <c r="AS110" s="38">
        <f>(MPM!$Q111^2)/(9.81*MPM!$F111*(AQ110^2))</f>
        <v>0.12379913866893712</v>
      </c>
      <c r="AT110" s="36">
        <f>8.1*((AS110/MPM!$AE111)^(1/6))</f>
        <v>11.792722090907166</v>
      </c>
      <c r="AU110" s="43">
        <f t="shared" si="55"/>
        <v>1.0577152357128737E-6</v>
      </c>
      <c r="AV110" s="38">
        <f>(MPM!$Q111^2)/(9.81*MPM!$F111*(AT110^2))</f>
        <v>0.12379914128782184</v>
      </c>
      <c r="AW110" s="36">
        <f>8.1*((AV110/MPM!$AE111)^(1/6))</f>
        <v>11.792722132484972</v>
      </c>
      <c r="AX110" s="43">
        <f t="shared" si="56"/>
        <v>3.5257174399455624E-7</v>
      </c>
      <c r="AY110" s="38">
        <f>(MPM!$Q111^2)/(9.81*MPM!$F111*(AW110^2))</f>
        <v>0.12379914041486025</v>
      </c>
      <c r="AZ110" s="36">
        <f>8.1*((AY110/MPM!$AE111)^(1/6))</f>
        <v>11.792722118625703</v>
      </c>
      <c r="BA110" s="43">
        <f t="shared" si="57"/>
        <v>1.175239198240248E-7</v>
      </c>
      <c r="BB110" s="38">
        <f>(MPM!$Q111^2)/(9.81*MPM!$F111*(AZ110^2))</f>
        <v>0.12379914070584745</v>
      </c>
      <c r="BC110" s="36">
        <f>8.1*((BB110/MPM!$AE111)^(1/6))</f>
        <v>11.792722123245461</v>
      </c>
      <c r="BD110" s="43">
        <f t="shared" si="58"/>
        <v>3.9174660010211084E-8</v>
      </c>
      <c r="BE110" s="38">
        <f>(MPM!$Q111^2)/(9.81*MPM!$F111*(BC110^2))</f>
        <v>0.12379914060885168</v>
      </c>
      <c r="BF110" s="36">
        <f>8.1*((BE110/MPM!$AE111)^(1/6))</f>
        <v>11.792722121705539</v>
      </c>
      <c r="BG110" s="43">
        <f t="shared" si="59"/>
        <v>1.3058240089324892E-8</v>
      </c>
      <c r="BH110" s="38">
        <f>(MPM!$Q111^2)/(9.81*MPM!$F111*(BF110^2))</f>
        <v>0.12379914064118365</v>
      </c>
      <c r="BI110" s="36">
        <f>8.1*((BH110/MPM!$AE111)^(1/6))</f>
        <v>11.792722122218848</v>
      </c>
      <c r="BJ110" s="43">
        <f t="shared" si="60"/>
        <v>4.352756738360177E-9</v>
      </c>
      <c r="BK110" s="38">
        <f>(MPM!$Q111^2)/(9.81*MPM!$F111*(BI110^2))</f>
        <v>0.1237991406304063</v>
      </c>
      <c r="BL110" s="36">
        <f>8.1*((BK110/MPM!$AE111)^(1/6))</f>
        <v>11.792722122047744</v>
      </c>
      <c r="BM110" s="43">
        <f t="shared" si="61"/>
        <v>1.4509289549157885E-9</v>
      </c>
      <c r="BN110" s="43">
        <f t="shared" si="62"/>
        <v>8.7055137691509981E-9</v>
      </c>
    </row>
    <row r="111" spans="1:66">
      <c r="A111" s="36">
        <f>MPM!B112</f>
        <v>107</v>
      </c>
      <c r="B111" s="41">
        <f>1/(MPM!AC112^0.5)</f>
        <v>12.736321113714181</v>
      </c>
      <c r="C111" s="38">
        <f>(MPM!$Q112^2)/(9.81*MPM!$F112*(Sheet1!B111^2))</f>
        <v>0.14305955070941448</v>
      </c>
      <c r="D111" s="36">
        <f>8.1*((C111/MPM!$AE112)^(1/6))</f>
        <v>12.080380203184614</v>
      </c>
      <c r="E111" s="41">
        <f t="shared" si="41"/>
        <v>5.429803528506902</v>
      </c>
      <c r="F111" s="38">
        <f>(MPM!$Q112^2)/(9.81*MPM!$F112*(D111^2))</f>
        <v>0.15901703490487357</v>
      </c>
      <c r="G111" s="36">
        <f>8.1*((F111/MPM!$AE112)^(1/6))</f>
        <v>12.295185026486115</v>
      </c>
      <c r="H111" s="43">
        <f t="shared" si="42"/>
        <v>1.747064585354114</v>
      </c>
      <c r="I111" s="38">
        <f>(MPM!$Q112^2)/(9.81*MPM!$F112*(G111^2))</f>
        <v>0.15350931003249962</v>
      </c>
      <c r="J111" s="36">
        <f>8.1*((I111/MPM!$AE112)^(1/6))</f>
        <v>12.223162348397517</v>
      </c>
      <c r="K111" s="43">
        <f t="shared" si="43"/>
        <v>0.58923113377480119</v>
      </c>
      <c r="L111" s="38">
        <f>(MPM!$Q112^2)/(9.81*MPM!$F112*(J111^2))</f>
        <v>0.15532368906924679</v>
      </c>
      <c r="M111" s="36">
        <f>8.1*((L111/MPM!$AE112)^(1/6))</f>
        <v>12.247122908175321</v>
      </c>
      <c r="N111" s="43">
        <f t="shared" si="44"/>
        <v>0.1956423558206396</v>
      </c>
      <c r="O111" s="38">
        <f>(MPM!$Q112^2)/(9.81*MPM!$F112*(M111^2))</f>
        <v>0.15471652573624822</v>
      </c>
      <c r="P111" s="36">
        <f>8.1*((O111/MPM!$AE112)^(1/6))</f>
        <v>12.23913084069151</v>
      </c>
      <c r="Q111" s="43">
        <f t="shared" si="45"/>
        <v>6.5299305872595484E-2</v>
      </c>
      <c r="R111" s="38">
        <f>(MPM!$Q112^2)/(9.81*MPM!$F112*(P111^2))</f>
        <v>0.1549186493421166</v>
      </c>
      <c r="S111" s="36">
        <f>8.1*((R111/MPM!$AE112)^(1/6))</f>
        <v>12.241794283533649</v>
      </c>
      <c r="T111" s="43">
        <f t="shared" si="46"/>
        <v>2.1756964546616596E-2</v>
      </c>
      <c r="U111" s="38">
        <f>(MPM!$Q112^2)/(9.81*MPM!$F112*(S111^2))</f>
        <v>0.1548512454842042</v>
      </c>
      <c r="V111" s="36">
        <f>8.1*((U111/MPM!$AE112)^(1/6))</f>
        <v>12.240906404858006</v>
      </c>
      <c r="W111" s="43">
        <f t="shared" si="47"/>
        <v>7.2533736169294238E-3</v>
      </c>
      <c r="X111" s="38">
        <f>(MPM!$Q112^2)/(9.81*MPM!$F112*(V111^2))</f>
        <v>0.1548737101776696</v>
      </c>
      <c r="Y111" s="36">
        <f>8.1*((X111/MPM!$AE112)^(1/6))</f>
        <v>12.241202357261159</v>
      </c>
      <c r="Z111" s="43">
        <f t="shared" si="48"/>
        <v>2.4176742979631783E-3</v>
      </c>
      <c r="AA111" s="38">
        <f>(MPM!$Q112^2)/(9.81*MPM!$F112*(Y111^2))</f>
        <v>0.15486622158442506</v>
      </c>
      <c r="AB111" s="36">
        <f>8.1*((AA111/MPM!$AE112)^(1/6))</f>
        <v>12.241103705665079</v>
      </c>
      <c r="AC111" s="43">
        <f t="shared" si="49"/>
        <v>8.0590442211543102E-4</v>
      </c>
      <c r="AD111" s="38">
        <f>(MPM!$Q112^2)/(9.81*MPM!$F112*(AB111^2))</f>
        <v>0.15486871774193955</v>
      </c>
      <c r="AE111" s="36">
        <f>8.1*((AD111/MPM!$AE112)^(1/6))</f>
        <v>12.241136589442101</v>
      </c>
      <c r="AF111" s="43">
        <f t="shared" si="50"/>
        <v>2.6863336408340915E-4</v>
      </c>
      <c r="AG111" s="38">
        <f>(MPM!$Q112^2)/(9.81*MPM!$F112*(AE111^2))</f>
        <v>0.1548678856849644</v>
      </c>
      <c r="AH111" s="36">
        <f>8.1*((AG111/MPM!$AE112)^(1/6))</f>
        <v>12.241125628173279</v>
      </c>
      <c r="AI111" s="43">
        <f t="shared" si="51"/>
        <v>8.9544615056944932E-5</v>
      </c>
      <c r="AJ111" s="38">
        <f>(MPM!$Q112^2)/(9.81*MPM!$F112*(AH111^2))</f>
        <v>0.15486816303679274</v>
      </c>
      <c r="AK111" s="36">
        <f>8.1*((AJ111/MPM!$AE112)^(1/6))</f>
        <v>12.241129281928464</v>
      </c>
      <c r="AL111" s="43">
        <f t="shared" si="52"/>
        <v>2.9848187209520201E-5</v>
      </c>
      <c r="AM111" s="38">
        <f>(MPM!$Q112^2)/(9.81*MPM!$F112*(AK111^2))</f>
        <v>0.15486807058612806</v>
      </c>
      <c r="AN111" s="36">
        <f>8.1*((AM111/MPM!$AE112)^(1/6))</f>
        <v>12.241128064009947</v>
      </c>
      <c r="AO111" s="43">
        <f t="shared" si="53"/>
        <v>9.9493977180227805E-6</v>
      </c>
      <c r="AP111" s="38">
        <f>(MPM!$Q112^2)/(9.81*MPM!$F112*(AN111^2))</f>
        <v>0.15486810140301016</v>
      </c>
      <c r="AQ111" s="36">
        <f>8.1*((AP111/MPM!$AE112)^(1/6))</f>
        <v>12.241128469982772</v>
      </c>
      <c r="AR111" s="43">
        <f t="shared" si="54"/>
        <v>3.316465684764216E-6</v>
      </c>
      <c r="AS111" s="38">
        <f>(MPM!$Q112^2)/(9.81*MPM!$F112*(AQ111^2))</f>
        <v>0.15486809113071545</v>
      </c>
      <c r="AT111" s="36">
        <f>8.1*((AS111/MPM!$AE112)^(1/6))</f>
        <v>12.241128334658494</v>
      </c>
      <c r="AU111" s="43">
        <f t="shared" si="55"/>
        <v>1.1054885979947579E-6</v>
      </c>
      <c r="AV111" s="38">
        <f>(MPM!$Q112^2)/(9.81*MPM!$F112*(AT111^2))</f>
        <v>0.15486809455481365</v>
      </c>
      <c r="AW111" s="36">
        <f>8.1*((AV111/MPM!$AE112)^(1/6))</f>
        <v>12.241128379766588</v>
      </c>
      <c r="AX111" s="43">
        <f t="shared" si="56"/>
        <v>3.6849620281081862E-7</v>
      </c>
      <c r="AY111" s="38">
        <f>(MPM!$Q112^2)/(9.81*MPM!$F112*(AW111^2))</f>
        <v>0.15486809341344754</v>
      </c>
      <c r="AZ111" s="36">
        <f>8.1*((AY111/MPM!$AE112)^(1/6))</f>
        <v>12.241128364730557</v>
      </c>
      <c r="BA111" s="43">
        <f t="shared" si="57"/>
        <v>1.2283206775448338E-7</v>
      </c>
      <c r="BB111" s="38">
        <f>(MPM!$Q112^2)/(9.81*MPM!$F112*(AZ111^2))</f>
        <v>0.1548680937939029</v>
      </c>
      <c r="BC111" s="36">
        <f>8.1*((BB111/MPM!$AE112)^(1/6))</f>
        <v>12.241128369742567</v>
      </c>
      <c r="BD111" s="43">
        <f t="shared" si="58"/>
        <v>4.0944022568063665E-8</v>
      </c>
      <c r="BE111" s="38">
        <f>(MPM!$Q112^2)/(9.81*MPM!$F112*(BC111^2))</f>
        <v>0.15486809366708446</v>
      </c>
      <c r="BF111" s="36">
        <f>8.1*((BE111/MPM!$AE112)^(1/6))</f>
        <v>12.241128368071896</v>
      </c>
      <c r="BG111" s="43">
        <f t="shared" si="59"/>
        <v>1.3648012361677741E-8</v>
      </c>
      <c r="BH111" s="38">
        <f>(MPM!$Q112^2)/(9.81*MPM!$F112*(BF111^2))</f>
        <v>0.15486809370935728</v>
      </c>
      <c r="BI111" s="36">
        <f>8.1*((BH111/MPM!$AE112)^(1/6))</f>
        <v>12.241128368628788</v>
      </c>
      <c r="BJ111" s="43">
        <f t="shared" si="60"/>
        <v>4.5493471279399588E-9</v>
      </c>
      <c r="BK111" s="38">
        <f>(MPM!$Q112^2)/(9.81*MPM!$F112*(BI111^2))</f>
        <v>0.15486809369526633</v>
      </c>
      <c r="BL111" s="36">
        <f>8.1*((BK111/MPM!$AE112)^(1/6))</f>
        <v>12.241128368443157</v>
      </c>
      <c r="BM111" s="43">
        <f t="shared" si="61"/>
        <v>1.5164538797968213E-9</v>
      </c>
      <c r="BN111" s="43">
        <f t="shared" si="62"/>
        <v>9.0986789417510525E-9</v>
      </c>
    </row>
    <row r="112" spans="1:66">
      <c r="A112" s="36">
        <f>MPM!B113</f>
        <v>108</v>
      </c>
      <c r="B112" s="41">
        <f>1/(MPM!AC113^0.5)</f>
        <v>12.666953948079488</v>
      </c>
      <c r="C112" s="38">
        <f>(MPM!$Q113^2)/(9.81*MPM!$F113*(Sheet1!B112^2))</f>
        <v>0.11369803366687353</v>
      </c>
      <c r="D112" s="36">
        <f>8.1*((C112/MPM!$AE113)^(1/6))</f>
        <v>11.782758330114705</v>
      </c>
      <c r="E112" s="41">
        <f t="shared" si="41"/>
        <v>7.5041479523935539</v>
      </c>
      <c r="F112" s="38">
        <f>(MPM!$Q113^2)/(9.81*MPM!$F113*(D112^2))</f>
        <v>0.13140243005356811</v>
      </c>
      <c r="G112" s="36">
        <f>8.1*((F112/MPM!$AE113)^(1/6))</f>
        <v>12.07041060638357</v>
      </c>
      <c r="H112" s="43">
        <f t="shared" si="42"/>
        <v>2.3831192297363692</v>
      </c>
      <c r="I112" s="38">
        <f>(MPM!$Q113^2)/(9.81*MPM!$F113*(G112^2))</f>
        <v>0.12521410371620079</v>
      </c>
      <c r="J112" s="36">
        <f>8.1*((I112/MPM!$AE113)^(1/6))</f>
        <v>11.973754589548262</v>
      </c>
      <c r="K112" s="43">
        <f t="shared" si="43"/>
        <v>0.80723231892256642</v>
      </c>
      <c r="L112" s="38">
        <f>(MPM!$Q113^2)/(9.81*MPM!$F113*(J112^2))</f>
        <v>0.12724380039401487</v>
      </c>
      <c r="M112" s="36">
        <f>8.1*((L112/MPM!$AE113)^(1/6))</f>
        <v>12.005886955354589</v>
      </c>
      <c r="N112" s="43">
        <f t="shared" si="44"/>
        <v>0.26763841710166575</v>
      </c>
      <c r="O112" s="38">
        <f>(MPM!$Q113^2)/(9.81*MPM!$F113*(M112^2))</f>
        <v>0.12656360525898916</v>
      </c>
      <c r="P112" s="36">
        <f>8.1*((O112/MPM!$AE113)^(1/6))</f>
        <v>11.99516659712433</v>
      </c>
      <c r="Q112" s="43">
        <f t="shared" si="45"/>
        <v>8.9372316286369088E-2</v>
      </c>
      <c r="R112" s="38">
        <f>(MPM!$Q113^2)/(9.81*MPM!$F113*(P112^2))</f>
        <v>0.12678993200173241</v>
      </c>
      <c r="S112" s="36">
        <f>8.1*((R112/MPM!$AE113)^(1/6))</f>
        <v>11.998738985836839</v>
      </c>
      <c r="T112" s="43">
        <f t="shared" si="46"/>
        <v>2.9773034622440117E-2</v>
      </c>
      <c r="U112" s="38">
        <f>(MPM!$Q113^2)/(9.81*MPM!$F113*(S112^2))</f>
        <v>0.1267144448201126</v>
      </c>
      <c r="V112" s="36">
        <f>8.1*((U112/MPM!$AE113)^(1/6))</f>
        <v>11.997548071401059</v>
      </c>
      <c r="W112" s="43">
        <f t="shared" si="47"/>
        <v>9.9263151828381455E-3</v>
      </c>
      <c r="X112" s="38">
        <f>(MPM!$Q113^2)/(9.81*MPM!$F113*(V112^2))</f>
        <v>0.12673960221900205</v>
      </c>
      <c r="Y112" s="36">
        <f>8.1*((X112/MPM!$AE113)^(1/6))</f>
        <v>11.997945029745496</v>
      </c>
      <c r="Z112" s="43">
        <f t="shared" si="48"/>
        <v>3.3085527851047518E-3</v>
      </c>
      <c r="AA112" s="38">
        <f>(MPM!$Q113^2)/(9.81*MPM!$F113*(Y112^2))</f>
        <v>0.12673121586445971</v>
      </c>
      <c r="AB112" s="36">
        <f>8.1*((AA112/MPM!$AE113)^(1/6))</f>
        <v>11.997812708838037</v>
      </c>
      <c r="AC112" s="43">
        <f t="shared" si="49"/>
        <v>1.102875254604058E-3</v>
      </c>
      <c r="AD112" s="38">
        <f>(MPM!$Q113^2)/(9.81*MPM!$F113*(AB112^2))</f>
        <v>0.12673401125431372</v>
      </c>
      <c r="AE112" s="36">
        <f>8.1*((AD112/MPM!$AE113)^(1/6))</f>
        <v>11.997856815645044</v>
      </c>
      <c r="AF112" s="43">
        <f t="shared" si="50"/>
        <v>3.6762238193418628E-4</v>
      </c>
      <c r="AG112" s="38">
        <f>(MPM!$Q113^2)/(9.81*MPM!$F113*(AE112^2))</f>
        <v>0.12673307945084469</v>
      </c>
      <c r="AH112" s="36">
        <f>8.1*((AG112/MPM!$AE113)^(1/6))</f>
        <v>11.997842113358024</v>
      </c>
      <c r="AI112" s="43">
        <f t="shared" si="51"/>
        <v>1.2254109431445866E-4</v>
      </c>
      <c r="AJ112" s="38">
        <f>(MPM!$Q113^2)/(9.81*MPM!$F113*(AH112^2))</f>
        <v>0.12673339005123982</v>
      </c>
      <c r="AK112" s="36">
        <f>8.1*((AJ112/MPM!$AE113)^(1/6))</f>
        <v>11.997847014118364</v>
      </c>
      <c r="AL112" s="43">
        <f t="shared" si="52"/>
        <v>4.0846998082227334E-5</v>
      </c>
      <c r="AM112" s="38">
        <f>(MPM!$Q113^2)/(9.81*MPM!$F113*(AK112^2))</f>
        <v>0.12673328651769017</v>
      </c>
      <c r="AN112" s="36">
        <f>8.1*((AM112/MPM!$AE113)^(1/6))</f>
        <v>11.997845380531359</v>
      </c>
      <c r="AO112" s="43">
        <f t="shared" si="53"/>
        <v>1.3615669751718079E-5</v>
      </c>
      <c r="AP112" s="38">
        <f>(MPM!$Q113^2)/(9.81*MPM!$F113*(AN112^2))</f>
        <v>0.12673332102886403</v>
      </c>
      <c r="AQ112" s="36">
        <f>8.1*((AP112/MPM!$AE113)^(1/6))</f>
        <v>11.997845925060338</v>
      </c>
      <c r="AR112" s="43">
        <f t="shared" si="54"/>
        <v>4.5385561854478787E-6</v>
      </c>
      <c r="AS112" s="38">
        <f>(MPM!$Q113^2)/(9.81*MPM!$F113*(AQ112^2))</f>
        <v>0.12673330952513831</v>
      </c>
      <c r="AT112" s="36">
        <f>8.1*((AS112/MPM!$AE113)^(1/6))</f>
        <v>11.997845743550673</v>
      </c>
      <c r="AU112" s="43">
        <f t="shared" si="55"/>
        <v>1.5128521241848583E-6</v>
      </c>
      <c r="AV112" s="38">
        <f>(MPM!$Q113^2)/(9.81*MPM!$F113*(AT112^2))</f>
        <v>0.12673331335971347</v>
      </c>
      <c r="AW112" s="36">
        <f>8.1*((AV112/MPM!$AE113)^(1/6))</f>
        <v>11.997845804053895</v>
      </c>
      <c r="AX112" s="43">
        <f t="shared" si="56"/>
        <v>5.0428404378713926E-7</v>
      </c>
      <c r="AY112" s="38">
        <f>(MPM!$Q113^2)/(9.81*MPM!$F113*(AW112^2))</f>
        <v>0.12673331208152172</v>
      </c>
      <c r="AZ112" s="36">
        <f>8.1*((AY112/MPM!$AE113)^(1/6))</f>
        <v>11.997845783886156</v>
      </c>
      <c r="BA112" s="43">
        <f t="shared" si="57"/>
        <v>1.6809467167451695E-7</v>
      </c>
      <c r="BB112" s="38">
        <f>(MPM!$Q113^2)/(9.81*MPM!$F113*(AZ112^2))</f>
        <v>0.12673331250758563</v>
      </c>
      <c r="BC112" s="36">
        <f>8.1*((BB112/MPM!$AE113)^(1/6))</f>
        <v>11.997845790608736</v>
      </c>
      <c r="BD112" s="43">
        <f t="shared" si="58"/>
        <v>5.6031557193443627E-8</v>
      </c>
      <c r="BE112" s="38">
        <f>(MPM!$Q113^2)/(9.81*MPM!$F113*(BC112^2))</f>
        <v>0.12673331236556434</v>
      </c>
      <c r="BF112" s="36">
        <f>8.1*((BE112/MPM!$AE113)^(1/6))</f>
        <v>11.997845788367876</v>
      </c>
      <c r="BG112" s="43">
        <f t="shared" si="59"/>
        <v>1.8677185734636246E-8</v>
      </c>
      <c r="BH112" s="38">
        <f>(MPM!$Q113^2)/(9.81*MPM!$F113*(BF112^2))</f>
        <v>0.12673331241290475</v>
      </c>
      <c r="BI112" s="36">
        <f>8.1*((BH112/MPM!$AE113)^(1/6))</f>
        <v>11.997845789114828</v>
      </c>
      <c r="BJ112" s="43">
        <f t="shared" si="60"/>
        <v>6.2257236426139747E-9</v>
      </c>
      <c r="BK112" s="38">
        <f>(MPM!$Q113^2)/(9.81*MPM!$F113*(BI112^2))</f>
        <v>0.12673331239712463</v>
      </c>
      <c r="BL112" s="36">
        <f>8.1*((BK112/MPM!$AE113)^(1/6))</f>
        <v>11.997845788865844</v>
      </c>
      <c r="BM112" s="43">
        <f t="shared" si="61"/>
        <v>2.0752461494582358E-9</v>
      </c>
      <c r="BN112" s="43">
        <f t="shared" si="62"/>
        <v>1.2451443828349011E-8</v>
      </c>
    </row>
    <row r="113" spans="1:66">
      <c r="A113" s="36">
        <f>MPM!B114</f>
        <v>109</v>
      </c>
      <c r="B113" s="41">
        <f>1/(MPM!AC114^0.5)</f>
        <v>12.619721209483638</v>
      </c>
      <c r="C113" s="38">
        <f>(MPM!$Q114^2)/(9.81*MPM!$F114*(Sheet1!B113^2))</f>
        <v>0.14609356983654867</v>
      </c>
      <c r="D113" s="36">
        <f>8.1*((C113/MPM!$AE114)^(1/6))</f>
        <v>11.759876729797496</v>
      </c>
      <c r="E113" s="41">
        <f t="shared" si="41"/>
        <v>7.3116793606130654</v>
      </c>
      <c r="F113" s="38">
        <f>(MPM!$Q114^2)/(9.81*MPM!$F114*(D113^2))</f>
        <v>0.16823838241692515</v>
      </c>
      <c r="G113" s="36">
        <f>8.1*((F113/MPM!$AE114)^(1/6))</f>
        <v>12.039776726578593</v>
      </c>
      <c r="H113" s="43">
        <f t="shared" si="42"/>
        <v>2.3247939155150577</v>
      </c>
      <c r="I113" s="38">
        <f>(MPM!$Q114^2)/(9.81*MPM!$F114*(G113^2))</f>
        <v>0.16050691830009167</v>
      </c>
      <c r="J113" s="36">
        <f>8.1*((I113/MPM!$AE114)^(1/6))</f>
        <v>11.945744231449156</v>
      </c>
      <c r="K113" s="43">
        <f t="shared" si="43"/>
        <v>0.78716313783012604</v>
      </c>
      <c r="L113" s="38">
        <f>(MPM!$Q114^2)/(9.81*MPM!$F114*(J113^2))</f>
        <v>0.16304376631199752</v>
      </c>
      <c r="M113" s="36">
        <f>8.1*((L113/MPM!$AE114)^(1/6))</f>
        <v>11.977006511038278</v>
      </c>
      <c r="N113" s="43">
        <f t="shared" si="44"/>
        <v>0.26101914163868506</v>
      </c>
      <c r="O113" s="38">
        <f>(MPM!$Q114^2)/(9.81*MPM!$F114*(M113^2))</f>
        <v>0.16219372626671033</v>
      </c>
      <c r="P113" s="36">
        <f>8.1*((O113/MPM!$AE114)^(1/6))</f>
        <v>11.966576671278615</v>
      </c>
      <c r="Q113" s="43">
        <f t="shared" si="45"/>
        <v>8.7158090790459317E-2</v>
      </c>
      <c r="R113" s="38">
        <f>(MPM!$Q114^2)/(9.81*MPM!$F114*(P113^2))</f>
        <v>0.16247657938809826</v>
      </c>
      <c r="S113" s="36">
        <f>8.1*((R113/MPM!$AE114)^(1/6))</f>
        <v>11.970052274970717</v>
      </c>
      <c r="T113" s="43">
        <f t="shared" si="46"/>
        <v>2.9035827181556124E-2</v>
      </c>
      <c r="U113" s="38">
        <f>(MPM!$Q114^2)/(9.81*MPM!$F114*(S113^2))</f>
        <v>0.16238224024855843</v>
      </c>
      <c r="V113" s="36">
        <f>8.1*((U113/MPM!$AE114)^(1/6))</f>
        <v>11.968893628258561</v>
      </c>
      <c r="W113" s="43">
        <f t="shared" si="47"/>
        <v>9.6804829931855744E-3</v>
      </c>
      <c r="X113" s="38">
        <f>(MPM!$Q114^2)/(9.81*MPM!$F114*(V113^2))</f>
        <v>0.16241368054057326</v>
      </c>
      <c r="Y113" s="36">
        <f>8.1*((X113/MPM!$AE114)^(1/6))</f>
        <v>11.969279831367439</v>
      </c>
      <c r="Z113" s="43">
        <f t="shared" si="48"/>
        <v>3.2266194317374735E-3</v>
      </c>
      <c r="AA113" s="38">
        <f>(MPM!$Q114^2)/(9.81*MPM!$F114*(Y113^2))</f>
        <v>0.16240319976691109</v>
      </c>
      <c r="AB113" s="36">
        <f>8.1*((AA113/MPM!$AE114)^(1/6))</f>
        <v>11.969151095613199</v>
      </c>
      <c r="AC113" s="43">
        <f t="shared" si="49"/>
        <v>1.0755629468748749E-3</v>
      </c>
      <c r="AD113" s="38">
        <f>(MPM!$Q114^2)/(9.81*MPM!$F114*(AB113^2))</f>
        <v>0.16240669328298096</v>
      </c>
      <c r="AE113" s="36">
        <f>8.1*((AD113/MPM!$AE114)^(1/6))</f>
        <v>11.969194007377432</v>
      </c>
      <c r="AF113" s="43">
        <f t="shared" si="50"/>
        <v>3.585184115672828E-4</v>
      </c>
      <c r="AG113" s="38">
        <f>(MPM!$Q114^2)/(9.81*MPM!$F114*(AE113^2))</f>
        <v>0.16240552876927439</v>
      </c>
      <c r="AH113" s="36">
        <f>8.1*((AG113/MPM!$AE114)^(1/6))</f>
        <v>11.969179703438927</v>
      </c>
      <c r="AI113" s="43">
        <f t="shared" si="51"/>
        <v>1.1950642282242157E-4</v>
      </c>
      <c r="AJ113" s="38">
        <f>(MPM!$Q114^2)/(9.81*MPM!$F114*(AH113^2))</f>
        <v>0.16240591693958212</v>
      </c>
      <c r="AK113" s="36">
        <f>8.1*((AJ113/MPM!$AE114)^(1/6))</f>
        <v>11.969184471416529</v>
      </c>
      <c r="AL113" s="43">
        <f t="shared" si="52"/>
        <v>3.983544253543618E-5</v>
      </c>
      <c r="AM113" s="38">
        <f>(MPM!$Q114^2)/(9.81*MPM!$F114*(AK113^2))</f>
        <v>0.16240578754937643</v>
      </c>
      <c r="AN113" s="36">
        <f>8.1*((AM113/MPM!$AE114)^(1/6))</f>
        <v>11.96918288209045</v>
      </c>
      <c r="AO113" s="43">
        <f t="shared" si="53"/>
        <v>1.3278484374415747E-5</v>
      </c>
      <c r="AP113" s="38">
        <f>(MPM!$Q114^2)/(9.81*MPM!$F114*(AN113^2))</f>
        <v>0.16240583067943357</v>
      </c>
      <c r="AQ113" s="36">
        <f>8.1*((AP113/MPM!$AE114)^(1/6))</f>
        <v>11.969183411865785</v>
      </c>
      <c r="AR113" s="43">
        <f t="shared" si="54"/>
        <v>4.4261610544543396E-6</v>
      </c>
      <c r="AS113" s="38">
        <f>(MPM!$Q114^2)/(9.81*MPM!$F114*(AQ113^2))</f>
        <v>0.16240581630274661</v>
      </c>
      <c r="AT113" s="36">
        <f>8.1*((AS113/MPM!$AE114)^(1/6))</f>
        <v>11.969183235274006</v>
      </c>
      <c r="AU113" s="43">
        <f t="shared" si="55"/>
        <v>1.475387049813173E-6</v>
      </c>
      <c r="AV113" s="38">
        <f>(MPM!$Q114^2)/(9.81*MPM!$F114*(AT113^2))</f>
        <v>0.16240582109497542</v>
      </c>
      <c r="AW113" s="36">
        <f>8.1*((AV113/MPM!$AE114)^(1/6))</f>
        <v>11.969183294137931</v>
      </c>
      <c r="AX113" s="43">
        <f t="shared" si="56"/>
        <v>4.917956709583702E-7</v>
      </c>
      <c r="AY113" s="38">
        <f>(MPM!$Q114^2)/(9.81*MPM!$F114*(AW113^2))</f>
        <v>0.16240581949756583</v>
      </c>
      <c r="AZ113" s="36">
        <f>8.1*((AY113/MPM!$AE114)^(1/6))</f>
        <v>11.969183274516624</v>
      </c>
      <c r="BA113" s="43">
        <f t="shared" si="57"/>
        <v>1.6393188069413572E-7</v>
      </c>
      <c r="BB113" s="38">
        <f>(MPM!$Q114^2)/(9.81*MPM!$F114*(AZ113^2))</f>
        <v>0.16240582003003565</v>
      </c>
      <c r="BC113" s="36">
        <f>8.1*((BB113/MPM!$AE114)^(1/6))</f>
        <v>11.96918328105706</v>
      </c>
      <c r="BD113" s="43">
        <f t="shared" si="58"/>
        <v>5.4643960201518948E-8</v>
      </c>
      <c r="BE113" s="38">
        <f>(MPM!$Q114^2)/(9.81*MPM!$F114*(BC113^2))</f>
        <v>0.16240581985254571</v>
      </c>
      <c r="BF113" s="36">
        <f>8.1*((BE113/MPM!$AE114)^(1/6))</f>
        <v>11.969183278876914</v>
      </c>
      <c r="BG113" s="43">
        <f t="shared" si="59"/>
        <v>1.8214658350852874E-8</v>
      </c>
      <c r="BH113" s="38">
        <f>(MPM!$Q114^2)/(9.81*MPM!$F114*(BF113^2))</f>
        <v>0.16240581991170905</v>
      </c>
      <c r="BI113" s="36">
        <f>8.1*((BH113/MPM!$AE114)^(1/6))</f>
        <v>11.96918327960363</v>
      </c>
      <c r="BJ113" s="43">
        <f t="shared" si="60"/>
        <v>6.0715626773066284E-9</v>
      </c>
      <c r="BK113" s="38">
        <f>(MPM!$Q114^2)/(9.81*MPM!$F114*(BI113^2))</f>
        <v>0.16240581989198793</v>
      </c>
      <c r="BL113" s="36">
        <f>8.1*((BK113/MPM!$AE114)^(1/6))</f>
        <v>11.96918327936139</v>
      </c>
      <c r="BM113" s="43">
        <f t="shared" si="61"/>
        <v>2.023864119867478E-9</v>
      </c>
      <c r="BN113" s="43">
        <f t="shared" si="62"/>
        <v>1.2143107706446483E-8</v>
      </c>
    </row>
    <row r="114" spans="1:66">
      <c r="A114" s="36">
        <f>MPM!B115</f>
        <v>110</v>
      </c>
      <c r="B114" s="41">
        <f>1/(MPM!AC115^0.5)</f>
        <v>12.535152895307258</v>
      </c>
      <c r="C114" s="38">
        <f>(MPM!$Q115^2)/(9.81*MPM!$F115*(Sheet1!B114^2))</f>
        <v>0.11885333567231052</v>
      </c>
      <c r="D114" s="36">
        <f>8.1*((C114/MPM!$AE115)^(1/6))</f>
        <v>11.362297291859619</v>
      </c>
      <c r="E114" s="41">
        <f t="shared" si="41"/>
        <v>10.322345678174756</v>
      </c>
      <c r="F114" s="38">
        <f>(MPM!$Q115^2)/(9.81*MPM!$F115*(D114^2))</f>
        <v>0.14465663202970955</v>
      </c>
      <c r="G114" s="36">
        <f>8.1*((F114/MPM!$AE115)^(1/6))</f>
        <v>11.740519405900724</v>
      </c>
      <c r="H114" s="43">
        <f t="shared" si="42"/>
        <v>3.2215109141680065</v>
      </c>
      <c r="I114" s="38">
        <f>(MPM!$Q115^2)/(9.81*MPM!$F115*(G114^2))</f>
        <v>0.13548650022233452</v>
      </c>
      <c r="J114" s="36">
        <f>8.1*((I114/MPM!$AE115)^(1/6))</f>
        <v>11.61306677539508</v>
      </c>
      <c r="K114" s="43">
        <f t="shared" si="43"/>
        <v>1.0974933062098755</v>
      </c>
      <c r="L114" s="38">
        <f>(MPM!$Q115^2)/(9.81*MPM!$F115*(J114^2))</f>
        <v>0.13847672999841376</v>
      </c>
      <c r="M114" s="36">
        <f>8.1*((L114/MPM!$AE115)^(1/6))</f>
        <v>11.65539650585853</v>
      </c>
      <c r="N114" s="43">
        <f t="shared" si="44"/>
        <v>0.36317709519511748</v>
      </c>
      <c r="O114" s="38">
        <f>(MPM!$Q115^2)/(9.81*MPM!$F115*(M114^2))</f>
        <v>0.13747272494222343</v>
      </c>
      <c r="P114" s="36">
        <f>8.1*((O114/MPM!$AE115)^(1/6))</f>
        <v>11.641269479835632</v>
      </c>
      <c r="Q114" s="43">
        <f t="shared" si="45"/>
        <v>0.1213529679676937</v>
      </c>
      <c r="R114" s="38">
        <f>(MPM!$Q115^2)/(9.81*MPM!$F115*(P114^2))</f>
        <v>0.13780658185574757</v>
      </c>
      <c r="S114" s="36">
        <f>8.1*((R114/MPM!$AE115)^(1/6))</f>
        <v>11.645976584952511</v>
      </c>
      <c r="T114" s="43">
        <f t="shared" si="46"/>
        <v>4.0418294528949079E-2</v>
      </c>
      <c r="U114" s="38">
        <f>(MPM!$Q115^2)/(9.81*MPM!$F115*(S114^2))</f>
        <v>0.13769520622809231</v>
      </c>
      <c r="V114" s="36">
        <f>8.1*((U114/MPM!$AE115)^(1/6))</f>
        <v>11.644407338473668</v>
      </c>
      <c r="W114" s="43">
        <f t="shared" si="47"/>
        <v>1.34763962924737E-2</v>
      </c>
      <c r="X114" s="38">
        <f>(MPM!$Q115^2)/(9.81*MPM!$F115*(V114^2))</f>
        <v>0.13773232143215389</v>
      </c>
      <c r="Y114" s="36">
        <f>8.1*((X114/MPM!$AE115)^(1/6))</f>
        <v>11.6449303971375</v>
      </c>
      <c r="Z114" s="43">
        <f t="shared" si="48"/>
        <v>4.4917285547783382E-3</v>
      </c>
      <c r="AA114" s="38">
        <f>(MPM!$Q115^2)/(9.81*MPM!$F115*(Y114^2))</f>
        <v>0.13771994858601558</v>
      </c>
      <c r="AB114" s="36">
        <f>8.1*((AA114/MPM!$AE115)^(1/6))</f>
        <v>11.644756041639004</v>
      </c>
      <c r="AC114" s="43">
        <f t="shared" si="49"/>
        <v>1.4972876878864181E-3</v>
      </c>
      <c r="AD114" s="38">
        <f>(MPM!$Q115^2)/(9.81*MPM!$F115*(AB114^2))</f>
        <v>0.1377240727445585</v>
      </c>
      <c r="AE114" s="36">
        <f>8.1*((AD114/MPM!$AE115)^(1/6))</f>
        <v>11.644814159848439</v>
      </c>
      <c r="AF114" s="43">
        <f t="shared" si="50"/>
        <v>4.9909091408901509E-4</v>
      </c>
      <c r="AG114" s="38">
        <f>(MPM!$Q115^2)/(9.81*MPM!$F115*(AE114^2))</f>
        <v>0.13772269801132195</v>
      </c>
      <c r="AH114" s="36">
        <f>8.1*((AG114/MPM!$AE115)^(1/6))</f>
        <v>11.644794787079732</v>
      </c>
      <c r="AI114" s="43">
        <f t="shared" si="51"/>
        <v>1.6636419156183886E-4</v>
      </c>
      <c r="AJ114" s="38">
        <f>(MPM!$Q115^2)/(9.81*MPM!$F115*(AH114^2))</f>
        <v>0.13772315625420939</v>
      </c>
      <c r="AK114" s="36">
        <f>8.1*((AJ114/MPM!$AE115)^(1/6))</f>
        <v>11.64480124466572</v>
      </c>
      <c r="AL114" s="43">
        <f t="shared" si="52"/>
        <v>5.5454669015292717E-5</v>
      </c>
      <c r="AM114" s="38">
        <f>(MPM!$Q115^2)/(9.81*MPM!$F115*(AK114^2))</f>
        <v>0.13772300350641087</v>
      </c>
      <c r="AN114" s="36">
        <f>8.1*((AM114/MPM!$AE115)^(1/6))</f>
        <v>11.64479909213666</v>
      </c>
      <c r="AO114" s="43">
        <f t="shared" si="53"/>
        <v>1.848489650060198E-5</v>
      </c>
      <c r="AP114" s="38">
        <f>(MPM!$Q115^2)/(9.81*MPM!$F115*(AN114^2))</f>
        <v>0.13772305442232485</v>
      </c>
      <c r="AQ114" s="36">
        <f>8.1*((AP114/MPM!$AE115)^(1/6))</f>
        <v>11.644799809646301</v>
      </c>
      <c r="AR114" s="43">
        <f t="shared" si="54"/>
        <v>6.1616313956779093E-6</v>
      </c>
      <c r="AS114" s="38">
        <f>(MPM!$Q115^2)/(9.81*MPM!$F115*(AQ114^2))</f>
        <v>0.13772303745035147</v>
      </c>
      <c r="AT114" s="36">
        <f>8.1*((AS114/MPM!$AE115)^(1/6))</f>
        <v>11.644799570476417</v>
      </c>
      <c r="AU114" s="43">
        <f t="shared" si="55"/>
        <v>2.0538772045857659E-6</v>
      </c>
      <c r="AV114" s="38">
        <f>(MPM!$Q115^2)/(9.81*MPM!$F115*(AT114^2))</f>
        <v>0.13772304310767566</v>
      </c>
      <c r="AW114" s="36">
        <f>8.1*((AV114/MPM!$AE115)^(1/6))</f>
        <v>11.644799650199712</v>
      </c>
      <c r="AX114" s="43">
        <f t="shared" si="56"/>
        <v>6.8462573017479809E-7</v>
      </c>
      <c r="AY114" s="38">
        <f>(MPM!$Q115^2)/(9.81*MPM!$F115*(AW114^2))</f>
        <v>0.1377230412219009</v>
      </c>
      <c r="AZ114" s="36">
        <f>8.1*((AY114/MPM!$AE115)^(1/6))</f>
        <v>11.644799623625278</v>
      </c>
      <c r="BA114" s="43">
        <f t="shared" si="57"/>
        <v>2.2820859250023183E-7</v>
      </c>
      <c r="BB114" s="38">
        <f>(MPM!$Q115^2)/(9.81*MPM!$F115*(AZ114^2))</f>
        <v>0.13772304185049253</v>
      </c>
      <c r="BC114" s="36">
        <f>8.1*((BB114/MPM!$AE115)^(1/6))</f>
        <v>11.644799632483423</v>
      </c>
      <c r="BD114" s="43">
        <f t="shared" si="58"/>
        <v>7.606953077554487E-8</v>
      </c>
      <c r="BE114" s="38">
        <f>(MPM!$Q115^2)/(9.81*MPM!$F115*(BC114^2))</f>
        <v>0.13772304164096197</v>
      </c>
      <c r="BF114" s="36">
        <f>8.1*((BE114/MPM!$AE115)^(1/6))</f>
        <v>11.644799629530707</v>
      </c>
      <c r="BG114" s="43">
        <f t="shared" si="59"/>
        <v>2.5356515349780337E-8</v>
      </c>
      <c r="BH114" s="38">
        <f>(MPM!$Q115^2)/(9.81*MPM!$F115*(BF114^2))</f>
        <v>0.13772304171080549</v>
      </c>
      <c r="BI114" s="36">
        <f>8.1*((BH114/MPM!$AE115)^(1/6))</f>
        <v>11.644799630514948</v>
      </c>
      <c r="BJ114" s="43">
        <f t="shared" si="60"/>
        <v>8.4521870370532745E-9</v>
      </c>
      <c r="BK114" s="38">
        <f>(MPM!$Q115^2)/(9.81*MPM!$F115*(BI114^2))</f>
        <v>0.13772304168752428</v>
      </c>
      <c r="BL114" s="36">
        <f>8.1*((BK114/MPM!$AE115)^(1/6))</f>
        <v>11.644799630186865</v>
      </c>
      <c r="BM114" s="43">
        <f t="shared" si="61"/>
        <v>2.8174160184405429E-9</v>
      </c>
      <c r="BN114" s="43">
        <f t="shared" si="62"/>
        <v>1.6904368366883651E-8</v>
      </c>
    </row>
    <row r="115" spans="1:66">
      <c r="A115" s="36">
        <f>MPM!B116</f>
        <v>111</v>
      </c>
      <c r="B115" s="41">
        <f>1/(MPM!AC116^0.5)</f>
        <v>12.833701934183752</v>
      </c>
      <c r="C115" s="38">
        <f>(MPM!$Q116^2)/(9.81*MPM!$F116*(Sheet1!B115^2))</f>
        <v>0.17983098192426913</v>
      </c>
      <c r="D115" s="36">
        <f>8.1*((C115/MPM!$AE116)^(1/6))</f>
        <v>12.174234749119478</v>
      </c>
      <c r="E115" s="41">
        <f t="shared" si="41"/>
        <v>5.4169087310557353</v>
      </c>
      <c r="F115" s="38">
        <f>(MPM!$Q116^2)/(9.81*MPM!$F116*(D115^2))</f>
        <v>0.19984121850182485</v>
      </c>
      <c r="G115" s="36">
        <f>8.1*((F115/MPM!$AE116)^(1/6))</f>
        <v>12.39020325076706</v>
      </c>
      <c r="H115" s="43">
        <f t="shared" si="42"/>
        <v>1.7430585865022996</v>
      </c>
      <c r="I115" s="38">
        <f>(MPM!$Q116^2)/(9.81*MPM!$F116*(G115^2))</f>
        <v>0.19293523628777062</v>
      </c>
      <c r="J115" s="36">
        <f>8.1*((I115/MPM!$AE116)^(1/6))</f>
        <v>12.317791379070094</v>
      </c>
      <c r="K115" s="43">
        <f t="shared" si="43"/>
        <v>0.5878640859270059</v>
      </c>
      <c r="L115" s="38">
        <f>(MPM!$Q116^2)/(9.81*MPM!$F116*(J115^2))</f>
        <v>0.19521029775084958</v>
      </c>
      <c r="M115" s="36">
        <f>8.1*((L115/MPM!$AE116)^(1/6))</f>
        <v>12.341881525350365</v>
      </c>
      <c r="N115" s="43">
        <f t="shared" si="44"/>
        <v>0.19519022468972252</v>
      </c>
      <c r="O115" s="38">
        <f>(MPM!$Q116^2)/(9.81*MPM!$F116*(M115^2))</f>
        <v>0.19444897864933738</v>
      </c>
      <c r="P115" s="36">
        <f>8.1*((O115/MPM!$AE116)^(1/6))</f>
        <v>12.333846246293957</v>
      </c>
      <c r="Q115" s="43">
        <f t="shared" si="45"/>
        <v>6.514820191489086E-2</v>
      </c>
      <c r="R115" s="38">
        <f>(MPM!$Q116^2)/(9.81*MPM!$F116*(P115^2))</f>
        <v>0.19470242120555195</v>
      </c>
      <c r="S115" s="36">
        <f>8.1*((R115/MPM!$AE116)^(1/6))</f>
        <v>12.33652409120765</v>
      </c>
      <c r="T115" s="43">
        <f t="shared" si="46"/>
        <v>2.1706640329925461E-2</v>
      </c>
      <c r="U115" s="38">
        <f>(MPM!$Q116^2)/(9.81*MPM!$F116*(S115^2))</f>
        <v>0.19461790367093676</v>
      </c>
      <c r="V115" s="36">
        <f>8.1*((U115/MPM!$AE116)^(1/6))</f>
        <v>12.335631411643055</v>
      </c>
      <c r="W115" s="43">
        <f t="shared" si="47"/>
        <v>7.2365940161976238E-3</v>
      </c>
      <c r="X115" s="38">
        <f>(MPM!$Q116^2)/(9.81*MPM!$F116*(V115^2))</f>
        <v>0.19464607210526055</v>
      </c>
      <c r="Y115" s="36">
        <f>8.1*((X115/MPM!$AE116)^(1/6))</f>
        <v>12.335928964320477</v>
      </c>
      <c r="Z115" s="43">
        <f t="shared" si="48"/>
        <v>2.4120816379734253E-3</v>
      </c>
      <c r="AA115" s="38">
        <f>(MPM!$Q116^2)/(9.81*MPM!$F116*(Y115^2))</f>
        <v>0.19463668217417976</v>
      </c>
      <c r="AB115" s="36">
        <f>8.1*((AA115/MPM!$AE116)^(1/6))</f>
        <v>12.335829779297191</v>
      </c>
      <c r="AC115" s="43">
        <f t="shared" si="49"/>
        <v>8.0404014209531165E-4</v>
      </c>
      <c r="AD115" s="38">
        <f>(MPM!$Q116^2)/(9.81*MPM!$F116*(AB115^2))</f>
        <v>0.19463981210087447</v>
      </c>
      <c r="AE115" s="36">
        <f>8.1*((AD115/MPM!$AE116)^(1/6))</f>
        <v>12.33586284088301</v>
      </c>
      <c r="AF115" s="43">
        <f t="shared" si="50"/>
        <v>2.6801194408316149E-4</v>
      </c>
      <c r="AG115" s="38">
        <f>(MPM!$Q116^2)/(9.81*MPM!$F116*(AE115^2))</f>
        <v>0.19463876878638384</v>
      </c>
      <c r="AH115" s="36">
        <f>8.1*((AG115/MPM!$AE116)^(1/6))</f>
        <v>12.335851820344558</v>
      </c>
      <c r="AI115" s="43">
        <f t="shared" si="51"/>
        <v>8.9337474315426117E-5</v>
      </c>
      <c r="AJ115" s="38">
        <f>(MPM!$Q116^2)/(9.81*MPM!$F116*(AH115^2))</f>
        <v>0.1946391165572593</v>
      </c>
      <c r="AK115" s="36">
        <f>8.1*((AJ115/MPM!$AE116)^(1/6))</f>
        <v>12.335855493856281</v>
      </c>
      <c r="AL115" s="43">
        <f t="shared" si="52"/>
        <v>2.9779140361996485E-5</v>
      </c>
      <c r="AM115" s="38">
        <f>(MPM!$Q116^2)/(9.81*MPM!$F116*(AK115^2))</f>
        <v>0.19463900063356515</v>
      </c>
      <c r="AN115" s="36">
        <f>8.1*((AM115/MPM!$AE116)^(1/6))</f>
        <v>12.335854269352252</v>
      </c>
      <c r="AO115" s="43">
        <f t="shared" si="53"/>
        <v>9.9263820899924932E-6</v>
      </c>
      <c r="AP115" s="38">
        <f>(MPM!$Q116^2)/(9.81*MPM!$F116*(AN115^2))</f>
        <v>0.19463903927478884</v>
      </c>
      <c r="AQ115" s="36">
        <f>8.1*((AP115/MPM!$AE116)^(1/6))</f>
        <v>12.335854677520247</v>
      </c>
      <c r="AR115" s="43">
        <f t="shared" si="54"/>
        <v>3.30879380531673E-6</v>
      </c>
      <c r="AS115" s="38">
        <f>(MPM!$Q116^2)/(9.81*MPM!$F116*(AQ115^2))</f>
        <v>0.1946390263943801</v>
      </c>
      <c r="AT115" s="36">
        <f>8.1*((AS115/MPM!$AE116)^(1/6))</f>
        <v>12.335854541464249</v>
      </c>
      <c r="AU115" s="43">
        <f t="shared" si="55"/>
        <v>1.1029312806034839E-6</v>
      </c>
      <c r="AV115" s="38">
        <f>(MPM!$Q116^2)/(9.81*MPM!$F116*(AT115^2))</f>
        <v>0.19463903068784952</v>
      </c>
      <c r="AW115" s="36">
        <f>8.1*((AV115/MPM!$AE116)^(1/6))</f>
        <v>12.335854586816248</v>
      </c>
      <c r="AX115" s="43">
        <f t="shared" si="56"/>
        <v>3.6764375884954197E-7</v>
      </c>
      <c r="AY115" s="38">
        <f>(MPM!$Q116^2)/(9.81*MPM!$F116*(AW115^2))</f>
        <v>0.19463902925669305</v>
      </c>
      <c r="AZ115" s="36">
        <f>8.1*((AY115/MPM!$AE116)^(1/6))</f>
        <v>12.335854571698913</v>
      </c>
      <c r="BA115" s="43">
        <f t="shared" si="57"/>
        <v>1.2254793416664353E-7</v>
      </c>
      <c r="BB115" s="38">
        <f>(MPM!$Q116^2)/(9.81*MPM!$F116*(AZ115^2))</f>
        <v>0.19463902973374528</v>
      </c>
      <c r="BC115" s="36">
        <f>8.1*((BB115/MPM!$AE116)^(1/6))</f>
        <v>12.335854576738027</v>
      </c>
      <c r="BD115" s="43">
        <f t="shared" si="58"/>
        <v>4.0849330572127276E-8</v>
      </c>
      <c r="BE115" s="38">
        <f>(MPM!$Q116^2)/(9.81*MPM!$F116*(BC115^2))</f>
        <v>0.19463902957472781</v>
      </c>
      <c r="BF115" s="36">
        <f>8.1*((BE115/MPM!$AE116)^(1/6))</f>
        <v>12.335854575058322</v>
      </c>
      <c r="BG115" s="43">
        <f t="shared" si="59"/>
        <v>1.3616448325879697E-8</v>
      </c>
      <c r="BH115" s="38">
        <f>(MPM!$Q116^2)/(9.81*MPM!$F116*(BF115^2))</f>
        <v>0.19463902962773361</v>
      </c>
      <c r="BI115" s="36">
        <f>8.1*((BH115/MPM!$AE116)^(1/6))</f>
        <v>12.335854575618221</v>
      </c>
      <c r="BJ115" s="43">
        <f t="shared" si="60"/>
        <v>4.538792108504588E-9</v>
      </c>
      <c r="BK115" s="38">
        <f>(MPM!$Q116^2)/(9.81*MPM!$F116*(BI115^2))</f>
        <v>0.1946390296100651</v>
      </c>
      <c r="BL115" s="36">
        <f>8.1*((BK115/MPM!$AE116)^(1/6))</f>
        <v>12.33585457543159</v>
      </c>
      <c r="BM115" s="43">
        <f t="shared" si="61"/>
        <v>1.5129163029081698E-9</v>
      </c>
      <c r="BN115" s="43">
        <f t="shared" si="62"/>
        <v>9.0775758504939177E-9</v>
      </c>
    </row>
    <row r="116" spans="1:66">
      <c r="A116" s="36">
        <f>MPM!B117</f>
        <v>112</v>
      </c>
      <c r="B116" s="41">
        <f>1/(MPM!AC117^0.5)</f>
        <v>12.395474023493836</v>
      </c>
      <c r="C116" s="38">
        <f>(MPM!$Q117^2)/(9.81*MPM!$F117*(Sheet1!B116^2))</f>
        <v>0.1309324166755117</v>
      </c>
      <c r="D116" s="36">
        <f>8.1*((C116/MPM!$AE117)^(1/6))</f>
        <v>11.547078452188524</v>
      </c>
      <c r="E116" s="41">
        <f t="shared" si="41"/>
        <v>7.3472746792026467</v>
      </c>
      <c r="F116" s="38">
        <f>(MPM!$Q117^2)/(9.81*MPM!$F117*(D116^2))</f>
        <v>0.15087915047100914</v>
      </c>
      <c r="G116" s="36">
        <f>8.1*((F116/MPM!$AE117)^(1/6))</f>
        <v>11.823220546139208</v>
      </c>
      <c r="H116" s="43">
        <f t="shared" si="42"/>
        <v>2.3355911604038893</v>
      </c>
      <c r="I116" s="38">
        <f>(MPM!$Q117^2)/(9.81*MPM!$F117*(G116^2))</f>
        <v>0.14391361463480792</v>
      </c>
      <c r="J116" s="36">
        <f>8.1*((I116/MPM!$AE117)^(1/6))</f>
        <v>11.730447119011812</v>
      </c>
      <c r="K116" s="43">
        <f t="shared" si="43"/>
        <v>0.79087716082906856</v>
      </c>
      <c r="L116" s="38">
        <f>(MPM!$Q117^2)/(9.81*MPM!$F117*(J116^2))</f>
        <v>0.14619897605870155</v>
      </c>
      <c r="M116" s="36">
        <f>8.1*((L116/MPM!$AE117)^(1/6))</f>
        <v>11.761290426172264</v>
      </c>
      <c r="N116" s="43">
        <f t="shared" si="44"/>
        <v>0.26224424398038265</v>
      </c>
      <c r="O116" s="38">
        <f>(MPM!$Q117^2)/(9.81*MPM!$F117*(M116^2))</f>
        <v>0.14543318469999131</v>
      </c>
      <c r="P116" s="36">
        <f>8.1*((O116/MPM!$AE117)^(1/6))</f>
        <v>11.751000323469206</v>
      </c>
      <c r="Q116" s="43">
        <f t="shared" si="45"/>
        <v>8.7567887156861701E-2</v>
      </c>
      <c r="R116" s="38">
        <f>(MPM!$Q117^2)/(9.81*MPM!$F117*(P116^2))</f>
        <v>0.14568800175425209</v>
      </c>
      <c r="S116" s="36">
        <f>8.1*((R116/MPM!$AE117)^(1/6))</f>
        <v>11.754429356987513</v>
      </c>
      <c r="T116" s="43">
        <f t="shared" si="46"/>
        <v>2.9172267016675777E-2</v>
      </c>
      <c r="U116" s="38">
        <f>(MPM!$Q117^2)/(9.81*MPM!$F117*(S116^2))</f>
        <v>0.14560301316684335</v>
      </c>
      <c r="V116" s="36">
        <f>8.1*((U116/MPM!$AE117)^(1/6))</f>
        <v>11.753286234649304</v>
      </c>
      <c r="W116" s="43">
        <f t="shared" si="47"/>
        <v>9.725980592897452E-3</v>
      </c>
      <c r="X116" s="38">
        <f>(MPM!$Q117^2)/(9.81*MPM!$F117*(V116^2))</f>
        <v>0.1456313371857772</v>
      </c>
      <c r="Y116" s="36">
        <f>8.1*((X116/MPM!$AE117)^(1/6))</f>
        <v>11.753667263076055</v>
      </c>
      <c r="Z116" s="43">
        <f t="shared" si="48"/>
        <v>3.2417833364109115E-3</v>
      </c>
      <c r="AA116" s="38">
        <f>(MPM!$Q117^2)/(9.81*MPM!$F117*(Y116^2))</f>
        <v>0.14562189523398053</v>
      </c>
      <c r="AB116" s="36">
        <f>8.1*((AA116/MPM!$AE117)^(1/6))</f>
        <v>11.753540252227989</v>
      </c>
      <c r="AC116" s="43">
        <f t="shared" si="49"/>
        <v>1.0806177997506523E-3</v>
      </c>
      <c r="AD116" s="38">
        <f>(MPM!$Q117^2)/(9.81*MPM!$F117*(AB116^2))</f>
        <v>0.14562504248322578</v>
      </c>
      <c r="AE116" s="36">
        <f>8.1*((AD116/MPM!$AE117)^(1/6))</f>
        <v>11.753582589024846</v>
      </c>
      <c r="AF116" s="43">
        <f t="shared" si="50"/>
        <v>3.6020333831783742E-4</v>
      </c>
      <c r="AG116" s="38">
        <f>(MPM!$Q117^2)/(9.81*MPM!$F117*(AE116^2))</f>
        <v>0.14562399339258633</v>
      </c>
      <c r="AH116" s="36">
        <f>8.1*((AG116/MPM!$AE117)^(1/6))</f>
        <v>11.753568476742284</v>
      </c>
      <c r="AI116" s="43">
        <f t="shared" si="51"/>
        <v>1.2006806775338479E-4</v>
      </c>
      <c r="AJ116" s="38">
        <f>(MPM!$Q117^2)/(9.81*MPM!$F117*(AH116^2))</f>
        <v>0.14562434308862635</v>
      </c>
      <c r="AK116" s="36">
        <f>8.1*((AJ116/MPM!$AE117)^(1/6))</f>
        <v>11.753573180834588</v>
      </c>
      <c r="AL116" s="43">
        <f t="shared" si="52"/>
        <v>4.0022657202774336E-5</v>
      </c>
      <c r="AM116" s="38">
        <f>(MPM!$Q117^2)/(9.81*MPM!$F117*(AK116^2))</f>
        <v>0.14562422652318641</v>
      </c>
      <c r="AN116" s="36">
        <f>8.1*((AM116/MPM!$AE117)^(1/6))</f>
        <v>11.75357161280361</v>
      </c>
      <c r="AO116" s="43">
        <f t="shared" si="53"/>
        <v>1.3340889302462405E-5</v>
      </c>
      <c r="AP116" s="38">
        <f>(MPM!$Q117^2)/(9.81*MPM!$F117*(AN116^2))</f>
        <v>0.14562426537832271</v>
      </c>
      <c r="AQ116" s="36">
        <f>8.1*((AP116/MPM!$AE117)^(1/6))</f>
        <v>11.753572135480582</v>
      </c>
      <c r="AR116" s="43">
        <f t="shared" si="54"/>
        <v>4.4469627267437581E-6</v>
      </c>
      <c r="AS116" s="38">
        <f>(MPM!$Q117^2)/(9.81*MPM!$F117*(AQ116^2))</f>
        <v>0.1456242524266094</v>
      </c>
      <c r="AT116" s="36">
        <f>8.1*((AS116/MPM!$AE117)^(1/6))</f>
        <v>11.75357196125492</v>
      </c>
      <c r="AU116" s="43">
        <f t="shared" si="55"/>
        <v>1.4823209661517906E-6</v>
      </c>
      <c r="AV116" s="38">
        <f>(MPM!$Q117^2)/(9.81*MPM!$F117*(AT116^2))</f>
        <v>0.14562425674384707</v>
      </c>
      <c r="AW116" s="36">
        <f>8.1*((AV116/MPM!$AE117)^(1/6))</f>
        <v>11.753572019330141</v>
      </c>
      <c r="AX116" s="43">
        <f t="shared" si="56"/>
        <v>4.9410699131362508E-7</v>
      </c>
      <c r="AY116" s="38">
        <f>(MPM!$Q117^2)/(9.81*MPM!$F117*(AW116^2))</f>
        <v>0.1456242553047678</v>
      </c>
      <c r="AZ116" s="36">
        <f>8.1*((AY116/MPM!$AE117)^(1/6))</f>
        <v>11.753571999971733</v>
      </c>
      <c r="BA116" s="43">
        <f t="shared" si="57"/>
        <v>1.6470234078470099E-7</v>
      </c>
      <c r="BB116" s="38">
        <f>(MPM!$Q117^2)/(9.81*MPM!$F117*(AZ116^2))</f>
        <v>0.14562425578446092</v>
      </c>
      <c r="BC116" s="36">
        <f>8.1*((BB116/MPM!$AE117)^(1/6))</f>
        <v>11.753572006424536</v>
      </c>
      <c r="BD116" s="43">
        <f t="shared" si="58"/>
        <v>5.4900780231426043E-8</v>
      </c>
      <c r="BE116" s="38">
        <f>(MPM!$Q117^2)/(9.81*MPM!$F117*(BC116^2))</f>
        <v>0.14562425562456324</v>
      </c>
      <c r="BF116" s="36">
        <f>8.1*((BE116/MPM!$AE117)^(1/6))</f>
        <v>11.753572004273602</v>
      </c>
      <c r="BG116" s="43">
        <f t="shared" si="59"/>
        <v>1.8300255042712312E-8</v>
      </c>
      <c r="BH116" s="38">
        <f>(MPM!$Q117^2)/(9.81*MPM!$F117*(BF116^2))</f>
        <v>0.14562425567786244</v>
      </c>
      <c r="BI116" s="36">
        <f>8.1*((BH116/MPM!$AE117)^(1/6))</f>
        <v>11.753572004990579</v>
      </c>
      <c r="BJ116" s="43">
        <f t="shared" si="60"/>
        <v>6.100074938307936E-9</v>
      </c>
      <c r="BK116" s="38">
        <f>(MPM!$Q117^2)/(9.81*MPM!$F117*(BI116^2))</f>
        <v>0.1456242556600961</v>
      </c>
      <c r="BL116" s="36">
        <f>8.1*((BK116/MPM!$AE117)^(1/6))</f>
        <v>11.753572004751588</v>
      </c>
      <c r="BM116" s="43">
        <f t="shared" si="61"/>
        <v>2.0333482372532655E-9</v>
      </c>
      <c r="BN116" s="43">
        <f t="shared" si="62"/>
        <v>1.2200126875177151E-8</v>
      </c>
    </row>
    <row r="117" spans="1:66">
      <c r="A117" s="36">
        <f>MPM!B118</f>
        <v>113</v>
      </c>
      <c r="B117" s="41">
        <f>1/(MPM!AC118^0.5)</f>
        <v>11.572020079694125</v>
      </c>
      <c r="C117" s="38">
        <f>(MPM!$Q118^2)/(9.81*MPM!$F118*(Sheet1!B117^2))</f>
        <v>4.9979333023091974E-2</v>
      </c>
      <c r="D117" s="36">
        <f>8.1*((C117/MPM!$AE118)^(1/6))</f>
        <v>10.51894396831838</v>
      </c>
      <c r="E117" s="41">
        <f t="shared" si="41"/>
        <v>10.011234155704852</v>
      </c>
      <c r="F117" s="38">
        <f>(MPM!$Q118^2)/(9.81*MPM!$F118*(D117^2))</f>
        <v>6.0487346052114269E-2</v>
      </c>
      <c r="G117" s="36">
        <f>8.1*((F117/MPM!$AE118)^(1/6))</f>
        <v>10.858866336185844</v>
      </c>
      <c r="H117" s="43">
        <f t="shared" si="42"/>
        <v>3.1303669954451356</v>
      </c>
      <c r="I117" s="38">
        <f>(MPM!$Q118^2)/(9.81*MPM!$F118*(G117^2))</f>
        <v>5.6759666962821982E-2</v>
      </c>
      <c r="J117" s="36">
        <f>8.1*((I117/MPM!$AE118)^(1/6))</f>
        <v>10.744355566443433</v>
      </c>
      <c r="K117" s="43">
        <f t="shared" si="43"/>
        <v>1.0657760629222763</v>
      </c>
      <c r="L117" s="38">
        <f>(MPM!$Q118^2)/(9.81*MPM!$F118*(J117^2))</f>
        <v>5.7975976059787424E-2</v>
      </c>
      <c r="M117" s="36">
        <f>8.1*((L117/MPM!$AE118)^(1/6))</f>
        <v>10.782391017114392</v>
      </c>
      <c r="N117" s="43">
        <f t="shared" si="44"/>
        <v>0.35275525262056551</v>
      </c>
      <c r="O117" s="38">
        <f>(MPM!$Q118^2)/(9.81*MPM!$F118*(M117^2))</f>
        <v>5.7567670889580452E-2</v>
      </c>
      <c r="P117" s="36">
        <f>8.1*((O117/MPM!$AE118)^(1/6))</f>
        <v>10.769697596266969</v>
      </c>
      <c r="Q117" s="43">
        <f t="shared" si="45"/>
        <v>0.11786237017298459</v>
      </c>
      <c r="R117" s="38">
        <f>(MPM!$Q118^2)/(9.81*MPM!$F118*(P117^2))</f>
        <v>5.7703452102658655E-2</v>
      </c>
      <c r="S117" s="36">
        <f>8.1*((R117/MPM!$AE118)^(1/6))</f>
        <v>10.773927075329645</v>
      </c>
      <c r="T117" s="43">
        <f t="shared" si="46"/>
        <v>3.925661491027705E-2</v>
      </c>
      <c r="U117" s="38">
        <f>(MPM!$Q118^2)/(9.81*MPM!$F118*(S117^2))</f>
        <v>5.7658156151268972E-2</v>
      </c>
      <c r="V117" s="36">
        <f>8.1*((U117/MPM!$AE118)^(1/6))</f>
        <v>10.772517064451806</v>
      </c>
      <c r="W117" s="43">
        <f t="shared" si="47"/>
        <v>1.3088963975669859E-2</v>
      </c>
      <c r="X117" s="38">
        <f>(MPM!$Q118^2)/(9.81*MPM!$F118*(V117^2))</f>
        <v>5.7673250849649492E-2</v>
      </c>
      <c r="Y117" s="36">
        <f>8.1*((X117/MPM!$AE118)^(1/6))</f>
        <v>10.772987047573041</v>
      </c>
      <c r="Z117" s="43">
        <f t="shared" si="48"/>
        <v>4.3626073173530528E-3</v>
      </c>
      <c r="AA117" s="38">
        <f>(MPM!$Q118^2)/(9.81*MPM!$F118*(Y117^2))</f>
        <v>5.7668218844491755E-2</v>
      </c>
      <c r="AB117" s="36">
        <f>8.1*((AA117/MPM!$AE118)^(1/6))</f>
        <v>10.772830384254407</v>
      </c>
      <c r="AC117" s="43">
        <f t="shared" si="49"/>
        <v>1.4542447346360006E-3</v>
      </c>
      <c r="AD117" s="38">
        <f>(MPM!$Q118^2)/(9.81*MPM!$F118*(AB117^2))</f>
        <v>5.7669896130759797E-2</v>
      </c>
      <c r="AE117" s="36">
        <f>8.1*((AD117/MPM!$AE118)^(1/6))</f>
        <v>10.77288260510748</v>
      </c>
      <c r="AF117" s="43">
        <f t="shared" si="50"/>
        <v>4.847435453174218E-4</v>
      </c>
      <c r="AG117" s="38">
        <f>(MPM!$Q118^2)/(9.81*MPM!$F118*(AE117^2))</f>
        <v>5.766933702991673E-2</v>
      </c>
      <c r="AH117" s="36">
        <f>8.1*((AG117/MPM!$AE118)^(1/6))</f>
        <v>10.772865198128329</v>
      </c>
      <c r="AI117" s="43">
        <f t="shared" si="51"/>
        <v>1.6158170394223715E-4</v>
      </c>
      <c r="AJ117" s="38">
        <f>(MPM!$Q118^2)/(9.81*MPM!$F118*(AH117^2))</f>
        <v>5.7669523396262155E-2</v>
      </c>
      <c r="AK117" s="36">
        <f>8.1*((AJ117/MPM!$AE118)^(1/6))</f>
        <v>10.772871000451588</v>
      </c>
      <c r="AL117" s="43">
        <f t="shared" si="52"/>
        <v>5.3860509961225553E-5</v>
      </c>
      <c r="AM117" s="38">
        <f>(MPM!$Q118^2)/(9.81*MPM!$F118*(AK117^2))</f>
        <v>5.766946127408009E-2</v>
      </c>
      <c r="AN117" s="36">
        <f>8.1*((AM117/MPM!$AE118)^(1/6))</f>
        <v>10.772869066343487</v>
      </c>
      <c r="AO117" s="43">
        <f t="shared" si="53"/>
        <v>1.7953509770073683E-5</v>
      </c>
      <c r="AP117" s="38">
        <f>(MPM!$Q118^2)/(9.81*MPM!$F118*(AN117^2))</f>
        <v>5.766948198146668E-2</v>
      </c>
      <c r="AQ117" s="36">
        <f>8.1*((AP117/MPM!$AE118)^(1/6))</f>
        <v>10.772869711046148</v>
      </c>
      <c r="AR117" s="43">
        <f t="shared" si="54"/>
        <v>5.9845025357867314E-6</v>
      </c>
      <c r="AS117" s="38">
        <f>(MPM!$Q118^2)/(9.81*MPM!$F118*(AQ117^2))</f>
        <v>5.7669475079003663E-2</v>
      </c>
      <c r="AT117" s="36">
        <f>8.1*((AS117/MPM!$AE118)^(1/6))</f>
        <v>10.772869496145258</v>
      </c>
      <c r="AU117" s="43">
        <f t="shared" si="55"/>
        <v>1.9948342458711636E-6</v>
      </c>
      <c r="AV117" s="38">
        <f>(MPM!$Q118^2)/(9.81*MPM!$F118*(AT117^2))</f>
        <v>5.7669477379824557E-2</v>
      </c>
      <c r="AW117" s="36">
        <f>8.1*((AV117/MPM!$AE118)^(1/6))</f>
        <v>10.772869567778885</v>
      </c>
      <c r="AX117" s="43">
        <f t="shared" si="56"/>
        <v>6.6494471672025518E-7</v>
      </c>
      <c r="AY117" s="38">
        <f>(MPM!$Q118^2)/(9.81*MPM!$F118*(AW117^2))</f>
        <v>5.7669476612884275E-2</v>
      </c>
      <c r="AZ117" s="36">
        <f>8.1*((AY117/MPM!$AE118)^(1/6))</f>
        <v>10.772869543901011</v>
      </c>
      <c r="BA117" s="43">
        <f t="shared" si="57"/>
        <v>2.2164822290886051E-7</v>
      </c>
      <c r="BB117" s="38">
        <f>(MPM!$Q118^2)/(9.81*MPM!$F118*(AZ117^2))</f>
        <v>5.7669476868531022E-2</v>
      </c>
      <c r="BC117" s="36">
        <f>8.1*((BB117/MPM!$AE118)^(1/6))</f>
        <v>10.772869551860301</v>
      </c>
      <c r="BD117" s="43">
        <f t="shared" si="58"/>
        <v>7.3882729922253176E-8</v>
      </c>
      <c r="BE117" s="38">
        <f>(MPM!$Q118^2)/(9.81*MPM!$F118*(BC117^2))</f>
        <v>5.7669476783315451E-2</v>
      </c>
      <c r="BF117" s="36">
        <f>8.1*((BE117/MPM!$AE118)^(1/6))</f>
        <v>10.772869549207204</v>
      </c>
      <c r="BG117" s="43">
        <f t="shared" si="59"/>
        <v>2.4627582143206441E-8</v>
      </c>
      <c r="BH117" s="38">
        <f>(MPM!$Q118^2)/(9.81*MPM!$F118*(BF117^2))</f>
        <v>5.7669476811720646E-2</v>
      </c>
      <c r="BI117" s="36">
        <f>8.1*((BH117/MPM!$AE118)^(1/6))</f>
        <v>10.772869550091572</v>
      </c>
      <c r="BJ117" s="43">
        <f t="shared" si="60"/>
        <v>8.2092160326223791E-9</v>
      </c>
      <c r="BK117" s="38">
        <f>(MPM!$Q118^2)/(9.81*MPM!$F118*(BI117^2))</f>
        <v>5.766947680225222E-2</v>
      </c>
      <c r="BL117" s="36">
        <f>8.1*((BK117/MPM!$AE118)^(1/6))</f>
        <v>10.772869549796782</v>
      </c>
      <c r="BM117" s="43">
        <f t="shared" si="61"/>
        <v>2.7364108406725414E-9</v>
      </c>
      <c r="BN117" s="43">
        <f t="shared" si="62"/>
        <v>1.6418435831627669E-8</v>
      </c>
    </row>
    <row r="118" spans="1:66">
      <c r="A118" s="36">
        <f>MPM!B119</f>
        <v>114</v>
      </c>
      <c r="B118" s="41">
        <f>1/(MPM!AC119^0.5)</f>
        <v>11.477498492096991</v>
      </c>
      <c r="C118" s="38">
        <f>(MPM!$Q119^2)/(9.81*MPM!$F119*(Sheet1!B118^2))</f>
        <v>5.2506153933733354E-2</v>
      </c>
      <c r="D118" s="36">
        <f>8.1*((C118/MPM!$AE119)^(1/6))</f>
        <v>10.60576745180337</v>
      </c>
      <c r="E118" s="41">
        <f t="shared" si="41"/>
        <v>8.2194055664061825</v>
      </c>
      <c r="F118" s="38">
        <f>(MPM!$Q119^2)/(9.81*MPM!$F119*(D118^2))</f>
        <v>6.1492265783427015E-2</v>
      </c>
      <c r="G118" s="36">
        <f>8.1*((F118/MPM!$AE119)^(1/6))</f>
        <v>10.888727975936265</v>
      </c>
      <c r="H118" s="43">
        <f t="shared" si="42"/>
        <v>2.5986554605664507</v>
      </c>
      <c r="I118" s="38">
        <f>(MPM!$Q119^2)/(9.81*MPM!$F119*(G118^2))</f>
        <v>5.8337847328035347E-2</v>
      </c>
      <c r="J118" s="36">
        <f>8.1*((I118/MPM!$AE119)^(1/6))</f>
        <v>10.793578778835085</v>
      </c>
      <c r="K118" s="43">
        <f t="shared" si="43"/>
        <v>0.88153520765286164</v>
      </c>
      <c r="L118" s="38">
        <f>(MPM!$Q119^2)/(9.81*MPM!$F119*(J118^2))</f>
        <v>5.9370918114533579E-2</v>
      </c>
      <c r="M118" s="36">
        <f>8.1*((L118/MPM!$AE119)^(1/6))</f>
        <v>10.82520243455399</v>
      </c>
      <c r="N118" s="43">
        <f t="shared" si="44"/>
        <v>0.2921299246835527</v>
      </c>
      <c r="O118" s="38">
        <f>(MPM!$Q119^2)/(9.81*MPM!$F119*(M118^2))</f>
        <v>5.902454434856904E-2</v>
      </c>
      <c r="P118" s="36">
        <f>8.1*((O118/MPM!$AE119)^(1/6))</f>
        <v>10.814650934604874</v>
      </c>
      <c r="Q118" s="43">
        <f t="shared" si="45"/>
        <v>9.7566717713962137E-2</v>
      </c>
      <c r="R118" s="38">
        <f>(MPM!$Q119^2)/(9.81*MPM!$F119*(P118^2))</f>
        <v>5.9139777156726497E-2</v>
      </c>
      <c r="S118" s="36">
        <f>8.1*((R118/MPM!$AE119)^(1/6))</f>
        <v>10.818166958012839</v>
      </c>
      <c r="T118" s="43">
        <f t="shared" si="46"/>
        <v>3.25011013567367E-2</v>
      </c>
      <c r="U118" s="38">
        <f>(MPM!$Q119^2)/(9.81*MPM!$F119*(S118^2))</f>
        <v>5.9101341245957111E-2</v>
      </c>
      <c r="V118" s="36">
        <f>8.1*((U118/MPM!$AE119)^(1/6))</f>
        <v>10.81699482321544</v>
      </c>
      <c r="W118" s="43">
        <f t="shared" si="47"/>
        <v>1.0836048427081532E-2</v>
      </c>
      <c r="X118" s="38">
        <f>(MPM!$Q119^2)/(9.81*MPM!$F119*(V118^2))</f>
        <v>5.9114150439841667E-2</v>
      </c>
      <c r="Y118" s="36">
        <f>8.1*((X118/MPM!$AE119)^(1/6))</f>
        <v>10.817385520702855</v>
      </c>
      <c r="Z118" s="43">
        <f t="shared" si="48"/>
        <v>3.6117552311239133E-3</v>
      </c>
      <c r="AA118" s="38">
        <f>(MPM!$Q119^2)/(9.81*MPM!$F119*(Y118^2))</f>
        <v>5.9109880400113078E-2</v>
      </c>
      <c r="AB118" s="36">
        <f>8.1*((AA118/MPM!$AE119)^(1/6))</f>
        <v>10.817255286639124</v>
      </c>
      <c r="AC118" s="43">
        <f t="shared" si="49"/>
        <v>1.2039473995907365E-3</v>
      </c>
      <c r="AD118" s="38">
        <f>(MPM!$Q119^2)/(9.81*MPM!$F119*(AB118^2))</f>
        <v>5.9111303712416935E-2</v>
      </c>
      <c r="AE118" s="36">
        <f>8.1*((AD118/MPM!$AE119)^(1/6))</f>
        <v>10.817298697819487</v>
      </c>
      <c r="AF118" s="43">
        <f t="shared" si="50"/>
        <v>4.0131257881592083E-4</v>
      </c>
      <c r="AG118" s="38">
        <f>(MPM!$Q119^2)/(9.81*MPM!$F119*(AE118^2))</f>
        <v>5.9110829271174337E-2</v>
      </c>
      <c r="AH118" s="36">
        <f>8.1*((AG118/MPM!$AE119)^(1/6))</f>
        <v>10.817284227406676</v>
      </c>
      <c r="AI118" s="43">
        <f t="shared" si="51"/>
        <v>1.3377121749694841E-4</v>
      </c>
      <c r="AJ118" s="38">
        <f>(MPM!$Q119^2)/(9.81*MPM!$F119*(AH118^2))</f>
        <v>5.9110987417832099E-2</v>
      </c>
      <c r="AK118" s="36">
        <f>8.1*((AJ118/MPM!$AE119)^(1/6))</f>
        <v>10.817289050875461</v>
      </c>
      <c r="AL118" s="43">
        <f t="shared" si="52"/>
        <v>4.4590366057428569E-5</v>
      </c>
      <c r="AM118" s="38">
        <f>(MPM!$Q119^2)/(9.81*MPM!$F119*(AK118^2))</f>
        <v>5.9110934702232505E-2</v>
      </c>
      <c r="AN118" s="36">
        <f>8.1*((AM118/MPM!$AE119)^(1/6))</f>
        <v>10.817287443052294</v>
      </c>
      <c r="AO118" s="43">
        <f t="shared" si="53"/>
        <v>1.486345976764974E-5</v>
      </c>
      <c r="AP118" s="38">
        <f>(MPM!$Q119^2)/(9.81*MPM!$F119*(AN118^2))</f>
        <v>5.9110952274093805E-2</v>
      </c>
      <c r="AQ118" s="36">
        <f>8.1*((AP118/MPM!$AE119)^(1/6))</f>
        <v>10.817287978993324</v>
      </c>
      <c r="AR118" s="43">
        <f t="shared" si="54"/>
        <v>4.9544861083729407E-6</v>
      </c>
      <c r="AS118" s="38">
        <f>(MPM!$Q119^2)/(9.81*MPM!$F119*(AQ118^2))</f>
        <v>5.9110946416806115E-2</v>
      </c>
      <c r="AT118" s="36">
        <f>8.1*((AS118/MPM!$AE119)^(1/6))</f>
        <v>10.81728780034631</v>
      </c>
      <c r="AU118" s="43">
        <f t="shared" si="55"/>
        <v>1.6514954295749423E-6</v>
      </c>
      <c r="AV118" s="38">
        <f>(MPM!$Q119^2)/(9.81*MPM!$F119*(AT118^2))</f>
        <v>5.9110948369235292E-2</v>
      </c>
      <c r="AW118" s="36">
        <f>8.1*((AV118/MPM!$AE119)^(1/6))</f>
        <v>10.817287859895314</v>
      </c>
      <c r="AX118" s="43">
        <f t="shared" si="56"/>
        <v>5.5049846802067429E-7</v>
      </c>
      <c r="AY118" s="38">
        <f>(MPM!$Q119^2)/(9.81*MPM!$F119*(AW118^2))</f>
        <v>5.9110947718425566E-2</v>
      </c>
      <c r="AZ118" s="36">
        <f>8.1*((AY118/MPM!$AE119)^(1/6))</f>
        <v>10.817287840045648</v>
      </c>
      <c r="BA118" s="43">
        <f t="shared" si="57"/>
        <v>1.8349947872930387E-7</v>
      </c>
      <c r="BB118" s="38">
        <f>(MPM!$Q119^2)/(9.81*MPM!$F119*(AZ118^2))</f>
        <v>5.9110947935362125E-2</v>
      </c>
      <c r="BC118" s="36">
        <f>8.1*((BB118/MPM!$AE119)^(1/6))</f>
        <v>10.817287846662202</v>
      </c>
      <c r="BD118" s="43">
        <f t="shared" si="58"/>
        <v>6.1166481924713073E-8</v>
      </c>
      <c r="BE118" s="38">
        <f>(MPM!$Q119^2)/(9.81*MPM!$F119*(BC118^2))</f>
        <v>5.9110947863049948E-2</v>
      </c>
      <c r="BF118" s="36">
        <f>8.1*((BE118/MPM!$AE119)^(1/6))</f>
        <v>10.817287844456684</v>
      </c>
      <c r="BG118" s="43">
        <f t="shared" si="59"/>
        <v>2.0388821838573984E-8</v>
      </c>
      <c r="BH118" s="38">
        <f>(MPM!$Q119^2)/(9.81*MPM!$F119*(BF118^2))</f>
        <v>5.9110947887153993E-2</v>
      </c>
      <c r="BI118" s="36">
        <f>8.1*((BH118/MPM!$AE119)^(1/6))</f>
        <v>10.817287845191856</v>
      </c>
      <c r="BJ118" s="43">
        <f t="shared" si="60"/>
        <v>6.7962684719086863E-9</v>
      </c>
      <c r="BK118" s="38">
        <f>(MPM!$Q119^2)/(9.81*MPM!$F119*(BI118^2))</f>
        <v>5.911094787911933E-2</v>
      </c>
      <c r="BL118" s="36">
        <f>8.1*((BK118/MPM!$AE119)^(1/6))</f>
        <v>10.817287844946801</v>
      </c>
      <c r="BM118" s="43">
        <f t="shared" si="61"/>
        <v>2.265406402558638E-9</v>
      </c>
      <c r="BN118" s="43">
        <f t="shared" si="62"/>
        <v>1.3592512894500131E-8</v>
      </c>
    </row>
    <row r="119" spans="1:66">
      <c r="A119" s="36">
        <f>MPM!B120</f>
        <v>115</v>
      </c>
      <c r="B119" s="41">
        <f>1/(MPM!AC120^0.5)</f>
        <v>10.953587173687959</v>
      </c>
      <c r="C119" s="38">
        <f>(MPM!$Q120^2)/(9.81*MPM!$F120*(Sheet1!B119^2))</f>
        <v>4.8692456062594584E-2</v>
      </c>
      <c r="D119" s="36">
        <f>8.1*((C119/MPM!$AE120)^(1/6))</f>
        <v>10.473311305433443</v>
      </c>
      <c r="E119" s="41">
        <f t="shared" si="41"/>
        <v>4.5857117605714066</v>
      </c>
      <c r="F119" s="38">
        <f>(MPM!$Q120^2)/(9.81*MPM!$F120*(D119^2))</f>
        <v>5.3260641590931947E-2</v>
      </c>
      <c r="G119" s="36">
        <f>8.1*((F119/MPM!$AE120)^(1/6))</f>
        <v>10.631016642158398</v>
      </c>
      <c r="H119" s="43">
        <f t="shared" si="42"/>
        <v>1.4834454881723973</v>
      </c>
      <c r="I119" s="38">
        <f>(MPM!$Q120^2)/(9.81*MPM!$F120*(G119^2))</f>
        <v>5.169217701442666E-2</v>
      </c>
      <c r="J119" s="36">
        <f>8.1*((I119/MPM!$AE120)^(1/6))</f>
        <v>10.57818609148085</v>
      </c>
      <c r="K119" s="43">
        <f t="shared" si="43"/>
        <v>0.4994292047867761</v>
      </c>
      <c r="L119" s="38">
        <f>(MPM!$Q120^2)/(9.81*MPM!$F120*(J119^2))</f>
        <v>5.2209798027171718E-2</v>
      </c>
      <c r="M119" s="36">
        <f>8.1*((L119/MPM!$AE120)^(1/6))</f>
        <v>10.595767039312875</v>
      </c>
      <c r="N119" s="43">
        <f t="shared" si="44"/>
        <v>0.16592425793050586</v>
      </c>
      <c r="O119" s="38">
        <f>(MPM!$Q120^2)/(9.81*MPM!$F120*(M119^2))</f>
        <v>5.203668432534523E-2</v>
      </c>
      <c r="P119" s="36">
        <f>8.1*((O119/MPM!$AE120)^(1/6))</f>
        <v>10.589903479149207</v>
      </c>
      <c r="Q119" s="43">
        <f t="shared" si="45"/>
        <v>5.5369344727390732E-2</v>
      </c>
      <c r="R119" s="38">
        <f>(MPM!$Q120^2)/(9.81*MPM!$F120*(P119^2))</f>
        <v>5.2094325020823937E-2</v>
      </c>
      <c r="S119" s="36">
        <f>8.1*((R119/MPM!$AE120)^(1/6))</f>
        <v>10.591857638579704</v>
      </c>
      <c r="T119" s="43">
        <f t="shared" si="46"/>
        <v>1.8449638365408159E-2</v>
      </c>
      <c r="U119" s="38">
        <f>(MPM!$Q120^2)/(9.81*MPM!$F120*(S119^2))</f>
        <v>5.2075104364907789E-2</v>
      </c>
      <c r="V119" s="36">
        <f>8.1*((U119/MPM!$AE120)^(1/6))</f>
        <v>10.591206212039282</v>
      </c>
      <c r="W119" s="43">
        <f t="shared" si="47"/>
        <v>6.1506359840445609E-3</v>
      </c>
      <c r="X119" s="38">
        <f>(MPM!$Q120^2)/(9.81*MPM!$F120*(V119^2))</f>
        <v>5.2081510462125183E-2</v>
      </c>
      <c r="Y119" s="36">
        <f>8.1*((X119/MPM!$AE120)^(1/6))</f>
        <v>10.591423349767702</v>
      </c>
      <c r="Z119" s="43">
        <f t="shared" si="48"/>
        <v>2.0501279313386738E-3</v>
      </c>
      <c r="AA119" s="38">
        <f>(MPM!$Q120^2)/(9.81*MPM!$F120*(Y119^2))</f>
        <v>5.2079375008829074E-2</v>
      </c>
      <c r="AB119" s="36">
        <f>8.1*((AA119/MPM!$AE120)^(1/6))</f>
        <v>10.591350970030266</v>
      </c>
      <c r="AC119" s="43">
        <f t="shared" si="49"/>
        <v>6.8338531732521298E-4</v>
      </c>
      <c r="AD119" s="38">
        <f>(MPM!$Q120^2)/(9.81*MPM!$F120*(AB119^2))</f>
        <v>5.2080086816865587E-2</v>
      </c>
      <c r="AE119" s="36">
        <f>8.1*((AD119/MPM!$AE120)^(1/6))</f>
        <v>10.591375096554451</v>
      </c>
      <c r="AF119" s="43">
        <f t="shared" si="50"/>
        <v>2.2779406795400532E-4</v>
      </c>
      <c r="AG119" s="38">
        <f>(MPM!$Q120^2)/(9.81*MPM!$F120*(AE119^2))</f>
        <v>5.2079849546439128E-2</v>
      </c>
      <c r="AH119" s="36">
        <f>8.1*((AG119/MPM!$AE120)^(1/6))</f>
        <v>10.591367054373617</v>
      </c>
      <c r="AI119" s="43">
        <f t="shared" si="51"/>
        <v>7.5931471290534731E-5</v>
      </c>
      <c r="AJ119" s="38">
        <f>(MPM!$Q120^2)/(9.81*MPM!$F120*(AH119^2))</f>
        <v>5.2079928636461173E-2</v>
      </c>
      <c r="AK119" s="36">
        <f>8.1*((AJ119/MPM!$AE120)^(1/6))</f>
        <v>10.591369735099883</v>
      </c>
      <c r="AL119" s="43">
        <f t="shared" si="52"/>
        <v>2.5310477622758685E-5</v>
      </c>
      <c r="AM119" s="38">
        <f>(MPM!$Q120^2)/(9.81*MPM!$F120*(AK119^2))</f>
        <v>5.2079902273107138E-2</v>
      </c>
      <c r="AN119" s="36">
        <f>8.1*((AM119/MPM!$AE120)^(1/6))</f>
        <v>10.591368841524385</v>
      </c>
      <c r="AO119" s="43">
        <f t="shared" si="53"/>
        <v>8.436827301647561E-6</v>
      </c>
      <c r="AP119" s="38">
        <f>(MPM!$Q120^2)/(9.81*MPM!$F120*(AN119^2))</f>
        <v>5.2079911060890334E-2</v>
      </c>
      <c r="AQ119" s="36">
        <f>8.1*((AP119/MPM!$AE120)^(1/6))</f>
        <v>10.591369139382877</v>
      </c>
      <c r="AR119" s="43">
        <f t="shared" si="54"/>
        <v>2.8122756154493704E-6</v>
      </c>
      <c r="AS119" s="38">
        <f>(MPM!$Q120^2)/(9.81*MPM!$F120*(AQ119^2))</f>
        <v>5.2079908131629098E-2</v>
      </c>
      <c r="AT119" s="36">
        <f>8.1*((AS119/MPM!$AE120)^(1/6))</f>
        <v>10.591369040096712</v>
      </c>
      <c r="AU119" s="43">
        <f t="shared" si="55"/>
        <v>9.3742522511861028E-7</v>
      </c>
      <c r="AV119" s="38">
        <f>(MPM!$Q120^2)/(9.81*MPM!$F120*(AT119^2))</f>
        <v>5.2079909108049494E-2</v>
      </c>
      <c r="AW119" s="36">
        <f>8.1*((AV119/MPM!$AE120)^(1/6))</f>
        <v>10.5913690731921</v>
      </c>
      <c r="AX119" s="43">
        <f t="shared" si="56"/>
        <v>3.1247506847255021E-7</v>
      </c>
      <c r="AY119" s="38">
        <f>(MPM!$Q120^2)/(9.81*MPM!$F120*(AW119^2))</f>
        <v>5.2079908782576033E-2</v>
      </c>
      <c r="AZ119" s="36">
        <f>8.1*((AY119/MPM!$AE120)^(1/6))</f>
        <v>10.591369062160304</v>
      </c>
      <c r="BA119" s="43">
        <f t="shared" si="57"/>
        <v>1.0415835626600636E-7</v>
      </c>
      <c r="BB119" s="38">
        <f>(MPM!$Q120^2)/(9.81*MPM!$F120*(AZ119^2))</f>
        <v>5.2079908891067186E-2</v>
      </c>
      <c r="BC119" s="36">
        <f>8.1*((BB119/MPM!$AE120)^(1/6))</f>
        <v>10.591369065837569</v>
      </c>
      <c r="BD119" s="43">
        <f t="shared" si="58"/>
        <v>3.4719446486034518E-8</v>
      </c>
      <c r="BE119" s="38">
        <f>(MPM!$Q120^2)/(9.81*MPM!$F120*(BC119^2))</f>
        <v>5.2079908854903476E-2</v>
      </c>
      <c r="BF119" s="36">
        <f>8.1*((BE119/MPM!$AE120)^(1/6))</f>
        <v>10.591369064611813</v>
      </c>
      <c r="BG119" s="43">
        <f t="shared" si="59"/>
        <v>1.1573154420597418E-8</v>
      </c>
      <c r="BH119" s="38">
        <f>(MPM!$Q120^2)/(9.81*MPM!$F120*(BF119^2))</f>
        <v>5.2079908866958055E-2</v>
      </c>
      <c r="BI119" s="36">
        <f>8.1*((BH119/MPM!$AE120)^(1/6))</f>
        <v>10.5913690650204</v>
      </c>
      <c r="BJ119" s="43">
        <f t="shared" si="60"/>
        <v>3.8577349117899165E-9</v>
      </c>
      <c r="BK119" s="38">
        <f>(MPM!$Q120^2)/(9.81*MPM!$F120*(BI119^2))</f>
        <v>5.2079908862939846E-2</v>
      </c>
      <c r="BL119" s="36">
        <f>8.1*((BK119/MPM!$AE120)^(1/6))</f>
        <v>10.591369064884205</v>
      </c>
      <c r="BM119" s="43">
        <f t="shared" si="61"/>
        <v>1.2859060466999751E-9</v>
      </c>
      <c r="BN119" s="43">
        <f t="shared" si="62"/>
        <v>7.7154692933871135E-9</v>
      </c>
    </row>
    <row r="120" spans="1:66">
      <c r="A120" s="36">
        <f>MPM!B121</f>
        <v>116</v>
      </c>
      <c r="B120" s="41">
        <f>1/(MPM!AC121^0.5)</f>
        <v>12.619045827666975</v>
      </c>
      <c r="C120" s="38">
        <f>(MPM!$Q121^2)/(9.81*MPM!$F121*(Sheet1!B120^2))</f>
        <v>0.1137894682786544</v>
      </c>
      <c r="D120" s="36">
        <f>8.1*((C120/MPM!$AE121)^(1/6))</f>
        <v>12.064909735660093</v>
      </c>
      <c r="E120" s="41">
        <f t="shared" si="41"/>
        <v>4.592956799080139</v>
      </c>
      <c r="F120" s="38">
        <f>(MPM!$Q121^2)/(9.81*MPM!$F121*(D120^2))</f>
        <v>0.12448211227116635</v>
      </c>
      <c r="G120" s="36">
        <f>8.1*((F120/MPM!$AE121)^(1/6))</f>
        <v>12.246863872403528</v>
      </c>
      <c r="H120" s="43">
        <f t="shared" si="42"/>
        <v>1.4857202516428862</v>
      </c>
      <c r="I120" s="38">
        <f>(MPM!$Q121^2)/(9.81*MPM!$F121*(G120^2))</f>
        <v>0.12081067810941463</v>
      </c>
      <c r="J120" s="36">
        <f>8.1*((I120/MPM!$AE121)^(1/6))</f>
        <v>12.185909619468138</v>
      </c>
      <c r="K120" s="43">
        <f t="shared" si="43"/>
        <v>0.50020273281865169</v>
      </c>
      <c r="L120" s="38">
        <f>(MPM!$Q121^2)/(9.81*MPM!$F121*(J120^2))</f>
        <v>0.12202229745297291</v>
      </c>
      <c r="M120" s="36">
        <f>8.1*((L120/MPM!$AE121)^(1/6))</f>
        <v>12.206193920404321</v>
      </c>
      <c r="N120" s="43">
        <f t="shared" si="44"/>
        <v>0.16618039225376266</v>
      </c>
      <c r="O120" s="38">
        <f>(MPM!$Q121^2)/(9.81*MPM!$F121*(M120^2))</f>
        <v>0.12161708016371837</v>
      </c>
      <c r="P120" s="36">
        <f>8.1*((O120/MPM!$AE121)^(1/6))</f>
        <v>12.199428737904938</v>
      </c>
      <c r="Q120" s="43">
        <f t="shared" si="45"/>
        <v>5.5454912231769141E-2</v>
      </c>
      <c r="R120" s="38">
        <f>(MPM!$Q121^2)/(9.81*MPM!$F121*(P120^2))</f>
        <v>0.12175200285410526</v>
      </c>
      <c r="S120" s="36">
        <f>8.1*((R120/MPM!$AE121)^(1/6))</f>
        <v>12.201683382019105</v>
      </c>
      <c r="T120" s="43">
        <f t="shared" si="46"/>
        <v>1.8478139807246823E-2</v>
      </c>
      <c r="U120" s="38">
        <f>(MPM!$Q121^2)/(9.81*MPM!$F121*(S120^2))</f>
        <v>0.12170701200061473</v>
      </c>
      <c r="V120" s="36">
        <f>8.1*((U120/MPM!$AE121)^(1/6))</f>
        <v>12.200931787685597</v>
      </c>
      <c r="W120" s="43">
        <f t="shared" si="47"/>
        <v>6.1601388040419527E-3</v>
      </c>
      <c r="X120" s="38">
        <f>(MPM!$Q121^2)/(9.81*MPM!$F121*(V120^2))</f>
        <v>0.12172200710420708</v>
      </c>
      <c r="Y120" s="36">
        <f>8.1*((X120/MPM!$AE121)^(1/6))</f>
        <v>12.201182313985914</v>
      </c>
      <c r="Z120" s="43">
        <f t="shared" si="48"/>
        <v>2.0532952780268716E-3</v>
      </c>
      <c r="AA120" s="38">
        <f>(MPM!$Q121^2)/(9.81*MPM!$F121*(Y120^2))</f>
        <v>0.12171700853107698</v>
      </c>
      <c r="AB120" s="36">
        <f>8.1*((AA120/MPM!$AE121)^(1/6))</f>
        <v>12.201098804647577</v>
      </c>
      <c r="AC120" s="43">
        <f t="shared" si="49"/>
        <v>6.8444112840956373E-4</v>
      </c>
      <c r="AD120" s="38">
        <f>(MPM!$Q121^2)/(9.81*MPM!$F121*(AB120^2))</f>
        <v>0.12171867469931222</v>
      </c>
      <c r="AE120" s="36">
        <f>8.1*((AD120/MPM!$AE121)^(1/6))</f>
        <v>12.20112664103018</v>
      </c>
      <c r="AF120" s="43">
        <f t="shared" si="50"/>
        <v>2.2814600177813087E-4</v>
      </c>
      <c r="AG120" s="38">
        <f>(MPM!$Q121^2)/(9.81*MPM!$F121*(AE120^2))</f>
        <v>0.12171811930736628</v>
      </c>
      <c r="AH120" s="36">
        <f>8.1*((AG120/MPM!$AE121)^(1/6))</f>
        <v>12.201117362228924</v>
      </c>
      <c r="AI120" s="43">
        <f t="shared" si="51"/>
        <v>7.6048782916832914E-5</v>
      </c>
      <c r="AJ120" s="38">
        <f>(MPM!$Q121^2)/(9.81*MPM!$F121*(AH120^2))</f>
        <v>0.12171830443773334</v>
      </c>
      <c r="AK120" s="36">
        <f>8.1*((AJ120/MPM!$AE121)^(1/6))</f>
        <v>12.20112045516189</v>
      </c>
      <c r="AL120" s="43">
        <f t="shared" si="52"/>
        <v>2.5349581434826478E-5</v>
      </c>
      <c r="AM120" s="38">
        <f>(MPM!$Q121^2)/(9.81*MPM!$F121*(AK120^2))</f>
        <v>0.12171824272757975</v>
      </c>
      <c r="AN120" s="36">
        <f>8.1*((AM120/MPM!$AE121)^(1/6))</f>
        <v>12.201119424184148</v>
      </c>
      <c r="AO120" s="43">
        <f t="shared" si="53"/>
        <v>8.4498619056663722E-6</v>
      </c>
      <c r="AP120" s="38">
        <f>(MPM!$Q121^2)/(9.81*MPM!$F121*(AN120^2))</f>
        <v>0.12171826329762746</v>
      </c>
      <c r="AQ120" s="36">
        <f>8.1*((AP120/MPM!$AE121)^(1/6))</f>
        <v>12.201119767843387</v>
      </c>
      <c r="AR120" s="43">
        <f t="shared" si="54"/>
        <v>2.8166204927997588E-6</v>
      </c>
      <c r="AS120" s="38">
        <f>(MPM!$Q121^2)/(9.81*MPM!$F121*(AQ120^2))</f>
        <v>0.12171825644094446</v>
      </c>
      <c r="AT120" s="36">
        <f>8.1*((AS120/MPM!$AE121)^(1/6))</f>
        <v>12.201119653290306</v>
      </c>
      <c r="AU120" s="43">
        <f t="shared" si="55"/>
        <v>9.3887352097372006E-7</v>
      </c>
      <c r="AV120" s="38">
        <f>(MPM!$Q121^2)/(9.81*MPM!$F121*(AT120^2))</f>
        <v>0.12171825872650543</v>
      </c>
      <c r="AW120" s="36">
        <f>8.1*((AV120/MPM!$AE121)^(1/6))</f>
        <v>12.201119691474664</v>
      </c>
      <c r="AX120" s="43">
        <f t="shared" si="56"/>
        <v>3.1295782478618153E-7</v>
      </c>
      <c r="AY120" s="38">
        <f>(MPM!$Q121^2)/(9.81*MPM!$F121*(AW120^2))</f>
        <v>0.12171825796465183</v>
      </c>
      <c r="AZ120" s="36">
        <f>8.1*((AY120/MPM!$AE121)^(1/6))</f>
        <v>12.201119678746547</v>
      </c>
      <c r="BA120" s="43">
        <f t="shared" si="57"/>
        <v>1.043192556255979E-7</v>
      </c>
      <c r="BB120" s="38">
        <f>(MPM!$Q121^2)/(9.81*MPM!$F121*(AZ120^2))</f>
        <v>0.12171825821860296</v>
      </c>
      <c r="BC120" s="36">
        <f>8.1*((BB120/MPM!$AE121)^(1/6))</f>
        <v>12.201119682989253</v>
      </c>
      <c r="BD120" s="43">
        <f t="shared" si="58"/>
        <v>3.4773085196440957E-8</v>
      </c>
      <c r="BE120" s="38">
        <f>(MPM!$Q121^2)/(9.81*MPM!$F121*(BC120^2))</f>
        <v>0.12171825813395258</v>
      </c>
      <c r="BF120" s="36">
        <f>8.1*((BE120/MPM!$AE121)^(1/6))</f>
        <v>12.201119681575017</v>
      </c>
      <c r="BG120" s="43">
        <f t="shared" si="59"/>
        <v>1.1591033253145765E-8</v>
      </c>
      <c r="BH120" s="38">
        <f>(MPM!$Q121^2)/(9.81*MPM!$F121*(BF120^2))</f>
        <v>0.1217182581621694</v>
      </c>
      <c r="BI120" s="36">
        <f>8.1*((BH120/MPM!$AE121)^(1/6))</f>
        <v>12.20111968204643</v>
      </c>
      <c r="BJ120" s="43">
        <f t="shared" si="60"/>
        <v>3.8636874568764951E-9</v>
      </c>
      <c r="BK120" s="38">
        <f>(MPM!$Q121^2)/(9.81*MPM!$F121*(BI120^2))</f>
        <v>0.12171825815276377</v>
      </c>
      <c r="BL120" s="36">
        <f>8.1*((BK120/MPM!$AE121)^(1/6))</f>
        <v>12.20111968188929</v>
      </c>
      <c r="BM120" s="43">
        <f t="shared" si="61"/>
        <v>1.2879152309297937E-9</v>
      </c>
      <c r="BN120" s="43">
        <f t="shared" si="62"/>
        <v>7.7273773024078217E-9</v>
      </c>
    </row>
    <row r="121" spans="1:66">
      <c r="A121" s="36">
        <f>MPM!B122</f>
        <v>117</v>
      </c>
      <c r="B121" s="41">
        <f>1/(MPM!AC122^0.5)</f>
        <v>11.549668367100457</v>
      </c>
      <c r="C121" s="38">
        <f>(MPM!$Q122^2)/(9.81*MPM!$F122*(Sheet1!B121^2))</f>
        <v>9.9560110495399937E-2</v>
      </c>
      <c r="D121" s="36">
        <f>8.1*((C121/MPM!$AE122)^(1/6))</f>
        <v>11.799256096877706</v>
      </c>
      <c r="E121" s="41">
        <f t="shared" si="41"/>
        <v>2.1152836054070714</v>
      </c>
      <c r="F121" s="38">
        <f>(MPM!$Q122^2)/(9.81*MPM!$F122*(D121^2))</f>
        <v>9.5392700527796442E-2</v>
      </c>
      <c r="G121" s="36">
        <f>8.1*((F121/MPM!$AE122)^(1/6))</f>
        <v>11.715466584802183</v>
      </c>
      <c r="H121" s="43">
        <f t="shared" si="42"/>
        <v>0.71520422570466113</v>
      </c>
      <c r="I121" s="38">
        <f>(MPM!$Q122^2)/(9.81*MPM!$F122*(G121^2))</f>
        <v>9.676208527777895E-2</v>
      </c>
      <c r="J121" s="36">
        <f>8.1*((I121/MPM!$AE122)^(1/6))</f>
        <v>11.743330100346599</v>
      </c>
      <c r="K121" s="43">
        <f t="shared" si="43"/>
        <v>0.23727098962834775</v>
      </c>
      <c r="L121" s="38">
        <f>(MPM!$Q122^2)/(9.81*MPM!$F122*(J121^2))</f>
        <v>9.6303453309699208E-2</v>
      </c>
      <c r="M121" s="36">
        <f>8.1*((L121/MPM!$AE122)^(1/6))</f>
        <v>11.734034906351324</v>
      </c>
      <c r="N121" s="43">
        <f t="shared" si="44"/>
        <v>7.9215666814179519E-2</v>
      </c>
      <c r="O121" s="38">
        <f>(MPM!$Q122^2)/(9.81*MPM!$F122*(M121^2))</f>
        <v>9.6456088586698532E-2</v>
      </c>
      <c r="P121" s="36">
        <f>8.1*((O121/MPM!$AE122)^(1/6))</f>
        <v>11.737132486570735</v>
      </c>
      <c r="Q121" s="43">
        <f t="shared" si="45"/>
        <v>2.6391286142120326E-2</v>
      </c>
      <c r="R121" s="38">
        <f>(MPM!$Q122^2)/(9.81*MPM!$F122*(P121^2))</f>
        <v>9.6405183300184105E-2</v>
      </c>
      <c r="S121" s="36">
        <f>8.1*((R121/MPM!$AE122)^(1/6))</f>
        <v>11.736099868985248</v>
      </c>
      <c r="T121" s="43">
        <f t="shared" si="46"/>
        <v>8.7986434762368903E-3</v>
      </c>
      <c r="U121" s="38">
        <f>(MPM!$Q122^2)/(9.81*MPM!$F122*(S121^2))</f>
        <v>9.6422148743258093E-2</v>
      </c>
      <c r="V121" s="36">
        <f>8.1*((U121/MPM!$AE122)^(1/6))</f>
        <v>11.736444064752421</v>
      </c>
      <c r="W121" s="43">
        <f t="shared" si="47"/>
        <v>2.9327091346770862E-3</v>
      </c>
      <c r="X121" s="38">
        <f>(MPM!$Q122^2)/(9.81*MPM!$F122*(V121^2))</f>
        <v>9.6416493263860606E-2</v>
      </c>
      <c r="Y121" s="36">
        <f>8.1*((X121/MPM!$AE122)^(1/6))</f>
        <v>11.736329331708429</v>
      </c>
      <c r="Z121" s="43">
        <f t="shared" si="48"/>
        <v>9.7758882482701891E-4</v>
      </c>
      <c r="AA121" s="38">
        <f>(MPM!$Q122^2)/(9.81*MPM!$F122*(Y121^2))</f>
        <v>9.6418378386801798E-2</v>
      </c>
      <c r="AB121" s="36">
        <f>8.1*((AA121/MPM!$AE122)^(1/6))</f>
        <v>11.736367575931801</v>
      </c>
      <c r="AC121" s="43">
        <f t="shared" si="49"/>
        <v>3.2586081787863843E-4</v>
      </c>
      <c r="AD121" s="38">
        <f>(MPM!$Q122^2)/(9.81*MPM!$F122*(AB121^2))</f>
        <v>9.6417750008392825E-2</v>
      </c>
      <c r="AE121" s="36">
        <f>8.1*((AD121/MPM!$AE122)^(1/6))</f>
        <v>11.736354827843497</v>
      </c>
      <c r="AF121" s="43">
        <f t="shared" si="50"/>
        <v>1.0862050859138462E-4</v>
      </c>
      <c r="AG121" s="38">
        <f>(MPM!$Q122^2)/(9.81*MPM!$F122*(AE121^2))</f>
        <v>9.6417959467407457E-2</v>
      </c>
      <c r="AH121" s="36">
        <f>8.1*((AG121/MPM!$AE122)^(1/6))</f>
        <v>11.736359077204726</v>
      </c>
      <c r="AI121" s="43">
        <f t="shared" si="51"/>
        <v>3.6206809975398105E-5</v>
      </c>
      <c r="AJ121" s="38">
        <f>(MPM!$Q122^2)/(9.81*MPM!$F122*(AH121^2))</f>
        <v>9.641788964768537E-2</v>
      </c>
      <c r="AK121" s="36">
        <f>8.1*((AJ121/MPM!$AE122)^(1/6))</f>
        <v>11.736357660750812</v>
      </c>
      <c r="AL121" s="43">
        <f t="shared" si="52"/>
        <v>1.2068939573112223E-5</v>
      </c>
      <c r="AM121" s="38">
        <f>(MPM!$Q122^2)/(9.81*MPM!$F122*(AK121^2))</f>
        <v>9.6417912920920459E-2</v>
      </c>
      <c r="AN121" s="36">
        <f>8.1*((AM121/MPM!$AE122)^(1/6))</f>
        <v>11.736358132902099</v>
      </c>
      <c r="AO121" s="43">
        <f t="shared" si="53"/>
        <v>4.0229795445053871E-6</v>
      </c>
      <c r="AP121" s="38">
        <f>(MPM!$Q122^2)/(9.81*MPM!$F122*(AN121^2))</f>
        <v>9.6417905163174777E-2</v>
      </c>
      <c r="AQ121" s="36">
        <f>8.1*((AP121/MPM!$AE122)^(1/6))</f>
        <v>11.736357975518334</v>
      </c>
      <c r="AR121" s="43">
        <f t="shared" si="54"/>
        <v>1.3409932196650943E-6</v>
      </c>
      <c r="AS121" s="38">
        <f>(MPM!$Q122^2)/(9.81*MPM!$F122*(AQ121^2))</f>
        <v>9.641790774908994E-2</v>
      </c>
      <c r="AT121" s="36">
        <f>8.1*((AS121/MPM!$AE122)^(1/6))</f>
        <v>11.736358027979589</v>
      </c>
      <c r="AU121" s="43">
        <f t="shared" si="55"/>
        <v>4.4699773789029501E-7</v>
      </c>
      <c r="AV121" s="38">
        <f>(MPM!$Q122^2)/(9.81*MPM!$F122*(AT121^2))</f>
        <v>9.641790688711821E-2</v>
      </c>
      <c r="AW121" s="36">
        <f>8.1*((AV121/MPM!$AE122)^(1/6))</f>
        <v>11.736358010492504</v>
      </c>
      <c r="AX121" s="43">
        <f t="shared" si="56"/>
        <v>1.4899925123060716E-7</v>
      </c>
      <c r="AY121" s="38">
        <f>(MPM!$Q122^2)/(9.81*MPM!$F122*(AW121^2))</f>
        <v>9.6417907174442125E-2</v>
      </c>
      <c r="AZ121" s="36">
        <f>8.1*((AY121/MPM!$AE122)^(1/6))</f>
        <v>11.736358016321532</v>
      </c>
      <c r="BA121" s="43">
        <f t="shared" si="57"/>
        <v>4.9666412007033803E-8</v>
      </c>
      <c r="BB121" s="38">
        <f>(MPM!$Q122^2)/(9.81*MPM!$F122*(AZ121^2))</f>
        <v>9.6417907078667486E-2</v>
      </c>
      <c r="BC121" s="36">
        <f>8.1*((BB121/MPM!$AE122)^(1/6))</f>
        <v>11.736358014378522</v>
      </c>
      <c r="BD121" s="43">
        <f t="shared" si="58"/>
        <v>1.6555470671752104E-8</v>
      </c>
      <c r="BE121" s="38">
        <f>(MPM!$Q122^2)/(9.81*MPM!$F122*(BC121^2))</f>
        <v>9.641790711059238E-2</v>
      </c>
      <c r="BF121" s="36">
        <f>8.1*((BE121/MPM!$AE122)^(1/6))</f>
        <v>11.736358015026193</v>
      </c>
      <c r="BG121" s="43">
        <f t="shared" si="59"/>
        <v>5.5184952687805535E-9</v>
      </c>
      <c r="BH121" s="38">
        <f>(MPM!$Q122^2)/(9.81*MPM!$F122*(BF121^2))</f>
        <v>9.6417907099950725E-2</v>
      </c>
      <c r="BI121" s="36">
        <f>8.1*((BH121/MPM!$AE122)^(1/6))</f>
        <v>11.736358014810301</v>
      </c>
      <c r="BJ121" s="43">
        <f t="shared" si="60"/>
        <v>1.8395085132961356E-9</v>
      </c>
      <c r="BK121" s="38">
        <f>(MPM!$Q122^2)/(9.81*MPM!$F122*(BI121^2))</f>
        <v>9.6417907103497957E-2</v>
      </c>
      <c r="BL121" s="36">
        <f>8.1*((BK121/MPM!$AE122)^(1/6))</f>
        <v>11.736358014882265</v>
      </c>
      <c r="BM121" s="43">
        <f t="shared" si="61"/>
        <v>6.1316950442828547E-10</v>
      </c>
      <c r="BN121" s="43">
        <f t="shared" si="62"/>
        <v>3.6790177874413991E-9</v>
      </c>
    </row>
    <row r="122" spans="1:66">
      <c r="A122" s="36">
        <f>MPM!B123</f>
        <v>118</v>
      </c>
      <c r="B122" s="41">
        <f>1/(MPM!AC123^0.5)</f>
        <v>12.241244738817645</v>
      </c>
      <c r="C122" s="38">
        <f>(MPM!$Q123^2)/(9.81*MPM!$F123*(Sheet1!B122^2))</f>
        <v>0.1029242809303625</v>
      </c>
      <c r="D122" s="36">
        <f>8.1*((C122/MPM!$AE123)^(1/6))</f>
        <v>11.864789547822244</v>
      </c>
      <c r="E122" s="41">
        <f t="shared" si="41"/>
        <v>3.1728771039558668</v>
      </c>
      <c r="F122" s="38">
        <f>(MPM!$Q123^2)/(9.81*MPM!$F123*(D122^2))</f>
        <v>0.1095592182268505</v>
      </c>
      <c r="G122" s="36">
        <f>8.1*((F122/MPM!$AE123)^(1/6))</f>
        <v>11.988970359613042</v>
      </c>
      <c r="H122" s="43">
        <f t="shared" si="42"/>
        <v>1.0357921328183624</v>
      </c>
      <c r="I122" s="38">
        <f>(MPM!$Q123^2)/(9.81*MPM!$F123*(G122^2))</f>
        <v>0.10730136092932616</v>
      </c>
      <c r="J122" s="36">
        <f>8.1*((I122/MPM!$AE123)^(1/6))</f>
        <v>11.947433010326344</v>
      </c>
      <c r="K122" s="43">
        <f t="shared" si="43"/>
        <v>0.3476675638256011</v>
      </c>
      <c r="L122" s="38">
        <f>(MPM!$Q123^2)/(9.81*MPM!$F123*(J122^2))</f>
        <v>0.10804876196521135</v>
      </c>
      <c r="M122" s="36">
        <f>8.1*((L122/MPM!$AE123)^(1/6))</f>
        <v>11.961262778576845</v>
      </c>
      <c r="N122" s="43">
        <f t="shared" si="44"/>
        <v>0.11562130609880583</v>
      </c>
      <c r="O122" s="38">
        <f>(MPM!$Q123^2)/(9.81*MPM!$F123*(M122^2))</f>
        <v>0.10779905162827561</v>
      </c>
      <c r="P122" s="36">
        <f>8.1*((O122/MPM!$AE123)^(1/6))</f>
        <v>11.956651078000263</v>
      </c>
      <c r="Q122" s="43">
        <f t="shared" si="45"/>
        <v>3.8570169410292142E-2</v>
      </c>
      <c r="R122" s="38">
        <f>(MPM!$Q123^2)/(9.81*MPM!$F123*(P122^2))</f>
        <v>0.10788222421875884</v>
      </c>
      <c r="S122" s="36">
        <f>8.1*((R122/MPM!$AE123)^(1/6))</f>
        <v>11.958188113930271</v>
      </c>
      <c r="T122" s="43">
        <f t="shared" si="46"/>
        <v>1.2853418221592328E-2</v>
      </c>
      <c r="U122" s="38">
        <f>(MPM!$Q123^2)/(9.81*MPM!$F123*(S122^2))</f>
        <v>0.10785449289415375</v>
      </c>
      <c r="V122" s="36">
        <f>8.1*((U122/MPM!$AE123)^(1/6))</f>
        <v>11.957675746667405</v>
      </c>
      <c r="W122" s="43">
        <f t="shared" si="47"/>
        <v>4.2848399113745925E-3</v>
      </c>
      <c r="X122" s="38">
        <f>(MPM!$Q123^2)/(9.81*MPM!$F123*(V122^2))</f>
        <v>0.10786373587688849</v>
      </c>
      <c r="Y122" s="36">
        <f>8.1*((X122/MPM!$AE123)^(1/6))</f>
        <v>11.95784653331574</v>
      </c>
      <c r="Z122" s="43">
        <f t="shared" si="48"/>
        <v>1.4282391721525205E-3</v>
      </c>
      <c r="AA122" s="38">
        <f>(MPM!$Q123^2)/(9.81*MPM!$F123*(Y122^2))</f>
        <v>0.10786065479463459</v>
      </c>
      <c r="AB122" s="36">
        <f>8.1*((AA122/MPM!$AE123)^(1/6))</f>
        <v>11.957789604161933</v>
      </c>
      <c r="AC122" s="43">
        <f t="shared" si="49"/>
        <v>4.7608425713768397E-4</v>
      </c>
      <c r="AD122" s="38">
        <f>(MPM!$Q123^2)/(9.81*MPM!$F123*(AB122^2))</f>
        <v>0.10786168181227357</v>
      </c>
      <c r="AE122" s="36">
        <f>8.1*((AD122/MPM!$AE123)^(1/6))</f>
        <v>11.957808580516419</v>
      </c>
      <c r="AF122" s="43">
        <f t="shared" si="50"/>
        <v>1.5869424868465709E-4</v>
      </c>
      <c r="AG122" s="38">
        <f>(MPM!$Q123^2)/(9.81*MPM!$F123*(AE122^2))</f>
        <v>0.10786133947197404</v>
      </c>
      <c r="AH122" s="36">
        <f>8.1*((AG122/MPM!$AE123)^(1/6))</f>
        <v>11.957802255061578</v>
      </c>
      <c r="AI122" s="43">
        <f t="shared" si="51"/>
        <v>5.2898138854302406E-5</v>
      </c>
      <c r="AJ122" s="38">
        <f>(MPM!$Q123^2)/(9.81*MPM!$F123*(AH122^2))</f>
        <v>0.1078614535852865</v>
      </c>
      <c r="AK122" s="36">
        <f>8.1*((AJ122/MPM!$AE123)^(1/6))</f>
        <v>11.957804363546154</v>
      </c>
      <c r="AL122" s="43">
        <f t="shared" si="52"/>
        <v>1.7632706742522608E-5</v>
      </c>
      <c r="AM122" s="38">
        <f>(MPM!$Q123^2)/(9.81*MPM!$F123*(AK122^2))</f>
        <v>0.10786141554750223</v>
      </c>
      <c r="AN122" s="36">
        <f>8.1*((AM122/MPM!$AE123)^(1/6))</f>
        <v>11.95780366071792</v>
      </c>
      <c r="AO122" s="43">
        <f t="shared" si="53"/>
        <v>5.8775696161574467E-6</v>
      </c>
      <c r="AP122" s="38">
        <f>(MPM!$Q123^2)/(9.81*MPM!$F123*(AN122^2))</f>
        <v>0.1078614282267622</v>
      </c>
      <c r="AQ122" s="36">
        <f>8.1*((AP122/MPM!$AE123)^(1/6))</f>
        <v>11.957803894993994</v>
      </c>
      <c r="AR122" s="43">
        <f t="shared" si="54"/>
        <v>1.9591897990060781E-6</v>
      </c>
      <c r="AS122" s="38">
        <f>(MPM!$Q123^2)/(9.81*MPM!$F123*(AQ122^2))</f>
        <v>0.10786142400034203</v>
      </c>
      <c r="AT122" s="36">
        <f>8.1*((AS122/MPM!$AE123)^(1/6))</f>
        <v>11.95780381690197</v>
      </c>
      <c r="AU122" s="43">
        <f t="shared" si="55"/>
        <v>6.5306326069680251E-7</v>
      </c>
      <c r="AV122" s="38">
        <f>(MPM!$Q123^2)/(9.81*MPM!$F123*(AT122^2))</f>
        <v>0.10786142540914868</v>
      </c>
      <c r="AW122" s="36">
        <f>8.1*((AV122/MPM!$AE123)^(1/6))</f>
        <v>11.957803842932643</v>
      </c>
      <c r="AX122" s="43">
        <f t="shared" si="56"/>
        <v>2.1768773823651154E-7</v>
      </c>
      <c r="AY122" s="38">
        <f>(MPM!$Q123^2)/(9.81*MPM!$F123*(AW122^2))</f>
        <v>0.10786142493954651</v>
      </c>
      <c r="AZ122" s="36">
        <f>8.1*((AY122/MPM!$AE123)^(1/6))</f>
        <v>11.957803834255753</v>
      </c>
      <c r="BA122" s="43">
        <f t="shared" si="57"/>
        <v>7.2562574513087219E-8</v>
      </c>
      <c r="BB122" s="38">
        <f>(MPM!$Q123^2)/(9.81*MPM!$F123*(AZ122^2))</f>
        <v>0.10786142509608056</v>
      </c>
      <c r="BC122" s="36">
        <f>8.1*((BB122/MPM!$AE123)^(1/6))</f>
        <v>11.957803837148049</v>
      </c>
      <c r="BD122" s="43">
        <f t="shared" si="58"/>
        <v>2.41875198801088E-8</v>
      </c>
      <c r="BE122" s="38">
        <f>(MPM!$Q123^2)/(9.81*MPM!$F123*(BC122^2))</f>
        <v>0.10786142504390255</v>
      </c>
      <c r="BF122" s="36">
        <f>8.1*((BE122/MPM!$AE123)^(1/6))</f>
        <v>11.957803836183952</v>
      </c>
      <c r="BG122" s="43">
        <f t="shared" si="59"/>
        <v>8.0624868204066592E-9</v>
      </c>
      <c r="BH122" s="38">
        <f>(MPM!$Q123^2)/(9.81*MPM!$F123*(BF122^2))</f>
        <v>0.10786142506129519</v>
      </c>
      <c r="BI122" s="36">
        <f>8.1*((BH122/MPM!$AE123)^(1/6))</f>
        <v>11.957803836505317</v>
      </c>
      <c r="BJ122" s="43">
        <f t="shared" si="60"/>
        <v>2.6874857032568384E-9</v>
      </c>
      <c r="BK122" s="38">
        <f>(MPM!$Q123^2)/(9.81*MPM!$F123*(BI122^2))</f>
        <v>0.10786142505549766</v>
      </c>
      <c r="BL122" s="36">
        <f>8.1*((BK122/MPM!$AE123)^(1/6))</f>
        <v>11.957803836398195</v>
      </c>
      <c r="BM122" s="43">
        <f t="shared" si="61"/>
        <v>8.9582856776030451E-10</v>
      </c>
      <c r="BN122" s="43">
        <f t="shared" si="62"/>
        <v>5.3749791646627592E-9</v>
      </c>
    </row>
    <row r="123" spans="1:66">
      <c r="A123" s="36">
        <f>MPM!B124</f>
        <v>119</v>
      </c>
      <c r="B123" s="41">
        <f>1/(MPM!AC124^0.5)</f>
        <v>12.781765170835829</v>
      </c>
      <c r="C123" s="38">
        <f>(MPM!$Q124^2)/(9.81*MPM!$F124*(Sheet1!B123^2))</f>
        <v>0.14810540060384303</v>
      </c>
      <c r="D123" s="36">
        <f>8.1*((C123/MPM!$AE124)^(1/6))</f>
        <v>12.606723129759077</v>
      </c>
      <c r="E123" s="41">
        <f t="shared" si="41"/>
        <v>1.3884816797757127</v>
      </c>
      <c r="F123" s="38">
        <f>(MPM!$Q124^2)/(9.81*MPM!$F124*(D123^2))</f>
        <v>0.15224678627646579</v>
      </c>
      <c r="G123" s="36">
        <f>8.1*((F123/MPM!$AE124)^(1/6))</f>
        <v>12.664802493376888</v>
      </c>
      <c r="H123" s="43">
        <f t="shared" si="42"/>
        <v>0.45858878295325639</v>
      </c>
      <c r="I123" s="38">
        <f>(MPM!$Q124^2)/(9.81*MPM!$F124*(G123^2))</f>
        <v>0.15085361471374253</v>
      </c>
      <c r="J123" s="36">
        <f>8.1*((I123/MPM!$AE124)^(1/6))</f>
        <v>12.645413035937533</v>
      </c>
      <c r="K123" s="43">
        <f t="shared" si="43"/>
        <v>0.15333194245415754</v>
      </c>
      <c r="L123" s="38">
        <f>(MPM!$Q124^2)/(9.81*MPM!$F124*(J123^2))</f>
        <v>0.15131658293632361</v>
      </c>
      <c r="M123" s="36">
        <f>8.1*((L123/MPM!$AE124)^(1/6))</f>
        <v>12.651872887869311</v>
      </c>
      <c r="N123" s="43">
        <f t="shared" si="44"/>
        <v>5.1058463747069002E-2</v>
      </c>
      <c r="O123" s="38">
        <f>(MPM!$Q124^2)/(9.81*MPM!$F124*(M123^2))</f>
        <v>0.15116210253876949</v>
      </c>
      <c r="P123" s="36">
        <f>8.1*((O123/MPM!$AE124)^(1/6))</f>
        <v>12.649719237310157</v>
      </c>
      <c r="Q123" s="43">
        <f t="shared" si="45"/>
        <v>1.7025283476669432E-2</v>
      </c>
      <c r="R123" s="38">
        <f>(MPM!$Q124^2)/(9.81*MPM!$F124*(P123^2))</f>
        <v>0.15121357847329145</v>
      </c>
      <c r="S123" s="36">
        <f>8.1*((R123/MPM!$AE124)^(1/6))</f>
        <v>12.650437080093161</v>
      </c>
      <c r="T123" s="43">
        <f t="shared" si="46"/>
        <v>5.6744504435639921E-3</v>
      </c>
      <c r="U123" s="38">
        <f>(MPM!$Q124^2)/(9.81*MPM!$F124*(S123^2))</f>
        <v>0.1511964178810411</v>
      </c>
      <c r="V123" s="36">
        <f>8.1*((U123/MPM!$AE124)^(1/6))</f>
        <v>12.650197794639391</v>
      </c>
      <c r="W123" s="43">
        <f t="shared" si="47"/>
        <v>1.8915550385386847E-3</v>
      </c>
      <c r="X123" s="38">
        <f>(MPM!$Q124^2)/(9.81*MPM!$F124*(V123^2))</f>
        <v>0.15120213786205991</v>
      </c>
      <c r="Y123" s="36">
        <f>8.1*((X123/MPM!$AE124)^(1/6))</f>
        <v>12.650277555954405</v>
      </c>
      <c r="Z123" s="43">
        <f t="shared" si="48"/>
        <v>6.3051039521689202E-4</v>
      </c>
      <c r="AA123" s="38">
        <f>(MPM!$Q124^2)/(9.81*MPM!$F124*(Y123^2))</f>
        <v>0.15120023117767684</v>
      </c>
      <c r="AB123" s="36">
        <f>8.1*((AA123/MPM!$AE124)^(1/6))</f>
        <v>12.650250968793522</v>
      </c>
      <c r="AC123" s="43">
        <f t="shared" si="49"/>
        <v>2.1017101517699558E-4</v>
      </c>
      <c r="AD123" s="38">
        <f>(MPM!$Q124^2)/(9.81*MPM!$F124*(AB123^2))</f>
        <v>0.15120086673646635</v>
      </c>
      <c r="AE123" s="36">
        <f>8.1*((AD123/MPM!$AE124)^(1/6))</f>
        <v>12.650259831174276</v>
      </c>
      <c r="AF123" s="43">
        <f t="shared" si="50"/>
        <v>7.0056906916276596E-5</v>
      </c>
      <c r="AG123" s="38">
        <f>(MPM!$Q124^2)/(9.81*MPM!$F124*(AE123^2))</f>
        <v>0.15120065488323961</v>
      </c>
      <c r="AH123" s="36">
        <f>8.1*((AG123/MPM!$AE124)^(1/6))</f>
        <v>12.650256877046667</v>
      </c>
      <c r="AI123" s="43">
        <f t="shared" si="51"/>
        <v>2.3352313221090198E-5</v>
      </c>
      <c r="AJ123" s="38">
        <f>(MPM!$Q124^2)/(9.81*MPM!$F124*(AH123^2))</f>
        <v>0.15120072550094893</v>
      </c>
      <c r="AK123" s="36">
        <f>8.1*((AJ123/MPM!$AE124)^(1/6))</f>
        <v>12.650257861755794</v>
      </c>
      <c r="AL123" s="43">
        <f t="shared" si="52"/>
        <v>7.784103197298753E-6</v>
      </c>
      <c r="AM123" s="38">
        <f>(MPM!$Q124^2)/(9.81*MPM!$F124*(AK123^2))</f>
        <v>0.15120070196170882</v>
      </c>
      <c r="AN123" s="36">
        <f>8.1*((AM123/MPM!$AE124)^(1/6))</f>
        <v>12.65025753351941</v>
      </c>
      <c r="AO123" s="43">
        <f t="shared" si="53"/>
        <v>2.5947011986206069E-6</v>
      </c>
      <c r="AP123" s="38">
        <f>(MPM!$Q124^2)/(9.81*MPM!$F124*(AN123^2))</f>
        <v>0.15120070980812175</v>
      </c>
      <c r="AQ123" s="36">
        <f>8.1*((AP123/MPM!$AE124)^(1/6))</f>
        <v>12.650257642931537</v>
      </c>
      <c r="AR123" s="43">
        <f t="shared" si="54"/>
        <v>8.6490038737898858E-7</v>
      </c>
      <c r="AS123" s="38">
        <f>(MPM!$Q124^2)/(9.81*MPM!$F124*(AQ123^2))</f>
        <v>0.15120070719265075</v>
      </c>
      <c r="AT123" s="36">
        <f>8.1*((AS123/MPM!$AE124)^(1/6))</f>
        <v>12.650257606460826</v>
      </c>
      <c r="AU123" s="43">
        <f t="shared" si="55"/>
        <v>2.8830014399955981E-7</v>
      </c>
      <c r="AV123" s="38">
        <f>(MPM!$Q124^2)/(9.81*MPM!$F124*(AT123^2))</f>
        <v>0.15120070806447444</v>
      </c>
      <c r="AW123" s="36">
        <f>8.1*((AV123/MPM!$AE124)^(1/6))</f>
        <v>12.650257618617731</v>
      </c>
      <c r="AX123" s="43">
        <f t="shared" si="56"/>
        <v>9.6100057268874795E-8</v>
      </c>
      <c r="AY123" s="38">
        <f>(MPM!$Q124^2)/(9.81*MPM!$F124*(AW123^2))</f>
        <v>0.15120070777386649</v>
      </c>
      <c r="AZ123" s="36">
        <f>8.1*((AY123/MPM!$AE124)^(1/6))</f>
        <v>12.650257614565428</v>
      </c>
      <c r="BA123" s="43">
        <f t="shared" si="57"/>
        <v>3.2033366475280223E-8</v>
      </c>
      <c r="BB123" s="38">
        <f>(MPM!$Q124^2)/(9.81*MPM!$F124*(AZ123^2))</f>
        <v>0.15120070787073586</v>
      </c>
      <c r="BC123" s="36">
        <f>8.1*((BB123/MPM!$AE124)^(1/6))</f>
        <v>12.650257615916196</v>
      </c>
      <c r="BD123" s="43">
        <f t="shared" si="58"/>
        <v>1.0677793504640118E-8</v>
      </c>
      <c r="BE123" s="38">
        <f>(MPM!$Q124^2)/(9.81*MPM!$F124*(BC123^2))</f>
        <v>0.15120070783844605</v>
      </c>
      <c r="BF123" s="36">
        <f>8.1*((BE123/MPM!$AE124)^(1/6))</f>
        <v>12.650257615465941</v>
      </c>
      <c r="BG123" s="43">
        <f t="shared" si="59"/>
        <v>3.5592551402996613E-9</v>
      </c>
      <c r="BH123" s="38">
        <f>(MPM!$Q124^2)/(9.81*MPM!$F124*(BF123^2))</f>
        <v>0.1512007078492093</v>
      </c>
      <c r="BI123" s="36">
        <f>8.1*((BH123/MPM!$AE124)^(1/6))</f>
        <v>12.650257615616026</v>
      </c>
      <c r="BJ123" s="43">
        <f t="shared" si="60"/>
        <v>1.1864136993989474E-9</v>
      </c>
      <c r="BK123" s="38">
        <f>(MPM!$Q124^2)/(9.81*MPM!$F124*(BI123^2))</f>
        <v>0.15120070784562156</v>
      </c>
      <c r="BL123" s="36">
        <f>8.1*((BK123/MPM!$AE124)^(1/6))</f>
        <v>12.650257615565996</v>
      </c>
      <c r="BM123" s="43">
        <f t="shared" si="61"/>
        <v>3.9548059450827434E-10</v>
      </c>
      <c r="BN123" s="43">
        <f t="shared" si="62"/>
        <v>2.3728336106009291E-9</v>
      </c>
    </row>
    <row r="124" spans="1:66">
      <c r="A124" s="36">
        <f>MPM!B125</f>
        <v>120</v>
      </c>
      <c r="B124" s="41">
        <f>1/(MPM!AC125^0.5)</f>
        <v>11.605754952335612</v>
      </c>
      <c r="C124" s="38">
        <f>(MPM!$Q125^2)/(9.81*MPM!$F125*(Sheet1!B124^2))</f>
        <v>0.13404981508418531</v>
      </c>
      <c r="D124" s="36">
        <f>8.1*((C124/MPM!$AE125)^(1/6))</f>
        <v>12.398946010296067</v>
      </c>
      <c r="E124" s="41">
        <f t="shared" si="41"/>
        <v>6.3972458409109114</v>
      </c>
      <c r="F124" s="38">
        <f>(MPM!$Q125^2)/(9.81*MPM!$F125*(D124^2))</f>
        <v>0.11744741821902731</v>
      </c>
      <c r="G124" s="36">
        <f>8.1*((F124/MPM!$AE125)^(1/6))</f>
        <v>12.128701603364345</v>
      </c>
      <c r="H124" s="43">
        <f t="shared" si="42"/>
        <v>2.2281396291978997</v>
      </c>
      <c r="I124" s="38">
        <f>(MPM!$Q125^2)/(9.81*MPM!$F125*(G124^2))</f>
        <v>0.1227395111747942</v>
      </c>
      <c r="J124" s="36">
        <f>8.1*((I124/MPM!$AE125)^(1/6))</f>
        <v>12.218122186161029</v>
      </c>
      <c r="K124" s="43">
        <f t="shared" si="43"/>
        <v>0.73186846091592839</v>
      </c>
      <c r="L124" s="38">
        <f>(MPM!$Q125^2)/(9.81*MPM!$F125*(J124^2))</f>
        <v>0.12094950194621448</v>
      </c>
      <c r="M124" s="36">
        <f>8.1*((L124/MPM!$AE125)^(1/6))</f>
        <v>12.188242312449757</v>
      </c>
      <c r="N124" s="43">
        <f t="shared" si="44"/>
        <v>0.24515326283553254</v>
      </c>
      <c r="O124" s="38">
        <f>(MPM!$Q125^2)/(9.81*MPM!$F125*(M124^2))</f>
        <v>0.12154325215500907</v>
      </c>
      <c r="P124" s="36">
        <f>8.1*((O124/MPM!$AE125)^(1/6))</f>
        <v>12.198194142366589</v>
      </c>
      <c r="Q124" s="43">
        <f t="shared" si="45"/>
        <v>8.1584452589311976E-2</v>
      </c>
      <c r="R124" s="38">
        <f>(MPM!$Q125^2)/(9.81*MPM!$F125*(P124^2))</f>
        <v>0.12134501226061628</v>
      </c>
      <c r="S124" s="36">
        <f>8.1*((R124/MPM!$AE125)^(1/6))</f>
        <v>12.19487596319121</v>
      </c>
      <c r="T124" s="43">
        <f t="shared" si="46"/>
        <v>2.7209618083810113E-2</v>
      </c>
      <c r="U124" s="38">
        <f>(MPM!$Q125^2)/(9.81*MPM!$F125*(S124^2))</f>
        <v>0.12141105627335555</v>
      </c>
      <c r="V124" s="36">
        <f>8.1*((U124/MPM!$AE125)^(1/6))</f>
        <v>12.195981922613287</v>
      </c>
      <c r="W124" s="43">
        <f t="shared" si="47"/>
        <v>9.0682277908774468E-3</v>
      </c>
      <c r="X124" s="38">
        <f>(MPM!$Q125^2)/(9.81*MPM!$F125*(V124^2))</f>
        <v>0.12138903760945978</v>
      </c>
      <c r="Y124" s="36">
        <f>8.1*((X124/MPM!$AE125)^(1/6))</f>
        <v>12.195613258328599</v>
      </c>
      <c r="Z124" s="43">
        <f t="shared" si="48"/>
        <v>3.0229253492919514E-3</v>
      </c>
      <c r="AA124" s="38">
        <f>(MPM!$Q125^2)/(9.81*MPM!$F125*(Y124^2))</f>
        <v>0.12139637672036434</v>
      </c>
      <c r="AB124" s="36">
        <f>8.1*((AA124/MPM!$AE125)^(1/6))</f>
        <v>12.195736145185244</v>
      </c>
      <c r="AC124" s="43">
        <f t="shared" si="49"/>
        <v>1.0076214767307367E-3</v>
      </c>
      <c r="AD124" s="38">
        <f>(MPM!$Q125^2)/(9.81*MPM!$F125*(AB124^2))</f>
        <v>0.12139393030076211</v>
      </c>
      <c r="AE124" s="36">
        <f>8.1*((AD124/MPM!$AE125)^(1/6))</f>
        <v>12.195695182762112</v>
      </c>
      <c r="AF124" s="43">
        <f t="shared" si="50"/>
        <v>3.3587608182903778E-4</v>
      </c>
      <c r="AG124" s="38">
        <f>(MPM!$Q125^2)/(9.81*MPM!$F125*(AE124^2))</f>
        <v>0.12139474576848493</v>
      </c>
      <c r="AH124" s="36">
        <f>8.1*((AG124/MPM!$AE125)^(1/6))</f>
        <v>12.195708836887871</v>
      </c>
      <c r="AI124" s="43">
        <f t="shared" si="51"/>
        <v>1.1195844326517367E-4</v>
      </c>
      <c r="AJ124" s="38">
        <f>(MPM!$Q125^2)/(9.81*MPM!$F125*(AH124^2))</f>
        <v>0.12139447394530196</v>
      </c>
      <c r="AK124" s="36">
        <f>8.1*((AJ124/MPM!$AE125)^(1/6))</f>
        <v>12.195704285510917</v>
      </c>
      <c r="AL124" s="43">
        <f t="shared" si="52"/>
        <v>3.7319508959810501E-5</v>
      </c>
      <c r="AM124" s="38">
        <f>(MPM!$Q125^2)/(9.81*MPM!$F125*(AK124^2))</f>
        <v>0.12139456455296202</v>
      </c>
      <c r="AN124" s="36">
        <f>8.1*((AM124/MPM!$AE125)^(1/6))</f>
        <v>12.195705802636381</v>
      </c>
      <c r="AO124" s="43">
        <f t="shared" si="53"/>
        <v>1.2439833233361637E-5</v>
      </c>
      <c r="AP124" s="38">
        <f>(MPM!$Q125^2)/(9.81*MPM!$F125*(AN124^2))</f>
        <v>0.12139453435040114</v>
      </c>
      <c r="AQ124" s="36">
        <f>8.1*((AP124/MPM!$AE125)^(1/6))</f>
        <v>12.195705296927873</v>
      </c>
      <c r="AR124" s="43">
        <f t="shared" si="54"/>
        <v>4.1466114148059268E-6</v>
      </c>
      <c r="AS124" s="38">
        <f>(MPM!$Q125^2)/(9.81*MPM!$F125*(AQ124^2))</f>
        <v>0.12139454441792059</v>
      </c>
      <c r="AT124" s="36">
        <f>8.1*((AS124/MPM!$AE125)^(1/6))</f>
        <v>12.195705465497372</v>
      </c>
      <c r="AU124" s="43">
        <f t="shared" si="55"/>
        <v>1.3822037615547207E-6</v>
      </c>
      <c r="AV124" s="38">
        <f>(MPM!$Q125^2)/(9.81*MPM!$F125*(AT124^2))</f>
        <v>0.1213945410620807</v>
      </c>
      <c r="AW124" s="36">
        <f>8.1*((AV124/MPM!$AE125)^(1/6))</f>
        <v>12.195705409307537</v>
      </c>
      <c r="AX124" s="43">
        <f t="shared" si="56"/>
        <v>4.607346038730998E-7</v>
      </c>
      <c r="AY124" s="38">
        <f>(MPM!$Q125^2)/(9.81*MPM!$F125*(AW124^2))</f>
        <v>0.121394542180694</v>
      </c>
      <c r="AZ124" s="36">
        <f>8.1*((AY124/MPM!$AE125)^(1/6))</f>
        <v>12.195705428037483</v>
      </c>
      <c r="BA124" s="43">
        <f t="shared" si="57"/>
        <v>1.5357820591031367E-7</v>
      </c>
      <c r="BB124" s="38">
        <f>(MPM!$Q125^2)/(9.81*MPM!$F125*(AZ124^2))</f>
        <v>0.12139454180782289</v>
      </c>
      <c r="BC124" s="36">
        <f>8.1*((BB124/MPM!$AE125)^(1/6))</f>
        <v>12.195705421794168</v>
      </c>
      <c r="BD124" s="43">
        <f t="shared" si="58"/>
        <v>5.1192735329644853E-8</v>
      </c>
      <c r="BE124" s="38">
        <f>(MPM!$Q125^2)/(9.81*MPM!$F125*(BC124^2))</f>
        <v>0.12139454193211324</v>
      </c>
      <c r="BF124" s="36">
        <f>8.1*((BE124/MPM!$AE125)^(1/6))</f>
        <v>12.195705423875273</v>
      </c>
      <c r="BG124" s="43">
        <f t="shared" si="59"/>
        <v>1.7064245106969735E-8</v>
      </c>
      <c r="BH124" s="38">
        <f>(MPM!$Q125^2)/(9.81*MPM!$F125*(BF124^2))</f>
        <v>0.12139454189068315</v>
      </c>
      <c r="BI124" s="36">
        <f>8.1*((BH124/MPM!$AE125)^(1/6))</f>
        <v>12.195705423181574</v>
      </c>
      <c r="BJ124" s="43">
        <f t="shared" si="60"/>
        <v>5.6880622820745133E-9</v>
      </c>
      <c r="BK124" s="38">
        <f>(MPM!$Q125^2)/(9.81*MPM!$F125*(BI124^2))</f>
        <v>0.12139454190449313</v>
      </c>
      <c r="BL124" s="36">
        <f>8.1*((BK124/MPM!$AE125)^(1/6))</f>
        <v>12.195705423412806</v>
      </c>
      <c r="BM124" s="43">
        <f t="shared" si="61"/>
        <v>1.8960110503694196E-9</v>
      </c>
      <c r="BN124" s="43">
        <f t="shared" si="62"/>
        <v>1.1376113554965631E-8</v>
      </c>
    </row>
    <row r="125" spans="1:66">
      <c r="A125" s="36">
        <f>MPM!B126</f>
        <v>121</v>
      </c>
      <c r="B125" s="41">
        <f>1/(MPM!AC126^0.5)</f>
        <v>12.118953060842037</v>
      </c>
      <c r="C125" s="38">
        <f>(MPM!$Q126^2)/(9.81*MPM!$F126*(Sheet1!B125^2))</f>
        <v>5.8501436392759606E-2</v>
      </c>
      <c r="D125" s="36">
        <f>8.1*((C125/MPM!$AE126)^(1/6))</f>
        <v>11.976082230061269</v>
      </c>
      <c r="E125" s="41">
        <f t="shared" si="41"/>
        <v>1.1929680177224049</v>
      </c>
      <c r="F125" s="38">
        <f>(MPM!$Q126^2)/(9.81*MPM!$F126*(D125^2))</f>
        <v>5.990556900957493E-2</v>
      </c>
      <c r="G125" s="36">
        <f>8.1*((F125/MPM!$AE126)^(1/6))</f>
        <v>12.023517707402101</v>
      </c>
      <c r="H125" s="43">
        <f t="shared" si="42"/>
        <v>0.39452245586687923</v>
      </c>
      <c r="I125" s="38">
        <f>(MPM!$Q126^2)/(9.81*MPM!$F126*(G125^2))</f>
        <v>5.9433819583469646E-2</v>
      </c>
      <c r="J125" s="36">
        <f>8.1*((I125/MPM!$AE126)^(1/6))</f>
        <v>12.007685042191616</v>
      </c>
      <c r="K125" s="43">
        <f t="shared" si="43"/>
        <v>0.13185443451301324</v>
      </c>
      <c r="L125" s="38">
        <f>(MPM!$Q126^2)/(9.81*MPM!$F126*(J125^2))</f>
        <v>5.9590655166125411E-2</v>
      </c>
      <c r="M125" s="36">
        <f>8.1*((L125/MPM!$AE126)^(1/6))</f>
        <v>12.012960279395957</v>
      </c>
      <c r="N125" s="43">
        <f t="shared" si="44"/>
        <v>4.3912883100001458E-2</v>
      </c>
      <c r="O125" s="38">
        <f>(MPM!$Q126^2)/(9.81*MPM!$F126*(M125^2))</f>
        <v>5.9538330707754321E-2</v>
      </c>
      <c r="P125" s="36">
        <f>8.1*((O125/MPM!$AE126)^(1/6))</f>
        <v>12.011201609541839</v>
      </c>
      <c r="Q125" s="43">
        <f t="shared" si="45"/>
        <v>1.4641914367006778E-2</v>
      </c>
      <c r="R125" s="38">
        <f>(MPM!$Q126^2)/(9.81*MPM!$F126*(P125^2))</f>
        <v>5.9555767086966284E-2</v>
      </c>
      <c r="S125" s="36">
        <f>8.1*((R125/MPM!$AE126)^(1/6))</f>
        <v>12.011787804217434</v>
      </c>
      <c r="T125" s="43">
        <f t="shared" si="46"/>
        <v>4.8801617640059844E-3</v>
      </c>
      <c r="U125" s="38">
        <f>(MPM!$Q126^2)/(9.81*MPM!$F126*(S125^2))</f>
        <v>5.9549954393256901E-2</v>
      </c>
      <c r="V125" s="36">
        <f>8.1*((U125/MPM!$AE126)^(1/6))</f>
        <v>12.011592402813566</v>
      </c>
      <c r="W125" s="43">
        <f t="shared" si="47"/>
        <v>1.6267735144119544E-3</v>
      </c>
      <c r="X125" s="38">
        <f>(MPM!$Q126^2)/(9.81*MPM!$F126*(V125^2))</f>
        <v>5.9551891894787976E-2</v>
      </c>
      <c r="Y125" s="36">
        <f>8.1*((X125/MPM!$AE126)^(1/6))</f>
        <v>12.011657536261666</v>
      </c>
      <c r="Z125" s="43">
        <f t="shared" si="48"/>
        <v>5.4225195734440427E-4</v>
      </c>
      <c r="AA125" s="38">
        <f>(MPM!$Q126^2)/(9.81*MPM!$F126*(Y125^2))</f>
        <v>5.955124605394016E-2</v>
      </c>
      <c r="AB125" s="36">
        <f>8.1*((AA125/MPM!$AE126)^(1/6))</f>
        <v>12.011635825073057</v>
      </c>
      <c r="AC125" s="43">
        <f t="shared" si="49"/>
        <v>1.8075130585793893E-4</v>
      </c>
      <c r="AD125" s="38">
        <f>(MPM!$Q126^2)/(9.81*MPM!$F126*(AB125^2))</f>
        <v>5.9551461333444501E-2</v>
      </c>
      <c r="AE125" s="36">
        <f>8.1*((AD125/MPM!$AE126)^(1/6))</f>
        <v>12.011643062131565</v>
      </c>
      <c r="AF125" s="43">
        <f t="shared" si="50"/>
        <v>6.0250362673870144E-5</v>
      </c>
      <c r="AG125" s="38">
        <f>(MPM!$Q126^2)/(9.81*MPM!$F126*(AE125^2))</f>
        <v>5.9551389573523253E-2</v>
      </c>
      <c r="AH125" s="36">
        <f>8.1*((AG125/MPM!$AE126)^(1/6))</f>
        <v>12.011640649778245</v>
      </c>
      <c r="AI125" s="43">
        <f t="shared" si="51"/>
        <v>2.0083462285512666E-5</v>
      </c>
      <c r="AJ125" s="38">
        <f>(MPM!$Q126^2)/(9.81*MPM!$F126*(AH125^2))</f>
        <v>5.9551413493487394E-2</v>
      </c>
      <c r="AK125" s="36">
        <f>8.1*((AJ125/MPM!$AE126)^(1/6))</f>
        <v>12.011641453895965</v>
      </c>
      <c r="AL125" s="43">
        <f t="shared" si="52"/>
        <v>6.6944865366838549E-6</v>
      </c>
      <c r="AM125" s="38">
        <f>(MPM!$Q126^2)/(9.81*MPM!$F126*(AK125^2))</f>
        <v>5.9551405520164948E-2</v>
      </c>
      <c r="AN125" s="36">
        <f>8.1*((AM125/MPM!$AE126)^(1/6))</f>
        <v>12.011641185856718</v>
      </c>
      <c r="AO125" s="43">
        <f t="shared" si="53"/>
        <v>2.2314956261077279E-6</v>
      </c>
      <c r="AP125" s="38">
        <f>(MPM!$Q126^2)/(9.81*MPM!$F126*(AN125^2))</f>
        <v>5.955140817793899E-2</v>
      </c>
      <c r="AQ125" s="36">
        <f>8.1*((AP125/MPM!$AE126)^(1/6))</f>
        <v>12.011641275203134</v>
      </c>
      <c r="AR125" s="43">
        <f t="shared" si="54"/>
        <v>7.4383187476592645E-7</v>
      </c>
      <c r="AS125" s="38">
        <f>(MPM!$Q126^2)/(9.81*MPM!$F126*(AQ125^2))</f>
        <v>5.9551407292014281E-2</v>
      </c>
      <c r="AT125" s="36">
        <f>8.1*((AS125/MPM!$AE126)^(1/6))</f>
        <v>12.011641245420995</v>
      </c>
      <c r="AU125" s="43">
        <f t="shared" si="55"/>
        <v>2.4794396379961325E-7</v>
      </c>
      <c r="AV125" s="38">
        <f>(MPM!$Q126^2)/(9.81*MPM!$F126*(AT125^2))</f>
        <v>5.9551407587322525E-2</v>
      </c>
      <c r="AW125" s="36">
        <f>8.1*((AV125/MPM!$AE126)^(1/6))</f>
        <v>12.011641255348374</v>
      </c>
      <c r="AX125" s="43">
        <f t="shared" si="56"/>
        <v>8.2647987864897526E-8</v>
      </c>
      <c r="AY125" s="38">
        <f>(MPM!$Q126^2)/(9.81*MPM!$F126*(AW125^2))</f>
        <v>5.9551407488886432E-2</v>
      </c>
      <c r="AZ125" s="36">
        <f>8.1*((AY125/MPM!$AE126)^(1/6))</f>
        <v>12.011641252039249</v>
      </c>
      <c r="BA125" s="43">
        <f t="shared" si="57"/>
        <v>2.7549319436804061E-8</v>
      </c>
      <c r="BB125" s="38">
        <f>(MPM!$Q126^2)/(9.81*MPM!$F126*(AZ125^2))</f>
        <v>5.9551407521698456E-2</v>
      </c>
      <c r="BC125" s="36">
        <f>8.1*((BB125/MPM!$AE126)^(1/6))</f>
        <v>12.01164125314229</v>
      </c>
      <c r="BD125" s="43">
        <f t="shared" si="58"/>
        <v>9.1831015485490098E-9</v>
      </c>
      <c r="BE125" s="38">
        <f>(MPM!$Q126^2)/(9.81*MPM!$F126*(BC125^2))</f>
        <v>5.9551407510761122E-2</v>
      </c>
      <c r="BF125" s="36">
        <f>8.1*((BE125/MPM!$AE126)^(1/6))</f>
        <v>12.011641252774611</v>
      </c>
      <c r="BG125" s="43">
        <f t="shared" si="59"/>
        <v>3.0610239905252692E-9</v>
      </c>
      <c r="BH125" s="38">
        <f>(MPM!$Q126^2)/(9.81*MPM!$F126*(BF125^2))</f>
        <v>5.9551407514406893E-2</v>
      </c>
      <c r="BI125" s="36">
        <f>8.1*((BH125/MPM!$AE126)^(1/6))</f>
        <v>12.011641252897169</v>
      </c>
      <c r="BJ125" s="43">
        <f t="shared" si="60"/>
        <v>1.0203265415375296E-9</v>
      </c>
      <c r="BK125" s="38">
        <f>(MPM!$Q126^2)/(9.81*MPM!$F126*(BI125^2))</f>
        <v>5.955140751319165E-2</v>
      </c>
      <c r="BL125" s="36">
        <f>8.1*((BK125/MPM!$AE126)^(1/6))</f>
        <v>12.011641252856316</v>
      </c>
      <c r="BM125" s="43">
        <f t="shared" si="61"/>
        <v>3.4010884718033327E-10</v>
      </c>
      <c r="BN125" s="43">
        <f t="shared" si="62"/>
        <v>2.0406624034731595E-9</v>
      </c>
    </row>
    <row r="126" spans="1:66">
      <c r="A126" s="36">
        <f>MPM!B127</f>
        <v>122</v>
      </c>
      <c r="B126" s="41">
        <f>1/(MPM!AC127^0.5)</f>
        <v>12.070969417645422</v>
      </c>
      <c r="C126" s="38">
        <f>(MPM!$Q127^2)/(9.81*MPM!$F127*(Sheet1!B126^2))</f>
        <v>8.2867829340266069E-2</v>
      </c>
      <c r="D126" s="36">
        <f>8.1*((C126/MPM!$AE127)^(1/6))</f>
        <v>12.691647698171666</v>
      </c>
      <c r="E126" s="41">
        <f t="shared" si="41"/>
        <v>4.8904468142119759</v>
      </c>
      <c r="F126" s="38">
        <f>(MPM!$Q127^2)/(9.81*MPM!$F127*(D126^2))</f>
        <v>7.4960805696102237E-2</v>
      </c>
      <c r="G126" s="36">
        <f>8.1*((F126/MPM!$AE127)^(1/6))</f>
        <v>12.481287546687081</v>
      </c>
      <c r="H126" s="43">
        <f t="shared" si="42"/>
        <v>1.6854042557526094</v>
      </c>
      <c r="I126" s="38">
        <f>(MPM!$Q127^2)/(9.81*MPM!$F127*(G126^2))</f>
        <v>7.7508884187604168E-2</v>
      </c>
      <c r="J126" s="36">
        <f>8.1*((I126/MPM!$AE127)^(1/6))</f>
        <v>12.55101730936256</v>
      </c>
      <c r="K126" s="43">
        <f t="shared" si="43"/>
        <v>0.5555706040136148</v>
      </c>
      <c r="L126" s="38">
        <f>(MPM!$Q127^2)/(9.81*MPM!$F127*(J126^2))</f>
        <v>7.6650043414626098E-2</v>
      </c>
      <c r="M126" s="36">
        <f>8.1*((L126/MPM!$AE127)^(1/6))</f>
        <v>12.527730877557858</v>
      </c>
      <c r="N126" s="43">
        <f t="shared" si="44"/>
        <v>0.18587908722095914</v>
      </c>
      <c r="O126" s="38">
        <f>(MPM!$Q127^2)/(9.81*MPM!$F127*(M126^2))</f>
        <v>7.6935261050567041E-2</v>
      </c>
      <c r="P126" s="36">
        <f>8.1*((O126/MPM!$AE127)^(1/6))</f>
        <v>12.535488217052333</v>
      </c>
      <c r="Q126" s="43">
        <f t="shared" si="45"/>
        <v>6.1883026493714792E-2</v>
      </c>
      <c r="R126" s="38">
        <f>(MPM!$Q127^2)/(9.81*MPM!$F127*(P126^2))</f>
        <v>7.684007077703639E-2</v>
      </c>
      <c r="S126" s="36">
        <f>8.1*((R126/MPM!$AE127)^(1/6))</f>
        <v>12.532901903651117</v>
      </c>
      <c r="T126" s="43">
        <f t="shared" si="46"/>
        <v>2.0636189615923888E-2</v>
      </c>
      <c r="U126" s="38">
        <f>(MPM!$Q127^2)/(9.81*MPM!$F127*(S126^2))</f>
        <v>7.6871787774701772E-2</v>
      </c>
      <c r="V126" s="36">
        <f>8.1*((U126/MPM!$AE127)^(1/6))</f>
        <v>12.53376394882315</v>
      </c>
      <c r="W126" s="43">
        <f t="shared" si="47"/>
        <v>6.8777836853538528E-3</v>
      </c>
      <c r="X126" s="38">
        <f>(MPM!$Q127^2)/(9.81*MPM!$F127*(V126^2))</f>
        <v>7.6861213987778954E-2</v>
      </c>
      <c r="Y126" s="36">
        <f>8.1*((X126/MPM!$AE127)^(1/6))</f>
        <v>12.533476593844485</v>
      </c>
      <c r="Z126" s="43">
        <f t="shared" si="48"/>
        <v>2.2926996872232948E-3</v>
      </c>
      <c r="AA126" s="38">
        <f>(MPM!$Q127^2)/(9.81*MPM!$F127*(Y126^2))</f>
        <v>7.6864738421806217E-2</v>
      </c>
      <c r="AB126" s="36">
        <f>8.1*((AA126/MPM!$AE127)^(1/6))</f>
        <v>12.533572378105362</v>
      </c>
      <c r="AC126" s="43">
        <f t="shared" si="49"/>
        <v>7.6422154823125145E-4</v>
      </c>
      <c r="AD126" s="38">
        <f>(MPM!$Q127^2)/(9.81*MPM!$F127*(AB126^2))</f>
        <v>7.6863563592507372E-2</v>
      </c>
      <c r="AE126" s="36">
        <f>8.1*((AD126/MPM!$AE127)^(1/6))</f>
        <v>12.533540449937069</v>
      </c>
      <c r="AF126" s="43">
        <f t="shared" si="50"/>
        <v>2.5474181393414036E-4</v>
      </c>
      <c r="AG126" s="38">
        <f>(MPM!$Q127^2)/(9.81*MPM!$F127*(AE126^2))</f>
        <v>7.6863955200278458E-2</v>
      </c>
      <c r="AH126" s="36">
        <f>8.1*((AG126/MPM!$AE127)^(1/6))</f>
        <v>12.533551092650796</v>
      </c>
      <c r="AI126" s="43">
        <f t="shared" si="51"/>
        <v>8.4913793772573338E-5</v>
      </c>
      <c r="AJ126" s="38">
        <f>(MPM!$Q127^2)/(9.81*MPM!$F127*(AH126^2))</f>
        <v>7.6863824664133079E-2</v>
      </c>
      <c r="AK126" s="36">
        <f>8.1*((AJ126/MPM!$AE127)^(1/6))</f>
        <v>12.53354754507855</v>
      </c>
      <c r="AL126" s="43">
        <f t="shared" si="52"/>
        <v>2.8304613948064532E-5</v>
      </c>
      <c r="AM126" s="38">
        <f>(MPM!$Q127^2)/(9.81*MPM!$F127*(AK126^2))</f>
        <v>7.686386817615691E-2</v>
      </c>
      <c r="AN126" s="36">
        <f>8.1*((AM126/MPM!$AE127)^(1/6))</f>
        <v>12.533548727602522</v>
      </c>
      <c r="AO126" s="43">
        <f t="shared" si="53"/>
        <v>9.4348695471390979E-6</v>
      </c>
      <c r="AP126" s="38">
        <f>(MPM!$Q127^2)/(9.81*MPM!$F127*(AN126^2))</f>
        <v>7.686385367214621E-2</v>
      </c>
      <c r="AQ126" s="36">
        <f>8.1*((AP126/MPM!$AE127)^(1/6))</f>
        <v>12.53354833342785</v>
      </c>
      <c r="AR126" s="43">
        <f t="shared" si="54"/>
        <v>3.1449567280030884E-6</v>
      </c>
      <c r="AS126" s="38">
        <f>(MPM!$Q127^2)/(9.81*MPM!$F127*(AQ126^2))</f>
        <v>7.6863858506816152E-2</v>
      </c>
      <c r="AT126" s="36">
        <f>8.1*((AS126/MPM!$AE127)^(1/6))</f>
        <v>12.533548464819408</v>
      </c>
      <c r="AU126" s="43">
        <f t="shared" si="55"/>
        <v>1.0483188983446375E-6</v>
      </c>
      <c r="AV126" s="38">
        <f>(MPM!$Q127^2)/(9.81*MPM!$F127*(AT126^2))</f>
        <v>7.6863856895259458E-2</v>
      </c>
      <c r="AW126" s="36">
        <f>8.1*((AV126/MPM!$AE127)^(1/6))</f>
        <v>12.533548421022221</v>
      </c>
      <c r="AX126" s="43">
        <f t="shared" si="56"/>
        <v>3.4943963872689868E-7</v>
      </c>
      <c r="AY126" s="38">
        <f>(MPM!$Q127^2)/(9.81*MPM!$F127*(AW126^2))</f>
        <v>7.6863857432445032E-2</v>
      </c>
      <c r="AZ126" s="36">
        <f>8.1*((AY126/MPM!$AE127)^(1/6))</f>
        <v>12.533548435621285</v>
      </c>
      <c r="BA126" s="43">
        <f t="shared" si="57"/>
        <v>1.1647988888850168E-7</v>
      </c>
      <c r="BB126" s="38">
        <f>(MPM!$Q127^2)/(9.81*MPM!$F127*(AZ126^2))</f>
        <v>7.6863857253383155E-2</v>
      </c>
      <c r="BC126" s="36">
        <f>8.1*((BB126/MPM!$AE127)^(1/6))</f>
        <v>12.533548430754928</v>
      </c>
      <c r="BD126" s="43">
        <f t="shared" si="58"/>
        <v>3.8826643817392296E-8</v>
      </c>
      <c r="BE126" s="38">
        <f>(MPM!$Q127^2)/(9.81*MPM!$F127*(BC126^2))</f>
        <v>7.686385731307048E-2</v>
      </c>
      <c r="BF126" s="36">
        <f>8.1*((BE126/MPM!$AE127)^(1/6))</f>
        <v>12.533548432377048</v>
      </c>
      <c r="BG126" s="43">
        <f t="shared" si="59"/>
        <v>1.2942219328394639E-8</v>
      </c>
      <c r="BH126" s="38">
        <f>(MPM!$Q127^2)/(9.81*MPM!$F127*(BF126^2))</f>
        <v>7.6863857293174687E-2</v>
      </c>
      <c r="BI126" s="36">
        <f>8.1*((BH126/MPM!$AE127)^(1/6))</f>
        <v>12.533548431836341</v>
      </c>
      <c r="BJ126" s="43">
        <f t="shared" si="60"/>
        <v>4.3140778339232102E-9</v>
      </c>
      <c r="BK126" s="38">
        <f>(MPM!$Q127^2)/(9.81*MPM!$F127*(BI126^2))</f>
        <v>7.6863857299806618E-2</v>
      </c>
      <c r="BL126" s="36">
        <f>8.1*((BK126/MPM!$AE127)^(1/6))</f>
        <v>12.533548432016577</v>
      </c>
      <c r="BM126" s="43">
        <f t="shared" si="61"/>
        <v>1.4380306688926084E-9</v>
      </c>
      <c r="BN126" s="43">
        <f t="shared" si="62"/>
        <v>8.6281528775200636E-9</v>
      </c>
    </row>
    <row r="127" spans="1:66">
      <c r="A127" s="36">
        <f>MPM!B128</f>
        <v>123</v>
      </c>
      <c r="B127" s="41">
        <f>1/(MPM!AC128^0.5)</f>
        <v>12.813035964933972</v>
      </c>
      <c r="C127" s="38">
        <f>(MPM!$Q128^2)/(9.81*MPM!$F128*(Sheet1!B127^2))</f>
        <v>4.8419188141320291E-2</v>
      </c>
      <c r="D127" s="36">
        <f>8.1*((C127/MPM!$AE128)^(1/6))</f>
        <v>11.604415351595604</v>
      </c>
      <c r="E127" s="41">
        <f t="shared" si="41"/>
        <v>10.415178849765864</v>
      </c>
      <c r="F127" s="38">
        <f>(MPM!$Q128^2)/(9.81*MPM!$F128*(D127^2))</f>
        <v>5.9030309971840736E-2</v>
      </c>
      <c r="G127" s="36">
        <f>8.1*((F127/MPM!$AE128)^(1/6))</f>
        <v>11.994059298842656</v>
      </c>
      <c r="H127" s="43">
        <f t="shared" si="42"/>
        <v>3.2486411609174706</v>
      </c>
      <c r="I127" s="38">
        <f>(MPM!$Q128^2)/(9.81*MPM!$F128*(G127^2))</f>
        <v>5.5257242715073367E-2</v>
      </c>
      <c r="J127" s="36">
        <f>8.1*((I127/MPM!$AE128)^(1/6))</f>
        <v>11.862745576823727</v>
      </c>
      <c r="K127" s="43">
        <f t="shared" si="43"/>
        <v>1.1069420748218404</v>
      </c>
      <c r="L127" s="38">
        <f>(MPM!$Q128^2)/(9.81*MPM!$F128*(J127^2))</f>
        <v>5.6487344837719909E-2</v>
      </c>
      <c r="M127" s="36">
        <f>8.1*((L127/MPM!$AE128)^(1/6))</f>
        <v>11.906356296018263</v>
      </c>
      <c r="N127" s="43">
        <f t="shared" si="44"/>
        <v>0.36628098563722994</v>
      </c>
      <c r="O127" s="38">
        <f>(MPM!$Q128^2)/(9.81*MPM!$F128*(M127^2))</f>
        <v>5.6074297875018712E-2</v>
      </c>
      <c r="P127" s="36">
        <f>8.1*((O127/MPM!$AE128)^(1/6))</f>
        <v>11.891801604773699</v>
      </c>
      <c r="Q127" s="43">
        <f t="shared" si="45"/>
        <v>0.12239265107417832</v>
      </c>
      <c r="R127" s="38">
        <f>(MPM!$Q128^2)/(9.81*MPM!$F128*(P127^2))</f>
        <v>5.6211643513579372E-2</v>
      </c>
      <c r="S127" s="36">
        <f>8.1*((R127/MPM!$AE128)^(1/6))</f>
        <v>11.896651190547482</v>
      </c>
      <c r="T127" s="43">
        <f t="shared" si="46"/>
        <v>4.0764293212501787E-2</v>
      </c>
      <c r="U127" s="38">
        <f>(MPM!$Q128^2)/(9.81*MPM!$F128*(S127^2))</f>
        <v>5.6165824296060443E-2</v>
      </c>
      <c r="V127" s="36">
        <f>8.1*((U127/MPM!$AE128)^(1/6))</f>
        <v>11.895034442250978</v>
      </c>
      <c r="W127" s="43">
        <f t="shared" si="47"/>
        <v>1.3591791636697501E-2</v>
      </c>
      <c r="X127" s="38">
        <f>(MPM!$Q128^2)/(9.81*MPM!$F128*(V127^2))</f>
        <v>5.6181093217268621E-2</v>
      </c>
      <c r="Y127" s="36">
        <f>8.1*((X127/MPM!$AE128)^(1/6))</f>
        <v>11.895573333935538</v>
      </c>
      <c r="Z127" s="43">
        <f t="shared" si="48"/>
        <v>4.5301867293973067E-3</v>
      </c>
      <c r="AA127" s="38">
        <f>(MPM!$Q128^2)/(9.81*MPM!$F128*(Y127^2))</f>
        <v>5.6176003115708063E-2</v>
      </c>
      <c r="AB127" s="36">
        <f>8.1*((AA127/MPM!$AE128)^(1/6))</f>
        <v>11.895393700661417</v>
      </c>
      <c r="AC127" s="43">
        <f t="shared" si="49"/>
        <v>1.5101078504902053E-3</v>
      </c>
      <c r="AD127" s="38">
        <f>(MPM!$Q128^2)/(9.81*MPM!$F128*(AB127^2))</f>
        <v>5.6177699764984872E-2</v>
      </c>
      <c r="AE127" s="36">
        <f>8.1*((AD127/MPM!$AE128)^(1/6))</f>
        <v>11.895453578118053</v>
      </c>
      <c r="AF127" s="43">
        <f t="shared" si="50"/>
        <v>5.0336421593666738E-4</v>
      </c>
      <c r="AG127" s="38">
        <f>(MPM!$Q128^2)/(9.81*MPM!$F128*(AE127^2))</f>
        <v>5.6177134209532367E-2</v>
      </c>
      <c r="AH127" s="36">
        <f>8.1*((AG127/MPM!$AE128)^(1/6))</f>
        <v>11.895433618932351</v>
      </c>
      <c r="AI127" s="43">
        <f t="shared" si="51"/>
        <v>1.6778863504191406E-4</v>
      </c>
      <c r="AJ127" s="38">
        <f>(MPM!$Q128^2)/(9.81*MPM!$F128*(AH127^2))</f>
        <v>5.6177322727383912E-2</v>
      </c>
      <c r="AK127" s="36">
        <f>8.1*((AJ127/MPM!$AE128)^(1/6))</f>
        <v>11.89544027199053</v>
      </c>
      <c r="AL127" s="43">
        <f t="shared" si="52"/>
        <v>5.5929482448042073E-5</v>
      </c>
      <c r="AM127" s="38">
        <f>(MPM!$Q128^2)/(9.81*MPM!$F128*(AK127^2))</f>
        <v>5.6177259888029789E-2</v>
      </c>
      <c r="AN127" s="36">
        <f>8.1*((AM127/MPM!$AE128)^(1/6))</f>
        <v>11.895438054304057</v>
      </c>
      <c r="AO127" s="43">
        <f t="shared" si="53"/>
        <v>1.8643167771100466E-5</v>
      </c>
      <c r="AP127" s="38">
        <f>(MPM!$Q128^2)/(9.81*MPM!$F128*(AN127^2))</f>
        <v>5.6177280834473355E-2</v>
      </c>
      <c r="AQ127" s="36">
        <f>8.1*((AP127/MPM!$AE128)^(1/6))</f>
        <v>11.895438793532836</v>
      </c>
      <c r="AR127" s="43">
        <f t="shared" si="54"/>
        <v>6.2143884925421963E-6</v>
      </c>
      <c r="AS127" s="38">
        <f>(MPM!$Q128^2)/(9.81*MPM!$F128*(AQ127^2))</f>
        <v>5.617727385232462E-2</v>
      </c>
      <c r="AT127" s="36">
        <f>8.1*((AS127/MPM!$AE128)^(1/6))</f>
        <v>11.895438547123238</v>
      </c>
      <c r="AU127" s="43">
        <f t="shared" si="55"/>
        <v>2.0714629185562605E-6</v>
      </c>
      <c r="AV127" s="38">
        <f>(MPM!$Q128^2)/(9.81*MPM!$F128*(AT127^2))</f>
        <v>5.6177276179707428E-2</v>
      </c>
      <c r="AW127" s="36">
        <f>8.1*((AV127/MPM!$AE128)^(1/6))</f>
        <v>11.89543862925977</v>
      </c>
      <c r="AX127" s="43">
        <f t="shared" si="56"/>
        <v>6.9048762977332436E-7</v>
      </c>
      <c r="AY127" s="38">
        <f>(MPM!$Q128^2)/(9.81*MPM!$F128*(AW127^2))</f>
        <v>5.6177275403913166E-2</v>
      </c>
      <c r="AZ127" s="36">
        <f>8.1*((AY127/MPM!$AE128)^(1/6))</f>
        <v>11.895438601880926</v>
      </c>
      <c r="BA127" s="43">
        <f t="shared" si="57"/>
        <v>2.3016254378752275E-7</v>
      </c>
      <c r="BB127" s="38">
        <f>(MPM!$Q128^2)/(9.81*MPM!$F128*(AZ127^2))</f>
        <v>5.6177275662511253E-2</v>
      </c>
      <c r="BC127" s="36">
        <f>8.1*((BB127/MPM!$AE128)^(1/6))</f>
        <v>11.895438611007208</v>
      </c>
      <c r="BD127" s="43">
        <f t="shared" si="58"/>
        <v>7.6720852848010829E-8</v>
      </c>
      <c r="BE127" s="38">
        <f>(MPM!$Q128^2)/(9.81*MPM!$F128*(BC127^2))</f>
        <v>5.6177275576311879E-2</v>
      </c>
      <c r="BF127" s="36">
        <f>8.1*((BE127/MPM!$AE128)^(1/6))</f>
        <v>11.895438607965112</v>
      </c>
      <c r="BG127" s="43">
        <f t="shared" si="59"/>
        <v>2.5573637533333588E-8</v>
      </c>
      <c r="BH127" s="38">
        <f>(MPM!$Q128^2)/(9.81*MPM!$F128*(BF127^2))</f>
        <v>5.617727560504502E-2</v>
      </c>
      <c r="BI127" s="36">
        <f>8.1*((BH127/MPM!$AE128)^(1/6))</f>
        <v>11.895438608979145</v>
      </c>
      <c r="BJ127" s="43">
        <f t="shared" si="60"/>
        <v>8.5245557991127852E-9</v>
      </c>
      <c r="BK127" s="38">
        <f>(MPM!$Q128^2)/(9.81*MPM!$F128*(BI127^2))</f>
        <v>5.6177275595467299E-2</v>
      </c>
      <c r="BL127" s="36">
        <f>8.1*((BK127/MPM!$AE128)^(1/6))</f>
        <v>11.895438608641134</v>
      </c>
      <c r="BM127" s="43">
        <f t="shared" si="61"/>
        <v>2.8415136220875359E-9</v>
      </c>
      <c r="BN127" s="43">
        <f t="shared" si="62"/>
        <v>1.7049101188286198E-8</v>
      </c>
    </row>
    <row r="128" spans="1:66">
      <c r="A128" s="36">
        <f>MPM!B129</f>
        <v>124</v>
      </c>
      <c r="B128" s="41">
        <f>1/(MPM!AC129^0.5)</f>
        <v>12.834903181046906</v>
      </c>
      <c r="C128" s="38">
        <f>(MPM!$Q129^2)/(9.81*MPM!$F129*(Sheet1!B128^2))</f>
        <v>6.8482096160875305E-2</v>
      </c>
      <c r="D128" s="36">
        <f>8.1*((C128/MPM!$AE129)^(1/6))</f>
        <v>12.294659964983854</v>
      </c>
      <c r="E128" s="41">
        <f t="shared" si="41"/>
        <v>4.3941289763336826</v>
      </c>
      <c r="F128" s="38">
        <f>(MPM!$Q129^2)/(9.81*MPM!$F129*(D128^2))</f>
        <v>7.463270718429818E-2</v>
      </c>
      <c r="G128" s="36">
        <f>8.1*((F128/MPM!$AE129)^(1/6))</f>
        <v>12.472165934885712</v>
      </c>
      <c r="H128" s="43">
        <f t="shared" si="42"/>
        <v>1.4232168721020546</v>
      </c>
      <c r="I128" s="38">
        <f>(MPM!$Q129^2)/(9.81*MPM!$F129*(G128^2))</f>
        <v>7.2523453822919928E-2</v>
      </c>
      <c r="J128" s="36">
        <f>8.1*((I128/MPM!$AE129)^(1/6))</f>
        <v>12.412714338113465</v>
      </c>
      <c r="K128" s="43">
        <f t="shared" si="43"/>
        <v>0.47895726231046548</v>
      </c>
      <c r="L128" s="38">
        <f>(MPM!$Q129^2)/(9.81*MPM!$F129*(J128^2))</f>
        <v>7.3219830209305892E-2</v>
      </c>
      <c r="M128" s="36">
        <f>8.1*((L128/MPM!$AE129)^(1/6))</f>
        <v>12.432499982318285</v>
      </c>
      <c r="N128" s="43">
        <f t="shared" si="44"/>
        <v>0.15914453434916032</v>
      </c>
      <c r="O128" s="38">
        <f>(MPM!$Q129^2)/(9.81*MPM!$F129*(M128^2))</f>
        <v>7.2986964937368337E-2</v>
      </c>
      <c r="P128" s="36">
        <f>8.1*((O128/MPM!$AE129)^(1/6))</f>
        <v>12.425901265845525</v>
      </c>
      <c r="Q128" s="43">
        <f t="shared" si="45"/>
        <v>5.3104530058500715E-2</v>
      </c>
      <c r="R128" s="38">
        <f>(MPM!$Q129^2)/(9.81*MPM!$F129*(P128^2))</f>
        <v>7.306450428982536E-2</v>
      </c>
      <c r="S128" s="36">
        <f>8.1*((R128/MPM!$AE129)^(1/6))</f>
        <v>12.428100448760455</v>
      </c>
      <c r="T128" s="43">
        <f t="shared" si="46"/>
        <v>1.7695245737651855E-2</v>
      </c>
      <c r="U128" s="38">
        <f>(MPM!$Q129^2)/(9.81*MPM!$F129*(S128^2))</f>
        <v>7.3038648690471525E-2</v>
      </c>
      <c r="V128" s="36">
        <f>8.1*((U128/MPM!$AE129)^(1/6))</f>
        <v>12.42736734454558</v>
      </c>
      <c r="W128" s="43">
        <f t="shared" si="47"/>
        <v>5.8991111677167167E-3</v>
      </c>
      <c r="X128" s="38">
        <f>(MPM!$Q129^2)/(9.81*MPM!$F129*(V128^2))</f>
        <v>7.3047266206805753E-2</v>
      </c>
      <c r="Y128" s="36">
        <f>8.1*((X128/MPM!$AE129)^(1/6))</f>
        <v>12.427611707812183</v>
      </c>
      <c r="Z128" s="43">
        <f t="shared" si="48"/>
        <v>1.9662930605509762E-3</v>
      </c>
      <c r="AA128" s="38">
        <f>(MPM!$Q129^2)/(9.81*MPM!$F129*(Y128^2))</f>
        <v>7.3044393588395401E-2</v>
      </c>
      <c r="AB128" s="36">
        <f>8.1*((AA128/MPM!$AE129)^(1/6))</f>
        <v>12.427530252856098</v>
      </c>
      <c r="AC128" s="43">
        <f t="shared" si="49"/>
        <v>6.5543961211685878E-4</v>
      </c>
      <c r="AD128" s="38">
        <f>(MPM!$Q129^2)/(9.81*MPM!$F129*(AB128^2))</f>
        <v>7.3045351115313406E-2</v>
      </c>
      <c r="AE128" s="36">
        <f>8.1*((AD128/MPM!$AE129)^(1/6))</f>
        <v>12.427557404448807</v>
      </c>
      <c r="AF128" s="43">
        <f t="shared" si="50"/>
        <v>2.1847891605436382E-4</v>
      </c>
      <c r="AG128" s="38">
        <f>(MPM!$Q129^2)/(9.81*MPM!$F129*(AE128^2))</f>
        <v>7.3045031938279381E-2</v>
      </c>
      <c r="AH128" s="36">
        <f>8.1*((AG128/MPM!$AE129)^(1/6))</f>
        <v>12.427548353911311</v>
      </c>
      <c r="AI128" s="43">
        <f t="shared" si="51"/>
        <v>7.2826411441699975E-5</v>
      </c>
      <c r="AJ128" s="38">
        <f>(MPM!$Q129^2)/(9.81*MPM!$F129*(AH128^2))</f>
        <v>7.304513833046912E-2</v>
      </c>
      <c r="AK128" s="36">
        <f>8.1*((AJ128/MPM!$AE129)^(1/6))</f>
        <v>12.427551370756412</v>
      </c>
      <c r="AL128" s="43">
        <f t="shared" si="52"/>
        <v>2.427545870334525E-5</v>
      </c>
      <c r="AM128" s="38">
        <f>(MPM!$Q129^2)/(9.81*MPM!$F129*(AK128^2))</f>
        <v>7.3045102866388656E-2</v>
      </c>
      <c r="AN128" s="36">
        <f>8.1*((AM128/MPM!$AE129)^(1/6))</f>
        <v>12.427550365141295</v>
      </c>
      <c r="AO128" s="43">
        <f t="shared" si="53"/>
        <v>8.0918208895966568E-6</v>
      </c>
      <c r="AP128" s="38">
        <f>(MPM!$Q129^2)/(9.81*MPM!$F129*(AN128^2))</f>
        <v>7.3045114687746909E-2</v>
      </c>
      <c r="AQ128" s="36">
        <f>8.1*((AP128/MPM!$AE129)^(1/6))</f>
        <v>12.427550700346325</v>
      </c>
      <c r="AR128" s="43">
        <f t="shared" si="54"/>
        <v>2.6972734856442048E-6</v>
      </c>
      <c r="AS128" s="38">
        <f>(MPM!$Q129^2)/(9.81*MPM!$F129*(AQ128^2))</f>
        <v>7.3045110747293931E-2</v>
      </c>
      <c r="AT128" s="36">
        <f>8.1*((AS128/MPM!$AE129)^(1/6))</f>
        <v>12.427550588611316</v>
      </c>
      <c r="AU128" s="43">
        <f t="shared" si="55"/>
        <v>8.9909116043591726E-7</v>
      </c>
      <c r="AV128" s="38">
        <f>(MPM!$Q129^2)/(9.81*MPM!$F129*(AT128^2))</f>
        <v>7.3045112060778211E-2</v>
      </c>
      <c r="AW128" s="36">
        <f>8.1*((AV128/MPM!$AE129)^(1/6))</f>
        <v>12.427550625856318</v>
      </c>
      <c r="AX128" s="43">
        <f t="shared" si="56"/>
        <v>2.9969704305132235E-7</v>
      </c>
      <c r="AY128" s="38">
        <f>(MPM!$Q129^2)/(9.81*MPM!$F129*(AW128^2))</f>
        <v>7.3045111622950132E-2</v>
      </c>
      <c r="AZ128" s="36">
        <f>8.1*((AY128/MPM!$AE129)^(1/6))</f>
        <v>12.427550613441316</v>
      </c>
      <c r="BA128" s="43">
        <f t="shared" si="57"/>
        <v>9.9899028743939226E-8</v>
      </c>
      <c r="BB128" s="38">
        <f>(MPM!$Q129^2)/(9.81*MPM!$F129*(AZ128^2))</f>
        <v>7.3045111768892834E-2</v>
      </c>
      <c r="BC128" s="36">
        <f>8.1*((BB128/MPM!$AE129)^(1/6))</f>
        <v>12.427550617579652</v>
      </c>
      <c r="BD128" s="43">
        <f t="shared" si="58"/>
        <v>3.3299690530591352E-8</v>
      </c>
      <c r="BE128" s="38">
        <f>(MPM!$Q129^2)/(9.81*MPM!$F129*(BC128^2))</f>
        <v>7.3045111720245248E-2</v>
      </c>
      <c r="BF128" s="36">
        <f>8.1*((BE128/MPM!$AE129)^(1/6))</f>
        <v>12.427550616200206</v>
      </c>
      <c r="BG128" s="43">
        <f t="shared" si="59"/>
        <v>1.1099901609329294E-8</v>
      </c>
      <c r="BH128" s="38">
        <f>(MPM!$Q129^2)/(9.81*MPM!$F129*(BF128^2))</f>
        <v>7.3045111736461124E-2</v>
      </c>
      <c r="BI128" s="36">
        <f>8.1*((BH128/MPM!$AE129)^(1/6))</f>
        <v>12.427550616660019</v>
      </c>
      <c r="BJ128" s="43">
        <f t="shared" si="60"/>
        <v>3.6999529092725705E-9</v>
      </c>
      <c r="BK128" s="38">
        <f>(MPM!$Q129^2)/(9.81*MPM!$F129*(BI128^2))</f>
        <v>7.3045111731055851E-2</v>
      </c>
      <c r="BL128" s="36">
        <f>8.1*((BK128/MPM!$AE129)^(1/6))</f>
        <v>12.42755061650675</v>
      </c>
      <c r="BM128" s="43">
        <f t="shared" si="61"/>
        <v>1.2333033427391036E-9</v>
      </c>
      <c r="BN128" s="43">
        <f t="shared" si="62"/>
        <v>7.3999112643637117E-9</v>
      </c>
    </row>
    <row r="129" spans="1:66">
      <c r="A129" s="36">
        <f>MPM!B130</f>
        <v>125</v>
      </c>
      <c r="B129" s="41">
        <f>1/(MPM!AC130^0.5)</f>
        <v>12.459470832041703</v>
      </c>
      <c r="C129" s="38">
        <f>(MPM!$Q130^2)/(9.81*MPM!$F130*(Sheet1!B129^2))</f>
        <v>7.0531336953968654E-2</v>
      </c>
      <c r="D129" s="36">
        <f>8.1*((C129/MPM!$AE130)^(1/6))</f>
        <v>12.355226186179738</v>
      </c>
      <c r="E129" s="41">
        <f t="shared" si="41"/>
        <v>0.8437291579377959</v>
      </c>
      <c r="F129" s="38">
        <f>(MPM!$Q130^2)/(9.81*MPM!$F130*(D129^2))</f>
        <v>7.1726544841696507E-2</v>
      </c>
      <c r="G129" s="36">
        <f>8.1*((F129/MPM!$AE130)^(1/6))</f>
        <v>12.38987713004855</v>
      </c>
      <c r="H129" s="43">
        <f t="shared" si="42"/>
        <v>0.27967140840141524</v>
      </c>
      <c r="I129" s="38">
        <f>(MPM!$Q130^2)/(9.81*MPM!$F130*(G129^2))</f>
        <v>7.1325908582420203E-2</v>
      </c>
      <c r="J129" s="36">
        <f>8.1*((I129/MPM!$AE130)^(1/6))</f>
        <v>12.37831603102182</v>
      </c>
      <c r="K129" s="43">
        <f t="shared" si="43"/>
        <v>9.3397995315005256E-2</v>
      </c>
      <c r="L129" s="38">
        <f>(MPM!$Q130^2)/(9.81*MPM!$F130*(J129^2))</f>
        <v>7.1459204738845927E-2</v>
      </c>
      <c r="M129" s="36">
        <f>8.1*((L129/MPM!$AE130)^(1/6))</f>
        <v>12.382168531560122</v>
      </c>
      <c r="N129" s="43">
        <f t="shared" si="44"/>
        <v>3.1113294319029469E-2</v>
      </c>
      <c r="O129" s="38">
        <f>(MPM!$Q130^2)/(9.81*MPM!$F130*(M129^2))</f>
        <v>7.1414745030985077E-2</v>
      </c>
      <c r="P129" s="36">
        <f>8.1*((O129/MPM!$AE130)^(1/6))</f>
        <v>12.380884231508794</v>
      </c>
      <c r="Q129" s="43">
        <f t="shared" si="45"/>
        <v>1.0373249820552889E-2</v>
      </c>
      <c r="R129" s="38">
        <f>(MPM!$Q130^2)/(9.81*MPM!$F130*(P129^2))</f>
        <v>7.1429561859260082E-2</v>
      </c>
      <c r="S129" s="36">
        <f>8.1*((R129/MPM!$AE130)^(1/6))</f>
        <v>12.381312316724127</v>
      </c>
      <c r="T129" s="43">
        <f t="shared" si="46"/>
        <v>3.4575108387714815E-3</v>
      </c>
      <c r="U129" s="38">
        <f>(MPM!$Q130^2)/(9.81*MPM!$F130*(S129^2))</f>
        <v>7.1424622574962945E-2</v>
      </c>
      <c r="V129" s="36">
        <f>8.1*((U129/MPM!$AE130)^(1/6))</f>
        <v>12.381169620007752</v>
      </c>
      <c r="W129" s="43">
        <f t="shared" si="47"/>
        <v>1.1525301789337601E-3</v>
      </c>
      <c r="X129" s="38">
        <f>(MPM!$Q130^2)/(9.81*MPM!$F130*(V129^2))</f>
        <v>7.14262689651112E-2</v>
      </c>
      <c r="Y129" s="36">
        <f>8.1*((X129/MPM!$AE130)^(1/6))</f>
        <v>12.381217185397142</v>
      </c>
      <c r="Z129" s="43">
        <f t="shared" si="48"/>
        <v>3.841737745047344E-4</v>
      </c>
      <c r="AA129" s="38">
        <f>(MPM!$Q130^2)/(9.81*MPM!$F130*(Y129^2))</f>
        <v>7.1425720164178447E-2</v>
      </c>
      <c r="AB129" s="36">
        <f>8.1*((AA129/MPM!$AE130)^(1/6))</f>
        <v>12.381201330247041</v>
      </c>
      <c r="AC129" s="43">
        <f t="shared" si="49"/>
        <v>1.280582528170346E-4</v>
      </c>
      <c r="AD129" s="38">
        <f>(MPM!$Q130^2)/(9.81*MPM!$F130*(AB129^2))</f>
        <v>7.1425903097354179E-2</v>
      </c>
      <c r="AE129" s="36">
        <f>8.1*((AD129/MPM!$AE130)^(1/6))</f>
        <v>12.38120661529482</v>
      </c>
      <c r="AF129" s="43">
        <f t="shared" si="50"/>
        <v>4.2686047839959585E-5</v>
      </c>
      <c r="AG129" s="38">
        <f>(MPM!$Q130^2)/(9.81*MPM!$F130*(AE129^2))</f>
        <v>7.1425842119576866E-2</v>
      </c>
      <c r="AH129" s="36">
        <f>8.1*((AG129/MPM!$AE130)^(1/6))</f>
        <v>12.381204853611974</v>
      </c>
      <c r="AI129" s="43">
        <f t="shared" si="51"/>
        <v>1.4228686679960038E-5</v>
      </c>
      <c r="AJ129" s="38">
        <f>(MPM!$Q130^2)/(9.81*MPM!$F130*(AH129^2))</f>
        <v>7.1425862445496868E-2</v>
      </c>
      <c r="AK129" s="36">
        <f>8.1*((AJ129/MPM!$AE130)^(1/6))</f>
        <v>12.381205440839564</v>
      </c>
      <c r="AL129" s="43">
        <f t="shared" si="52"/>
        <v>4.7428951246104537E-6</v>
      </c>
      <c r="AM129" s="38">
        <f>(MPM!$Q130^2)/(9.81*MPM!$F130*(AK129^2))</f>
        <v>7.1425855670189539E-2</v>
      </c>
      <c r="AN129" s="36">
        <f>8.1*((AM129/MPM!$AE130)^(1/6))</f>
        <v>12.38120524509703</v>
      </c>
      <c r="AO129" s="43">
        <f t="shared" si="53"/>
        <v>1.5809650952257325E-6</v>
      </c>
      <c r="AP129" s="38">
        <f>(MPM!$Q130^2)/(9.81*MPM!$F130*(AN129^2))</f>
        <v>7.1425857928625255E-2</v>
      </c>
      <c r="AQ129" s="36">
        <f>8.1*((AP129/MPM!$AE130)^(1/6))</f>
        <v>12.381205310344541</v>
      </c>
      <c r="AR129" s="43">
        <f t="shared" si="54"/>
        <v>5.2698835751567536E-7</v>
      </c>
      <c r="AS129" s="38">
        <f>(MPM!$Q130^2)/(9.81*MPM!$F130*(AQ129^2))</f>
        <v>7.1425857175813345E-2</v>
      </c>
      <c r="AT129" s="36">
        <f>8.1*((AS129/MPM!$AE130)^(1/6))</f>
        <v>12.381205288595371</v>
      </c>
      <c r="AU129" s="43">
        <f t="shared" si="55"/>
        <v>1.7566278136473109E-7</v>
      </c>
      <c r="AV129" s="38">
        <f>(MPM!$Q130^2)/(9.81*MPM!$F130*(AT129^2))</f>
        <v>7.1425857426750644E-2</v>
      </c>
      <c r="AW129" s="36">
        <f>8.1*((AV129/MPM!$AE130)^(1/6))</f>
        <v>12.381205295845094</v>
      </c>
      <c r="AX129" s="43">
        <f t="shared" si="56"/>
        <v>5.8554255638222863E-8</v>
      </c>
      <c r="AY129" s="38">
        <f>(MPM!$Q130^2)/(9.81*MPM!$F130*(AW129^2))</f>
        <v>7.1425857343104873E-2</v>
      </c>
      <c r="AZ129" s="36">
        <f>8.1*((AY129/MPM!$AE130)^(1/6))</f>
        <v>12.381205293428518</v>
      </c>
      <c r="BA129" s="43">
        <f t="shared" si="57"/>
        <v>1.9518094781353493E-8</v>
      </c>
      <c r="BB129" s="38">
        <f>(MPM!$Q130^2)/(9.81*MPM!$F130*(AZ129^2))</f>
        <v>7.1425857370986806E-2</v>
      </c>
      <c r="BC129" s="36">
        <f>8.1*((BB129/MPM!$AE130)^(1/6))</f>
        <v>12.381205294234046</v>
      </c>
      <c r="BD129" s="43">
        <f t="shared" si="58"/>
        <v>6.5060555053686619E-9</v>
      </c>
      <c r="BE129" s="38">
        <f>(MPM!$Q130^2)/(9.81*MPM!$F130*(BC129^2))</f>
        <v>7.1425857361692796E-2</v>
      </c>
      <c r="BF129" s="36">
        <f>8.1*((BE129/MPM!$AE130)^(1/6))</f>
        <v>12.381205293965534</v>
      </c>
      <c r="BG129" s="43">
        <f t="shared" si="59"/>
        <v>2.1687090805107035E-9</v>
      </c>
      <c r="BH129" s="38">
        <f>(MPM!$Q130^2)/(9.81*MPM!$F130*(BF129^2))</f>
        <v>7.1425857364790832E-2</v>
      </c>
      <c r="BI129" s="36">
        <f>8.1*((BH129/MPM!$AE130)^(1/6))</f>
        <v>12.381205294055039</v>
      </c>
      <c r="BJ129" s="43">
        <f t="shared" si="60"/>
        <v>7.229125916346552E-10</v>
      </c>
      <c r="BK129" s="38">
        <f>(MPM!$Q130^2)/(9.81*MPM!$F130*(BI129^2))</f>
        <v>7.1425857363758144E-2</v>
      </c>
      <c r="BL129" s="36">
        <f>8.1*((BK129/MPM!$AE130)^(1/6))</f>
        <v>12.381205294025204</v>
      </c>
      <c r="BM129" s="43">
        <f t="shared" si="61"/>
        <v>2.4097564628028913E-10</v>
      </c>
      <c r="BN129" s="43">
        <f t="shared" si="62"/>
        <v>1.445817890408535E-9</v>
      </c>
    </row>
    <row r="130" spans="1:66">
      <c r="A130" s="36">
        <f>MPM!B131</f>
        <v>126</v>
      </c>
      <c r="B130" s="41">
        <f>1/(MPM!AC131^0.5)</f>
        <v>9.8193337704273258</v>
      </c>
      <c r="C130" s="38">
        <f>(MPM!$Q131^2)/(9.81*MPM!$F131*(Sheet1!B130^2))</f>
        <v>0.12075627144233003</v>
      </c>
      <c r="D130" s="36">
        <f>8.1*((C130/MPM!$AE131)^(1/6))</f>
        <v>13.513628122684274</v>
      </c>
      <c r="E130" s="41">
        <f t="shared" si="41"/>
        <v>27.337546354821058</v>
      </c>
      <c r="F130" s="38">
        <f>(MPM!$Q131^2)/(9.81*MPM!$F131*(D130^2))</f>
        <v>6.3757284665880154E-2</v>
      </c>
      <c r="G130" s="36">
        <f>8.1*((F130/MPM!$AE131)^(1/6))</f>
        <v>12.149040593668586</v>
      </c>
      <c r="H130" s="43">
        <f t="shared" si="42"/>
        <v>11.232060000909344</v>
      </c>
      <c r="I130" s="38">
        <f>(MPM!$Q131^2)/(9.81*MPM!$F131*(G130^2))</f>
        <v>7.8884154226499262E-2</v>
      </c>
      <c r="J130" s="36">
        <f>8.1*((I130/MPM!$AE131)^(1/6))</f>
        <v>12.587862101664024</v>
      </c>
      <c r="K130" s="43">
        <f t="shared" si="43"/>
        <v>3.4860685988721585</v>
      </c>
      <c r="L130" s="38">
        <f>(MPM!$Q131^2)/(9.81*MPM!$F131*(J130^2))</f>
        <v>7.3480108109733086E-2</v>
      </c>
      <c r="M130" s="36">
        <f>8.1*((L130/MPM!$AE131)^(1/6))</f>
        <v>12.439854826233622</v>
      </c>
      <c r="N130" s="43">
        <f t="shared" si="44"/>
        <v>1.1897829797682096</v>
      </c>
      <c r="O130" s="38">
        <f>(MPM!$Q131^2)/(9.81*MPM!$F131*(M130^2))</f>
        <v>7.5239017472490871E-2</v>
      </c>
      <c r="P130" s="36">
        <f>8.1*((O130/MPM!$AE131)^(1/6))</f>
        <v>12.488996205034333</v>
      </c>
      <c r="Q130" s="43">
        <f t="shared" si="45"/>
        <v>0.39347740998513148</v>
      </c>
      <c r="R130" s="38">
        <f>(MPM!$Q131^2)/(9.81*MPM!$F131*(P130^2))</f>
        <v>7.4648085282109491E-2</v>
      </c>
      <c r="S130" s="36">
        <f>8.1*((R130/MPM!$AE131)^(1/6))</f>
        <v>12.472594213876407</v>
      </c>
      <c r="T130" s="43">
        <f t="shared" si="46"/>
        <v>0.13150424744579245</v>
      </c>
      <c r="U130" s="38">
        <f>(MPM!$Q131^2)/(9.81*MPM!$F131*(S130^2))</f>
        <v>7.4844545179349548E-2</v>
      </c>
      <c r="V130" s="36">
        <f>8.1*((U130/MPM!$AE131)^(1/6))</f>
        <v>12.47805914942119</v>
      </c>
      <c r="W130" s="43">
        <f t="shared" si="47"/>
        <v>4.3796358707246449E-2</v>
      </c>
      <c r="X130" s="38">
        <f>(MPM!$Q131^2)/(9.81*MPM!$F131*(V130^2))</f>
        <v>7.4779001164480094E-2</v>
      </c>
      <c r="Y130" s="36">
        <f>8.1*((X130/MPM!$AE131)^(1/6))</f>
        <v>12.476237238236784</v>
      </c>
      <c r="Z130" s="43">
        <f t="shared" si="48"/>
        <v>1.4603050179440649E-2</v>
      </c>
      <c r="AA130" s="38">
        <f>(MPM!$Q131^2)/(9.81*MPM!$F131*(Y130^2))</f>
        <v>7.4800842789262842E-2</v>
      </c>
      <c r="AB130" s="36">
        <f>8.1*((AA130/MPM!$AE131)^(1/6))</f>
        <v>12.476844512405695</v>
      </c>
      <c r="AC130" s="43">
        <f t="shared" si="49"/>
        <v>4.8672095601292016E-3</v>
      </c>
      <c r="AD130" s="38">
        <f>(MPM!$Q131^2)/(9.81*MPM!$F131*(AB130^2))</f>
        <v>7.4793561538921416E-2</v>
      </c>
      <c r="AE130" s="36">
        <f>8.1*((AD130/MPM!$AE131)^(1/6))</f>
        <v>12.47664208439849</v>
      </c>
      <c r="AF130" s="43">
        <f t="shared" si="50"/>
        <v>1.6224558325491289E-3</v>
      </c>
      <c r="AG130" s="38">
        <f>(MPM!$Q131^2)/(9.81*MPM!$F131*(AE130^2))</f>
        <v>7.4795988543612899E-2</v>
      </c>
      <c r="AH130" s="36">
        <f>8.1*((AG130/MPM!$AE131)^(1/6))</f>
        <v>12.476709560035973</v>
      </c>
      <c r="AI130" s="43">
        <f t="shared" si="51"/>
        <v>5.4081276123396237E-4</v>
      </c>
      <c r="AJ130" s="38">
        <f>(MPM!$Q131^2)/(9.81*MPM!$F131*(AH130^2))</f>
        <v>7.4795179533298645E-2</v>
      </c>
      <c r="AK130" s="36">
        <f>8.1*((AJ130/MPM!$AE131)^(1/6))</f>
        <v>12.476687068116265</v>
      </c>
      <c r="AL130" s="43">
        <f t="shared" si="52"/>
        <v>1.8027157037161433E-4</v>
      </c>
      <c r="AM130" s="38">
        <f>(MPM!$Q131^2)/(9.81*MPM!$F131*(AK130^2))</f>
        <v>7.4795449202431141E-2</v>
      </c>
      <c r="AN130" s="36">
        <f>8.1*((AM130/MPM!$AE131)^(1/6))</f>
        <v>12.476694565418329</v>
      </c>
      <c r="AO130" s="43">
        <f t="shared" si="53"/>
        <v>6.0090451242493149E-5</v>
      </c>
      <c r="AP130" s="38">
        <f>(MPM!$Q131^2)/(9.81*MPM!$F131*(AN130^2))</f>
        <v>7.4795359312612275E-2</v>
      </c>
      <c r="AQ130" s="36">
        <f>8.1*((AP130/MPM!$AE131)^(1/6))</f>
        <v>12.47669206631714</v>
      </c>
      <c r="AR130" s="43">
        <f t="shared" si="54"/>
        <v>2.0030158441182689E-5</v>
      </c>
      <c r="AS130" s="38">
        <f>(MPM!$Q131^2)/(9.81*MPM!$F131*(AQ130^2))</f>
        <v>7.4795389275873231E-2</v>
      </c>
      <c r="AT130" s="36">
        <f>8.1*((AS130/MPM!$AE131)^(1/6))</f>
        <v>12.476692899350814</v>
      </c>
      <c r="AU130" s="43">
        <f t="shared" si="55"/>
        <v>6.6767185885032172E-6</v>
      </c>
      <c r="AV130" s="38">
        <f>(MPM!$Q131^2)/(9.81*MPM!$F131*(AT130^2))</f>
        <v>7.4795379288118247E-2</v>
      </c>
      <c r="AW130" s="36">
        <f>8.1*((AV130/MPM!$AE131)^(1/6))</f>
        <v>12.476692621672916</v>
      </c>
      <c r="AX130" s="43">
        <f t="shared" si="56"/>
        <v>2.2255729693157603E-6</v>
      </c>
      <c r="AY130" s="38">
        <f>(MPM!$Q131^2)/(9.81*MPM!$F131*(AW130^2))</f>
        <v>7.4795382617369774E-2</v>
      </c>
      <c r="AZ130" s="36">
        <f>8.1*((AY130/MPM!$AE131)^(1/6))</f>
        <v>12.476692714232216</v>
      </c>
      <c r="BA130" s="43">
        <f t="shared" si="57"/>
        <v>7.418576604266599E-7</v>
      </c>
      <c r="BB130" s="38">
        <f>(MPM!$Q131^2)/(9.81*MPM!$F131*(AZ130^2))</f>
        <v>7.4795381507619232E-2</v>
      </c>
      <c r="BC130" s="36">
        <f>8.1*((BB130/MPM!$AE131)^(1/6))</f>
        <v>12.476692683379115</v>
      </c>
      <c r="BD130" s="43">
        <f t="shared" si="58"/>
        <v>2.4728589691199082E-7</v>
      </c>
      <c r="BE130" s="38">
        <f>(MPM!$Q131^2)/(9.81*MPM!$F131*(BC130^2))</f>
        <v>7.4795381877536093E-2</v>
      </c>
      <c r="BF130" s="36">
        <f>8.1*((BE130/MPM!$AE131)^(1/6))</f>
        <v>12.476692693663484</v>
      </c>
      <c r="BG130" s="43">
        <f t="shared" si="59"/>
        <v>8.2428646473453688E-8</v>
      </c>
      <c r="BH130" s="38">
        <f>(MPM!$Q131^2)/(9.81*MPM!$F131*(BF130^2))</f>
        <v>7.479538175423045E-2</v>
      </c>
      <c r="BI130" s="36">
        <f>8.1*((BH130/MPM!$AE131)^(1/6))</f>
        <v>12.476692690235359</v>
      </c>
      <c r="BJ130" s="43">
        <f t="shared" si="60"/>
        <v>2.7476234481902735E-8</v>
      </c>
      <c r="BK130" s="38">
        <f>(MPM!$Q131^2)/(9.81*MPM!$F131*(BI130^2))</f>
        <v>7.479538179533235E-2</v>
      </c>
      <c r="BL130" s="36">
        <f>8.1*((BK130/MPM!$AE131)^(1/6))</f>
        <v>12.476692691378068</v>
      </c>
      <c r="BM130" s="43">
        <f t="shared" si="61"/>
        <v>9.1587495722626032E-9</v>
      </c>
      <c r="BN130" s="43">
        <f t="shared" si="62"/>
        <v>5.4952456522015236E-8</v>
      </c>
    </row>
    <row r="131" spans="1:66">
      <c r="A131" s="36">
        <f>MPM!B132</f>
        <v>127</v>
      </c>
      <c r="B131" s="41">
        <f>1/(MPM!AC132^0.5)</f>
        <v>11.918649257123823</v>
      </c>
      <c r="C131" s="38">
        <f>(MPM!$Q132^2)/(9.81*MPM!$F132*(Sheet1!B131^2))</f>
        <v>8.8591467289591413E-3</v>
      </c>
      <c r="D131" s="36">
        <f>8.1*((C131/MPM!$AE132)^(1/6))</f>
        <v>8.7435070287458352</v>
      </c>
      <c r="E131" s="41">
        <f t="shared" si="41"/>
        <v>36.314286909579224</v>
      </c>
      <c r="F131" s="38">
        <f>(MPM!$Q132^2)/(9.81*MPM!$F132*(D131^2))</f>
        <v>1.6461698633859382E-2</v>
      </c>
      <c r="G131" s="36">
        <f>8.1*((F131/MPM!$AE132)^(1/6))</f>
        <v>9.6946646036713702</v>
      </c>
      <c r="H131" s="43">
        <f t="shared" si="42"/>
        <v>9.8111447255775257</v>
      </c>
      <c r="I131" s="38">
        <f>(MPM!$Q132^2)/(9.81*MPM!$F132*(G131^2))</f>
        <v>1.3389994421271697E-2</v>
      </c>
      <c r="J131" s="36">
        <f>8.1*((I131/MPM!$AE132)^(1/6))</f>
        <v>9.3666382378910669</v>
      </c>
      <c r="K131" s="43">
        <f t="shared" si="43"/>
        <v>3.5020714737687966</v>
      </c>
      <c r="L131" s="38">
        <f>(MPM!$Q132^2)/(9.81*MPM!$F132*(J131^2))</f>
        <v>1.4344270936032131E-2</v>
      </c>
      <c r="M131" s="36">
        <f>8.1*((L131/MPM!$AE132)^(1/6))</f>
        <v>9.4747282152603152</v>
      </c>
      <c r="N131" s="43">
        <f t="shared" si="44"/>
        <v>1.1408240417403737</v>
      </c>
      <c r="O131" s="38">
        <f>(MPM!$Q132^2)/(9.81*MPM!$F132*(M131^2))</f>
        <v>1.4018852030579135E-2</v>
      </c>
      <c r="P131" s="36">
        <f>8.1*((O131/MPM!$AE132)^(1/6))</f>
        <v>9.4385603348291376</v>
      </c>
      <c r="Q131" s="43">
        <f t="shared" si="45"/>
        <v>0.38319276614373954</v>
      </c>
      <c r="R131" s="38">
        <f>(MPM!$Q132^2)/(9.81*MPM!$F132*(P131^2))</f>
        <v>1.4126496332525707E-2</v>
      </c>
      <c r="S131" s="36">
        <f>8.1*((R131/MPM!$AE132)^(1/6))</f>
        <v>9.4506009284828441</v>
      </c>
      <c r="T131" s="43">
        <f t="shared" si="46"/>
        <v>0.12740558769567478</v>
      </c>
      <c r="U131" s="38">
        <f>(MPM!$Q132^2)/(9.81*MPM!$F132*(S131^2))</f>
        <v>1.4090523371567638E-2</v>
      </c>
      <c r="V131" s="36">
        <f>8.1*((U131/MPM!$AE132)^(1/6))</f>
        <v>9.4465856915697852</v>
      </c>
      <c r="W131" s="43">
        <f t="shared" si="47"/>
        <v>4.2504636533833177E-2</v>
      </c>
      <c r="X131" s="38">
        <f>(MPM!$Q132^2)/(9.81*MPM!$F132*(V131^2))</f>
        <v>1.410250416871337E-2</v>
      </c>
      <c r="Y131" s="36">
        <f>8.1*((X131/MPM!$AE132)^(1/6))</f>
        <v>9.4479239142898095</v>
      </c>
      <c r="Z131" s="43">
        <f t="shared" si="48"/>
        <v>1.4164198740002822E-2</v>
      </c>
      <c r="AA131" s="38">
        <f>(MPM!$Q132^2)/(9.81*MPM!$F132*(Y131^2))</f>
        <v>1.4098509438208642E-2</v>
      </c>
      <c r="AB131" s="36">
        <f>8.1*((AA131/MPM!$AE132)^(1/6))</f>
        <v>9.4474778189871955</v>
      </c>
      <c r="AC131" s="43">
        <f t="shared" si="49"/>
        <v>4.7218454614142953E-3</v>
      </c>
      <c r="AD131" s="38">
        <f>(MPM!$Q132^2)/(9.81*MPM!$F132*(AB131^2))</f>
        <v>1.40998408892985E-2</v>
      </c>
      <c r="AE131" s="36">
        <f>8.1*((AD131/MPM!$AE132)^(1/6))</f>
        <v>9.4476265150810246</v>
      </c>
      <c r="AF131" s="43">
        <f t="shared" si="50"/>
        <v>1.5738989426783464E-3</v>
      </c>
      <c r="AG131" s="38">
        <f>(MPM!$Q132^2)/(9.81*MPM!$F132*(AE131^2))</f>
        <v>1.4099397058297904E-2</v>
      </c>
      <c r="AH131" s="36">
        <f>8.1*((AG131/MPM!$AE132)^(1/6))</f>
        <v>9.4475769494563782</v>
      </c>
      <c r="AI131" s="43">
        <f t="shared" si="51"/>
        <v>5.2463848573650821E-4</v>
      </c>
      <c r="AJ131" s="38">
        <f>(MPM!$Q132^2)/(9.81*MPM!$F132*(AH131^2))</f>
        <v>1.409954500041243E-2</v>
      </c>
      <c r="AK131" s="36">
        <f>8.1*((AJ131/MPM!$AE132)^(1/6))</f>
        <v>9.4475934713023655</v>
      </c>
      <c r="AL131" s="43">
        <f t="shared" si="52"/>
        <v>1.748788835750968E-4</v>
      </c>
      <c r="AM131" s="38">
        <f>(MPM!$Q132^2)/(9.81*MPM!$F132*(AK131^2))</f>
        <v>1.4099495686201781E-2</v>
      </c>
      <c r="AN131" s="36">
        <f>8.1*((AM131/MPM!$AE132)^(1/6))</f>
        <v>9.4475879640171598</v>
      </c>
      <c r="AO131" s="43">
        <f t="shared" si="53"/>
        <v>5.8293029148054154E-5</v>
      </c>
      <c r="AP131" s="38">
        <f>(MPM!$Q132^2)/(9.81*MPM!$F132*(AN131^2))</f>
        <v>1.409951212425283E-2</v>
      </c>
      <c r="AQ131" s="36">
        <f>8.1*((AP131/MPM!$AE132)^(1/6))</f>
        <v>9.4475897997785374</v>
      </c>
      <c r="AR131" s="43">
        <f t="shared" si="54"/>
        <v>1.943100215486404E-5</v>
      </c>
      <c r="AS131" s="38">
        <f>(MPM!$Q132^2)/(9.81*MPM!$F132*(AQ131^2))</f>
        <v>1.4099506644900353E-2</v>
      </c>
      <c r="AT131" s="36">
        <f>8.1*((AS131/MPM!$AE132)^(1/6))</f>
        <v>9.4475891878580391</v>
      </c>
      <c r="AU131" s="43">
        <f t="shared" si="55"/>
        <v>6.4770015514523675E-6</v>
      </c>
      <c r="AV131" s="38">
        <f>(MPM!$Q132^2)/(9.81*MPM!$F132*(AT131^2))</f>
        <v>1.4099508471350941E-2</v>
      </c>
      <c r="AW131" s="36">
        <f>8.1*((AV131/MPM!$AE132)^(1/6))</f>
        <v>9.447589391831535</v>
      </c>
      <c r="AX131" s="43">
        <f t="shared" si="56"/>
        <v>2.1590004329335123E-6</v>
      </c>
      <c r="AY131" s="38">
        <f>(MPM!$Q132^2)/(9.81*MPM!$F132*(AW131^2))</f>
        <v>1.4099507862534048E-2</v>
      </c>
      <c r="AZ131" s="36">
        <f>8.1*((AY131/MPM!$AE132)^(1/6))</f>
        <v>9.4475893238403668</v>
      </c>
      <c r="BA131" s="43">
        <f t="shared" si="57"/>
        <v>7.196668474940797E-7</v>
      </c>
      <c r="BB131" s="38">
        <f>(MPM!$Q132^2)/(9.81*MPM!$F132*(AZ131^2))</f>
        <v>1.4099508065473018E-2</v>
      </c>
      <c r="BC131" s="36">
        <f>8.1*((BB131/MPM!$AE132)^(1/6))</f>
        <v>9.4475893465040901</v>
      </c>
      <c r="BD131" s="43">
        <f t="shared" si="58"/>
        <v>2.3988895485663388E-7</v>
      </c>
      <c r="BE131" s="38">
        <f>(MPM!$Q132^2)/(9.81*MPM!$F132*(BC131^2))</f>
        <v>1.4099507997826694E-2</v>
      </c>
      <c r="BF131" s="36">
        <f>8.1*((BE131/MPM!$AE132)^(1/6))</f>
        <v>9.4475893389495162</v>
      </c>
      <c r="BG131" s="43">
        <f t="shared" si="59"/>
        <v>7.9962978748744328E-8</v>
      </c>
      <c r="BH131" s="38">
        <f>(MPM!$Q132^2)/(9.81*MPM!$F132*(BF131^2))</f>
        <v>1.4099508020375467E-2</v>
      </c>
      <c r="BI131" s="36">
        <f>8.1*((BH131/MPM!$AE132)^(1/6))</f>
        <v>9.4475893414677081</v>
      </c>
      <c r="BJ131" s="43">
        <f t="shared" si="60"/>
        <v>2.665433250988466E-8</v>
      </c>
      <c r="BK131" s="38">
        <f>(MPM!$Q132^2)/(9.81*MPM!$F132*(BI131^2))</f>
        <v>1.4099508012859207E-2</v>
      </c>
      <c r="BL131" s="36">
        <f>8.1*((BK131/MPM!$AE132)^(1/6))</f>
        <v>9.447589340628312</v>
      </c>
      <c r="BM131" s="43">
        <f t="shared" si="61"/>
        <v>8.8847649692687805E-9</v>
      </c>
      <c r="BN131" s="43">
        <f t="shared" si="62"/>
        <v>5.3308669897120105E-8</v>
      </c>
    </row>
    <row r="132" spans="1:66">
      <c r="A132" s="36">
        <f>MPM!B133</f>
        <v>128</v>
      </c>
      <c r="B132" s="41">
        <f>1/(MPM!AC133^0.5)</f>
        <v>10.087247650702682</v>
      </c>
      <c r="C132" s="38">
        <f>(MPM!$Q133^2)/(9.81*MPM!$F133*(Sheet1!B132^2))</f>
        <v>9.7145271087734231E-3</v>
      </c>
      <c r="D132" s="36">
        <f>8.1*((C132/MPM!$AE133)^(1/6))</f>
        <v>8.8788617095757036</v>
      </c>
      <c r="E132" s="41">
        <f t="shared" si="41"/>
        <v>13.609694357822407</v>
      </c>
      <c r="F132" s="38">
        <f>(MPM!$Q133^2)/(9.81*MPM!$F133*(D132^2))</f>
        <v>1.253869814809579E-2</v>
      </c>
      <c r="G132" s="36">
        <f>8.1*((F132/MPM!$AE133)^(1/6))</f>
        <v>9.2646515310328947</v>
      </c>
      <c r="H132" s="43">
        <f t="shared" si="42"/>
        <v>4.1641050412414193</v>
      </c>
      <c r="I132" s="38">
        <f>(MPM!$Q133^2)/(9.81*MPM!$F133*(G132^2))</f>
        <v>1.1516190839908919E-2</v>
      </c>
      <c r="J132" s="36">
        <f>8.1*((I132/MPM!$AE133)^(1/6))</f>
        <v>9.1342274821849951</v>
      </c>
      <c r="K132" s="43">
        <f t="shared" si="43"/>
        <v>1.4278607479644345</v>
      </c>
      <c r="L132" s="38">
        <f>(MPM!$Q133^2)/(9.81*MPM!$F133*(J132^2))</f>
        <v>1.1847409082465588E-2</v>
      </c>
      <c r="M132" s="36">
        <f>8.1*((L132/MPM!$AE133)^(1/6))</f>
        <v>9.1774968717602459</v>
      </c>
      <c r="N132" s="43">
        <f t="shared" si="44"/>
        <v>0.4714726703791472</v>
      </c>
      <c r="O132" s="38">
        <f>(MPM!$Q133^2)/(9.81*MPM!$F133*(M132^2))</f>
        <v>1.1735957842406825E-2</v>
      </c>
      <c r="P132" s="36">
        <f>8.1*((O132/MPM!$AE133)^(1/6))</f>
        <v>9.1630510153044611</v>
      </c>
      <c r="Q132" s="43">
        <f t="shared" si="45"/>
        <v>0.15765334528484873</v>
      </c>
      <c r="R132" s="38">
        <f>(MPM!$Q133^2)/(9.81*MPM!$F133*(P132^2))</f>
        <v>1.1772991271913485E-2</v>
      </c>
      <c r="S132" s="36">
        <f>8.1*((R132/MPM!$AE133)^(1/6))</f>
        <v>9.1678637725175101</v>
      </c>
      <c r="T132" s="43">
        <f t="shared" si="46"/>
        <v>5.2495950337702033E-2</v>
      </c>
      <c r="U132" s="38">
        <f>(MPM!$Q133^2)/(9.81*MPM!$F133*(S132^2))</f>
        <v>1.1760633829040889E-2</v>
      </c>
      <c r="V132" s="36">
        <f>8.1*((U132/MPM!$AE133)^(1/6))</f>
        <v>9.1662592393087454</v>
      </c>
      <c r="W132" s="43">
        <f t="shared" si="47"/>
        <v>1.7504776669240683E-2</v>
      </c>
      <c r="X132" s="38">
        <f>(MPM!$Q133^2)/(9.81*MPM!$F133*(V132^2))</f>
        <v>1.1764751534780266E-2</v>
      </c>
      <c r="Y132" s="36">
        <f>8.1*((X132/MPM!$AE133)^(1/6))</f>
        <v>9.1667940525069298</v>
      </c>
      <c r="Z132" s="43">
        <f t="shared" si="48"/>
        <v>5.834244721993293E-3</v>
      </c>
      <c r="AA132" s="38">
        <f>(MPM!$Q133^2)/(9.81*MPM!$F133*(Y132^2))</f>
        <v>1.1763378806034664E-2</v>
      </c>
      <c r="AB132" s="36">
        <f>8.1*((AA132/MPM!$AE133)^(1/6))</f>
        <v>9.1666157779738313</v>
      </c>
      <c r="AC132" s="43">
        <f t="shared" si="49"/>
        <v>1.9448238850248119E-3</v>
      </c>
      <c r="AD132" s="38">
        <f>(MPM!$Q133^2)/(9.81*MPM!$F133*(AB132^2))</f>
        <v>1.1763836364485384E-2</v>
      </c>
      <c r="AE132" s="36">
        <f>8.1*((AD132/MPM!$AE133)^(1/6))</f>
        <v>9.1666752024329661</v>
      </c>
      <c r="AF132" s="43">
        <f t="shared" si="50"/>
        <v>6.4826622327567864E-4</v>
      </c>
      <c r="AG132" s="38">
        <f>(MPM!$Q133^2)/(9.81*MPM!$F133*(AE132^2))</f>
        <v>1.1763683843024335E-2</v>
      </c>
      <c r="AH132" s="36">
        <f>8.1*((AG132/MPM!$AE133)^(1/6))</f>
        <v>9.1666553942371198</v>
      </c>
      <c r="AI132" s="43">
        <f t="shared" si="51"/>
        <v>2.1608967496139489E-4</v>
      </c>
      <c r="AJ132" s="38">
        <f>(MPM!$Q133^2)/(9.81*MPM!$F133*(AH132^2))</f>
        <v>1.1763734683291623E-2</v>
      </c>
      <c r="AK132" s="36">
        <f>8.1*((AJ132/MPM!$AE133)^(1/6))</f>
        <v>9.1666619969643115</v>
      </c>
      <c r="AL132" s="43">
        <f t="shared" si="52"/>
        <v>7.2029787875336069E-5</v>
      </c>
      <c r="AM132" s="38">
        <f>(MPM!$Q133^2)/(9.81*MPM!$F133*(AK132^2))</f>
        <v>1.1763717736511449E-2</v>
      </c>
      <c r="AN132" s="36">
        <f>8.1*((AM132/MPM!$AE133)^(1/6))</f>
        <v>9.1666597960547183</v>
      </c>
      <c r="AO132" s="43">
        <f t="shared" si="53"/>
        <v>2.4009940831327433E-5</v>
      </c>
      <c r="AP132" s="38">
        <f>(MPM!$Q133^2)/(9.81*MPM!$F133*(AN132^2))</f>
        <v>1.1763723385435465E-2</v>
      </c>
      <c r="AQ132" s="36">
        <f>8.1*((AP132/MPM!$AE133)^(1/6))</f>
        <v>9.1666605296911907</v>
      </c>
      <c r="AR132" s="43">
        <f t="shared" si="54"/>
        <v>8.0033123304234018E-6</v>
      </c>
      <c r="AS132" s="38">
        <f>(MPM!$Q133^2)/(9.81*MPM!$F133*(AQ132^2))</f>
        <v>1.1763721502460493E-2</v>
      </c>
      <c r="AT132" s="36">
        <f>8.1*((AS132/MPM!$AE133)^(1/6))</f>
        <v>9.166660285145694</v>
      </c>
      <c r="AU132" s="43">
        <f t="shared" si="55"/>
        <v>2.6677709125726528E-6</v>
      </c>
      <c r="AV132" s="38">
        <f>(MPM!$Q133^2)/(9.81*MPM!$F133*(AT132^2))</f>
        <v>1.1763722130118781E-2</v>
      </c>
      <c r="AW132" s="36">
        <f>8.1*((AV132/MPM!$AE133)^(1/6))</f>
        <v>9.1666603666608584</v>
      </c>
      <c r="AX132" s="43">
        <f t="shared" si="56"/>
        <v>8.8925695003080374E-7</v>
      </c>
      <c r="AY132" s="38">
        <f>(MPM!$Q133^2)/(9.81*MPM!$F133*(AW132^2))</f>
        <v>1.1763721920899348E-2</v>
      </c>
      <c r="AZ132" s="36">
        <f>8.1*((AY132/MPM!$AE133)^(1/6))</f>
        <v>9.1666603394891375</v>
      </c>
      <c r="BA132" s="43">
        <f t="shared" si="57"/>
        <v>2.9641897776275947E-7</v>
      </c>
      <c r="BB132" s="38">
        <f>(MPM!$Q133^2)/(9.81*MPM!$F133*(AZ132^2))</f>
        <v>1.1763721990639159E-2</v>
      </c>
      <c r="BC132" s="36">
        <f>8.1*((BB132/MPM!$AE133)^(1/6))</f>
        <v>9.1666603485463778</v>
      </c>
      <c r="BD132" s="43">
        <f t="shared" si="58"/>
        <v>9.8806325823292922E-8</v>
      </c>
      <c r="BE132" s="38">
        <f>(MPM!$Q133^2)/(9.81*MPM!$F133*(BC132^2))</f>
        <v>1.1763721967392555E-2</v>
      </c>
      <c r="BF132" s="36">
        <f>8.1*((BE132/MPM!$AE133)^(1/6))</f>
        <v>9.1666603455272959</v>
      </c>
      <c r="BG132" s="43">
        <f t="shared" si="59"/>
        <v>3.293546133039669E-8</v>
      </c>
      <c r="BH132" s="38">
        <f>(MPM!$Q133^2)/(9.81*MPM!$F133*(BF132^2))</f>
        <v>1.1763721975141427E-2</v>
      </c>
      <c r="BI132" s="36">
        <f>8.1*((BH132/MPM!$AE133)^(1/6))</f>
        <v>9.1666603465336589</v>
      </c>
      <c r="BJ132" s="43">
        <f t="shared" si="60"/>
        <v>1.0978512946862436E-8</v>
      </c>
      <c r="BK132" s="38">
        <f>(MPM!$Q133^2)/(9.81*MPM!$F133*(BI132^2))</f>
        <v>1.1763721972558464E-2</v>
      </c>
      <c r="BL132" s="36">
        <f>8.1*((BK132/MPM!$AE133)^(1/6))</f>
        <v>9.1666603461982028</v>
      </c>
      <c r="BM132" s="43">
        <f t="shared" si="61"/>
        <v>3.6595236942063415E-9</v>
      </c>
      <c r="BN132" s="43">
        <f t="shared" si="62"/>
        <v>2.1957024852464748E-8</v>
      </c>
    </row>
    <row r="133" spans="1:66">
      <c r="A133" s="36">
        <f>MPM!B134</f>
        <v>129</v>
      </c>
      <c r="B133" s="41">
        <f>1/(MPM!AC134^0.5)</f>
        <v>9.2792992402767123</v>
      </c>
      <c r="C133" s="38">
        <f>(MPM!$Q134^2)/(9.81*MPM!$F134*(Sheet1!B133^2))</f>
        <v>9.5089219108306523E-3</v>
      </c>
      <c r="D133" s="36">
        <f>8.1*((C133/MPM!$AE134)^(1/6))</f>
        <v>8.8472621223754349</v>
      </c>
      <c r="E133" s="41">
        <f t="shared" si="41"/>
        <v>4.8832860598604952</v>
      </c>
      <c r="F133" s="38">
        <f>(MPM!$Q134^2)/(9.81*MPM!$F134*(D133^2))</f>
        <v>1.046029306128445E-2</v>
      </c>
      <c r="G133" s="36">
        <f>8.1*((F133/MPM!$AE134)^(1/6))</f>
        <v>8.9889919134351004</v>
      </c>
      <c r="H133" s="43">
        <f t="shared" si="42"/>
        <v>1.5767039555106706</v>
      </c>
      <c r="I133" s="38">
        <f>(MPM!$Q134^2)/(9.81*MPM!$F134*(G133^2))</f>
        <v>1.0133037776378825E-2</v>
      </c>
      <c r="J133" s="36">
        <f>8.1*((I133/MPM!$AE134)^(1/6))</f>
        <v>8.9414981562144824</v>
      </c>
      <c r="K133" s="43">
        <f t="shared" si="43"/>
        <v>0.53116106932940632</v>
      </c>
      <c r="L133" s="38">
        <f>(MPM!$Q134^2)/(9.81*MPM!$F134*(J133^2))</f>
        <v>1.0240969165500005E-2</v>
      </c>
      <c r="M133" s="36">
        <f>8.1*((L133/MPM!$AE134)^(1/6))</f>
        <v>8.9573014612261144</v>
      </c>
      <c r="N133" s="43">
        <f t="shared" si="44"/>
        <v>0.17642930831389858</v>
      </c>
      <c r="O133" s="38">
        <f>(MPM!$Q134^2)/(9.81*MPM!$F134*(M133^2))</f>
        <v>1.0204864900746147E-2</v>
      </c>
      <c r="P133" s="36">
        <f>8.1*((O133/MPM!$AE134)^(1/6))</f>
        <v>8.9520305918864072</v>
      </c>
      <c r="Q133" s="43">
        <f t="shared" si="45"/>
        <v>5.8879036276802084E-2</v>
      </c>
      <c r="R133" s="38">
        <f>(MPM!$Q134^2)/(9.81*MPM!$F134*(P133^2))</f>
        <v>1.021688549072223E-2</v>
      </c>
      <c r="S133" s="36">
        <f>8.1*((R133/MPM!$AE134)^(1/6))</f>
        <v>8.9537872036193846</v>
      </c>
      <c r="T133" s="43">
        <f t="shared" si="46"/>
        <v>1.9618645083137574E-2</v>
      </c>
      <c r="U133" s="38">
        <f>(MPM!$Q134^2)/(9.81*MPM!$F134*(S133^2))</f>
        <v>1.0212877054955247E-2</v>
      </c>
      <c r="V133" s="36">
        <f>8.1*((U133/MPM!$AE134)^(1/6))</f>
        <v>8.9532016280793929</v>
      </c>
      <c r="W133" s="43">
        <f t="shared" si="47"/>
        <v>6.5404038054411411E-3</v>
      </c>
      <c r="X133" s="38">
        <f>(MPM!$Q134^2)/(9.81*MPM!$F134*(V133^2))</f>
        <v>1.0214213025441845E-2</v>
      </c>
      <c r="Y133" s="36">
        <f>8.1*((X133/MPM!$AE134)^(1/6))</f>
        <v>8.9533968156707679</v>
      </c>
      <c r="Z133" s="43">
        <f t="shared" si="48"/>
        <v>2.180039546928342E-3</v>
      </c>
      <c r="AA133" s="38">
        <f>(MPM!$Q134^2)/(9.81*MPM!$F134*(Y133^2))</f>
        <v>1.0213767682529499E-2</v>
      </c>
      <c r="AB133" s="36">
        <f>8.1*((AA133/MPM!$AE134)^(1/6))</f>
        <v>8.9533317526675074</v>
      </c>
      <c r="AC133" s="43">
        <f t="shared" si="49"/>
        <v>7.2669041042967961E-4</v>
      </c>
      <c r="AD133" s="38">
        <f>(MPM!$Q134^2)/(9.81*MPM!$F134*(AB133^2))</f>
        <v>1.0213916128009452E-2</v>
      </c>
      <c r="AE133" s="36">
        <f>8.1*((AD133/MPM!$AE134)^(1/6))</f>
        <v>8.9533534402827275</v>
      </c>
      <c r="AF133" s="43">
        <f t="shared" si="50"/>
        <v>2.4222896331299319E-4</v>
      </c>
      <c r="AG133" s="38">
        <f>(MPM!$Q134^2)/(9.81*MPM!$F134*(AE133^2))</f>
        <v>1.0213866645943081E-2</v>
      </c>
      <c r="AH133" s="36">
        <f>8.1*((AG133/MPM!$AE134)^(1/6))</f>
        <v>8.9533462110718158</v>
      </c>
      <c r="AI133" s="43">
        <f t="shared" si="51"/>
        <v>8.0743118173345847E-5</v>
      </c>
      <c r="AJ133" s="38">
        <f>(MPM!$Q134^2)/(9.81*MPM!$F134*(AH133^2))</f>
        <v>1.0213883139938571E-2</v>
      </c>
      <c r="AK133" s="36">
        <f>8.1*((AJ133/MPM!$AE134)^(1/6))</f>
        <v>8.9533486208081374</v>
      </c>
      <c r="AL133" s="43">
        <f t="shared" si="52"/>
        <v>2.6914358232353697E-5</v>
      </c>
      <c r="AM133" s="38">
        <f>(MPM!$Q134^2)/(9.81*MPM!$F134*(AK133^2))</f>
        <v>1.0213877641937116E-2</v>
      </c>
      <c r="AN133" s="36">
        <f>8.1*((AM133/MPM!$AE134)^(1/6))</f>
        <v>8.9533478175626247</v>
      </c>
      <c r="AO133" s="43">
        <f t="shared" si="53"/>
        <v>8.9714543558200923E-6</v>
      </c>
      <c r="AP133" s="38">
        <f>(MPM!$Q134^2)/(9.81*MPM!$F134*(AN133^2))</f>
        <v>1.021387947460394E-2</v>
      </c>
      <c r="AQ133" s="36">
        <f>8.1*((AP133/MPM!$AE134)^(1/6))</f>
        <v>8.9533480853111218</v>
      </c>
      <c r="AR133" s="43">
        <f t="shared" si="54"/>
        <v>2.9904846164828144E-6</v>
      </c>
      <c r="AS133" s="38">
        <f>(MPM!$Q134^2)/(9.81*MPM!$F134*(AQ133^2))</f>
        <v>1.021387886371496E-2</v>
      </c>
      <c r="AT133" s="36">
        <f>8.1*((AS133/MPM!$AE134)^(1/6))</f>
        <v>8.9533479960616216</v>
      </c>
      <c r="AU133" s="43">
        <f t="shared" si="55"/>
        <v>9.9682822865769699E-7</v>
      </c>
      <c r="AV133" s="38">
        <f>(MPM!$Q134^2)/(9.81*MPM!$F134*(AT133^2))</f>
        <v>1.0213879067344618E-2</v>
      </c>
      <c r="AW133" s="36">
        <f>8.1*((AV133/MPM!$AE134)^(1/6))</f>
        <v>8.9533480258114562</v>
      </c>
      <c r="AX133" s="43">
        <f t="shared" si="56"/>
        <v>3.3227608834191878E-7</v>
      </c>
      <c r="AY133" s="38">
        <f>(MPM!$Q134^2)/(9.81*MPM!$F134*(AW133^2))</f>
        <v>1.0213878999468061E-2</v>
      </c>
      <c r="AZ133" s="36">
        <f>8.1*((AY133/MPM!$AE134)^(1/6))</f>
        <v>8.9533480158948429</v>
      </c>
      <c r="BA133" s="43">
        <f t="shared" si="57"/>
        <v>1.1075871607678848E-7</v>
      </c>
      <c r="BB133" s="38">
        <f>(MPM!$Q134^2)/(9.81*MPM!$F134*(AZ133^2))</f>
        <v>1.0213879022093584E-2</v>
      </c>
      <c r="BC133" s="36">
        <f>8.1*((BB133/MPM!$AE134)^(1/6))</f>
        <v>8.9533480192003818</v>
      </c>
      <c r="BD133" s="43">
        <f t="shared" si="58"/>
        <v>3.6919585238726038E-8</v>
      </c>
      <c r="BE133" s="38">
        <f>(MPM!$Q134^2)/(9.81*MPM!$F134*(BC133^2))</f>
        <v>1.021387901455174E-2</v>
      </c>
      <c r="BF133" s="36">
        <f>8.1*((BE133/MPM!$AE134)^(1/6))</f>
        <v>8.9533480180985361</v>
      </c>
      <c r="BG133" s="43">
        <f t="shared" si="59"/>
        <v>1.2306521801042969E-8</v>
      </c>
      <c r="BH133" s="38">
        <f>(MPM!$Q134^2)/(9.81*MPM!$F134*(BF133^2))</f>
        <v>1.0213879017065686E-2</v>
      </c>
      <c r="BI133" s="36">
        <f>8.1*((BH133/MPM!$AE134)^(1/6))</f>
        <v>8.9533480184658156</v>
      </c>
      <c r="BJ133" s="43">
        <f t="shared" si="60"/>
        <v>4.1021474799918509E-9</v>
      </c>
      <c r="BK133" s="38">
        <f>(MPM!$Q134^2)/(9.81*MPM!$F134*(BI133^2))</f>
        <v>1.0213879016227711E-2</v>
      </c>
      <c r="BL133" s="36">
        <f>8.1*((BK133/MPM!$AE134)^(1/6))</f>
        <v>8.9533480183433909</v>
      </c>
      <c r="BM133" s="43">
        <f t="shared" si="61"/>
        <v>1.3673626532086677E-9</v>
      </c>
      <c r="BN133" s="43">
        <f t="shared" si="62"/>
        <v>8.204282829021072E-9</v>
      </c>
    </row>
    <row r="134" spans="1:66">
      <c r="A134" s="36">
        <f>MPM!B135</f>
        <v>130</v>
      </c>
      <c r="B134" s="41">
        <f>1/(MPM!AC135^0.5)</f>
        <v>9.2154191672325485</v>
      </c>
      <c r="C134" s="38">
        <f>(MPM!$Q135^2)/(9.81*MPM!$F135*(Sheet1!B134^2))</f>
        <v>1.3148974088540006E-2</v>
      </c>
      <c r="D134" s="36">
        <f>8.1*((C134/MPM!$AE135)^(1/6))</f>
        <v>9.3383251743326205</v>
      </c>
      <c r="E134" s="41">
        <f t="shared" ref="E134:E141" si="63">100*ABS(D134-B134)/D134</f>
        <v>1.316146148325315</v>
      </c>
      <c r="F134" s="38">
        <f>(MPM!$Q135^2)/(9.81*MPM!$F135*(D134^2))</f>
        <v>1.2805132375305355E-2</v>
      </c>
      <c r="G134" s="36">
        <f>8.1*((F134/MPM!$AE135)^(1/6))</f>
        <v>9.2971754435875944</v>
      </c>
      <c r="H134" s="43">
        <f t="shared" ref="H134:H141" si="64">100*ABS(G134-D134)/G134</f>
        <v>0.44260464906476249</v>
      </c>
      <c r="I134" s="38">
        <f>(MPM!$Q135^2)/(9.81*MPM!$F135*(G134^2))</f>
        <v>1.2918735448832486E-2</v>
      </c>
      <c r="J134" s="36">
        <f>8.1*((I134/MPM!$AE135)^(1/6))</f>
        <v>9.3108718333809524</v>
      </c>
      <c r="K134" s="43">
        <f t="shared" ref="K134:K141" si="65">100*ABS(J134-G134)/J134</f>
        <v>0.14710104529904747</v>
      </c>
      <c r="L134" s="38">
        <f>(MPM!$Q135^2)/(9.81*MPM!$F135*(J134^2))</f>
        <v>1.2880756213549904E-2</v>
      </c>
      <c r="M134" s="36">
        <f>8.1*((L134/MPM!$AE135)^(1/6))</f>
        <v>9.3063041296705151</v>
      </c>
      <c r="N134" s="43">
        <f t="shared" ref="N134:N141" si="66">100*ABS(M134-J134)/M134</f>
        <v>4.9081822889007178E-2</v>
      </c>
      <c r="O134" s="38">
        <f>(MPM!$Q135^2)/(9.81*MPM!$F135*(M134^2))</f>
        <v>1.2893403536459713E-2</v>
      </c>
      <c r="P134" s="36">
        <f>8.1*((O134/MPM!$AE135)^(1/6))</f>
        <v>9.3078264485405384</v>
      </c>
      <c r="Q134" s="43">
        <f t="shared" ref="Q134:Q141" si="67">100*ABS(P134-M134)/P134</f>
        <v>1.6355256282867166E-2</v>
      </c>
      <c r="R134" s="38">
        <f>(MPM!$Q135^2)/(9.81*MPM!$F135*(P134^2))</f>
        <v>1.2889186382967101E-2</v>
      </c>
      <c r="S134" s="36">
        <f>8.1*((R134/MPM!$AE135)^(1/6))</f>
        <v>9.3073189812503312</v>
      </c>
      <c r="T134" s="43">
        <f t="shared" ref="T134:T141" si="68">100*ABS(S134-P134)/S134</f>
        <v>5.4523466019540936E-3</v>
      </c>
      <c r="U134" s="38">
        <f>(MPM!$Q135^2)/(9.81*MPM!$F135*(S134^2))</f>
        <v>1.2890591947515725E-2</v>
      </c>
      <c r="V134" s="36">
        <f>8.1*((U134/MPM!$AE135)^(1/6))</f>
        <v>9.3074881339395077</v>
      </c>
      <c r="W134" s="43">
        <f t="shared" ref="W134:W141" si="69">100*ABS(V134-S134)/V134</f>
        <v>1.8173828077168168E-3</v>
      </c>
      <c r="X134" s="38">
        <f>(MPM!$Q135^2)/(9.81*MPM!$F135*(V134^2))</f>
        <v>1.2890123408969599E-2</v>
      </c>
      <c r="Y134" s="36">
        <f>8.1*((X134/MPM!$AE135)^(1/6))</f>
        <v>9.3074317493682077</v>
      </c>
      <c r="Z134" s="43">
        <f t="shared" ref="Z134:Z141" si="70">100*ABS(Y134-V134)/Y134</f>
        <v>6.0580160906148592E-4</v>
      </c>
      <c r="AA134" s="38">
        <f>(MPM!$Q135^2)/(9.81*MPM!$F135*(Y134^2))</f>
        <v>1.2890279586592704E-2</v>
      </c>
      <c r="AB134" s="36">
        <f>8.1*((AA134/MPM!$AE135)^(1/6))</f>
        <v>9.3074505441873541</v>
      </c>
      <c r="AC134" s="43">
        <f t="shared" ref="AC134:AC141" si="71">100*ABS(AB134-Y134)/AB134</f>
        <v>2.0193305413895708E-4</v>
      </c>
      <c r="AD134" s="38">
        <f>(MPM!$Q135^2)/(9.81*MPM!$F135*(AB134^2))</f>
        <v>1.2890227527174754E-2</v>
      </c>
      <c r="AE134" s="36">
        <f>8.1*((AD134/MPM!$AE135)^(1/6))</f>
        <v>9.3074442792434198</v>
      </c>
      <c r="AF134" s="43">
        <f t="shared" ref="AF134:AF141" si="72">100*ABS(AE134-AB134)/AE134</f>
        <v>6.7311108681780094E-5</v>
      </c>
      <c r="AG134" s="38">
        <f>(MPM!$Q135^2)/(9.81*MPM!$F135*(AE134^2))</f>
        <v>1.2890244880290716E-2</v>
      </c>
      <c r="AH134" s="36">
        <f>8.1*((AG134/MPM!$AE135)^(1/6))</f>
        <v>9.3074463675575974</v>
      </c>
      <c r="AI134" s="43">
        <f t="shared" ref="AI134:AI141" si="73">100*ABS(AH134-AE134)/AH134</f>
        <v>2.2437026173614591E-5</v>
      </c>
      <c r="AJ134" s="38">
        <f>(MPM!$Q135^2)/(9.81*MPM!$F135*(AH134^2))</f>
        <v>1.2890239095916129E-2</v>
      </c>
      <c r="AK134" s="36">
        <f>8.1*((AJ134/MPM!$AE135)^(1/6))</f>
        <v>9.30744567145282</v>
      </c>
      <c r="AL134" s="43">
        <f t="shared" ref="AL134:AL141" si="74">100*ABS(AK134-AH134)/AK134</f>
        <v>7.4790098373686024E-6</v>
      </c>
      <c r="AM134" s="38">
        <f>(MPM!$Q135^2)/(9.81*MPM!$F135*(AK134^2))</f>
        <v>1.2890241024040702E-2</v>
      </c>
      <c r="AN134" s="36">
        <f>8.1*((AM134/MPM!$AE135)^(1/6))</f>
        <v>9.3074459034877393</v>
      </c>
      <c r="AO134" s="43">
        <f t="shared" ref="AO134:AO141" si="75">100*ABS(AN134-AK134)/AN134</f>
        <v>2.4930031469926708E-6</v>
      </c>
      <c r="AP134" s="38">
        <f>(MPM!$Q135^2)/(9.81*MPM!$F135*(AN134^2))</f>
        <v>1.289024038133248E-2</v>
      </c>
      <c r="AQ134" s="36">
        <f>8.1*((AP134/MPM!$AE135)^(1/6))</f>
        <v>9.3074458261427662</v>
      </c>
      <c r="AR134" s="43">
        <f t="shared" ref="AR134:AR141" si="76">100*ABS(AQ134-AN134)/AQ134</f>
        <v>8.3100105590318443E-7</v>
      </c>
      <c r="AS134" s="38">
        <f>(MPM!$Q135^2)/(9.81*MPM!$F135*(AQ134^2))</f>
        <v>1.2890240595568548E-2</v>
      </c>
      <c r="AT134" s="36">
        <f>8.1*((AS134/MPM!$AE135)^(1/6))</f>
        <v>9.3074458519244221</v>
      </c>
      <c r="AU134" s="43">
        <f t="shared" ref="AU134:AU141" si="77">100*ABS(AT134-AQ134)/AT134</f>
        <v>2.7700033211510536E-7</v>
      </c>
      <c r="AV134" s="38">
        <f>(MPM!$Q135^2)/(9.81*MPM!$F135*(AT134^2))</f>
        <v>1.2890240524156528E-2</v>
      </c>
      <c r="AW134" s="36">
        <f>8.1*((AV134/MPM!$AE135)^(1/6))</f>
        <v>9.3074458433305374</v>
      </c>
      <c r="AX134" s="43">
        <f t="shared" ref="AX134:AX141" si="78">100*ABS(AW134-AT134)/AW134</f>
        <v>9.2333437761846123E-8</v>
      </c>
      <c r="AY134" s="38">
        <f>(MPM!$Q135^2)/(9.81*MPM!$F135*(AW134^2))</f>
        <v>1.2890240547960534E-2</v>
      </c>
      <c r="AZ134" s="36">
        <f>8.1*((AY134/MPM!$AE135)^(1/6))</f>
        <v>9.307445846195165</v>
      </c>
      <c r="BA134" s="43">
        <f t="shared" ref="BA134:BA141" si="79">100*ABS(AZ134-AW134)/AZ134</f>
        <v>3.0777806216032336E-8</v>
      </c>
      <c r="BB134" s="38">
        <f>(MPM!$Q135^2)/(9.81*MPM!$F135*(AZ134^2))</f>
        <v>1.2890240540025868E-2</v>
      </c>
      <c r="BC134" s="36">
        <f>8.1*((BB134/MPM!$AE135)^(1/6))</f>
        <v>9.3074458452402915</v>
      </c>
      <c r="BD134" s="43">
        <f t="shared" ref="BD134:BD141" si="80">100*ABS(BC134-AZ134)/BC134</f>
        <v>1.0259243292622079E-8</v>
      </c>
      <c r="BE134" s="38">
        <f>(MPM!$Q135^2)/(9.81*MPM!$F135*(BC134^2))</f>
        <v>1.2890240542670753E-2</v>
      </c>
      <c r="BF134" s="36">
        <f>8.1*((BE134/MPM!$AE135)^(1/6))</f>
        <v>9.3074458455585827</v>
      </c>
      <c r="BG134" s="43">
        <f t="shared" ref="BG134:BG141" si="81">100*ABS(BF134-BC134)/BF134</f>
        <v>3.4197477640904129E-9</v>
      </c>
      <c r="BH134" s="38">
        <f>(MPM!$Q135^2)/(9.81*MPM!$F135*(BF134^2))</f>
        <v>1.2890240541789123E-2</v>
      </c>
      <c r="BI134" s="36">
        <f>8.1*((BH134/MPM!$AE135)^(1/6))</f>
        <v>9.3074458454524827</v>
      </c>
      <c r="BJ134" s="43">
        <f t="shared" ref="BJ134:BJ141" si="82">100*ABS(BI134-BF134)/BI134</f>
        <v>1.139947730261325E-9</v>
      </c>
      <c r="BK134" s="38">
        <f>(MPM!$Q135^2)/(9.81*MPM!$F135*(BI134^2))</f>
        <v>1.2890240542083008E-2</v>
      </c>
      <c r="BL134" s="36">
        <f>8.1*((BK134/MPM!$AE135)^(1/6))</f>
        <v>9.3074458454878499</v>
      </c>
      <c r="BM134" s="43">
        <f t="shared" ref="BM134:BM141" si="83">100*ABS(BL134-BI134)/BL134</f>
        <v>3.7998893852930294E-10</v>
      </c>
      <c r="BN134" s="43">
        <f t="shared" ref="BN134:BN141" si="84">100*ABS(BK134-BH134)/BK134</f>
        <v>2.2799008852954136E-9</v>
      </c>
    </row>
    <row r="135" spans="1:66">
      <c r="A135" s="36">
        <f>MPM!B136</f>
        <v>131</v>
      </c>
      <c r="B135" s="41">
        <f>1/(MPM!AC136^0.5)</f>
        <v>11.078190148573658</v>
      </c>
      <c r="C135" s="38">
        <f>(MPM!$Q136^2)/(9.81*MPM!$F136*(Sheet1!B135^2))</f>
        <v>8.4923780941995139E-2</v>
      </c>
      <c r="D135" s="36">
        <f>8.1*((C135/MPM!$AE136)^(1/6))</f>
        <v>10.414304320981815</v>
      </c>
      <c r="E135" s="41">
        <f t="shared" si="63"/>
        <v>6.3747496436637103</v>
      </c>
      <c r="F135" s="38">
        <f>(MPM!$Q136^2)/(9.81*MPM!$F136*(D135^2))</f>
        <v>9.6096246233944679E-2</v>
      </c>
      <c r="G135" s="36">
        <f>8.1*((F135/MPM!$AE136)^(1/6))</f>
        <v>10.631057029386735</v>
      </c>
      <c r="H135" s="43">
        <f t="shared" si="64"/>
        <v>2.038863189293076</v>
      </c>
      <c r="I135" s="38">
        <f>(MPM!$Q136^2)/(9.81*MPM!$F136*(G135^2))</f>
        <v>9.2217651107441054E-2</v>
      </c>
      <c r="J135" s="36">
        <f>8.1*((I135/MPM!$AE136)^(1/6))</f>
        <v>10.558309455550507</v>
      </c>
      <c r="K135" s="43">
        <f t="shared" si="65"/>
        <v>0.68900778237736304</v>
      </c>
      <c r="L135" s="38">
        <f>(MPM!$Q136^2)/(9.81*MPM!$F136*(J135^2))</f>
        <v>9.3492802557603769E-2</v>
      </c>
      <c r="M135" s="36">
        <f>8.1*((L135/MPM!$AE136)^(1/6))</f>
        <v>10.582503166099183</v>
      </c>
      <c r="N135" s="43">
        <f t="shared" si="66"/>
        <v>0.22861992261131819</v>
      </c>
      <c r="O135" s="38">
        <f>(MPM!$Q136^2)/(9.81*MPM!$F136*(M135^2))</f>
        <v>9.3065804871371449E-2</v>
      </c>
      <c r="P135" s="36">
        <f>8.1*((O135/MPM!$AE136)^(1/6))</f>
        <v>10.574432442360569</v>
      </c>
      <c r="Q135" s="43">
        <f t="shared" si="67"/>
        <v>7.6322996837949367E-2</v>
      </c>
      <c r="R135" s="38">
        <f>(MPM!$Q136^2)/(9.81*MPM!$F136*(P135^2))</f>
        <v>9.3207920306681055E-2</v>
      </c>
      <c r="S135" s="36">
        <f>8.1*((R135/MPM!$AE136)^(1/6))</f>
        <v>10.577121999472586</v>
      </c>
      <c r="T135" s="43">
        <f t="shared" si="68"/>
        <v>2.5428061736937874E-2</v>
      </c>
      <c r="U135" s="38">
        <f>(MPM!$Q136^2)/(9.81*MPM!$F136*(S135^2))</f>
        <v>9.3160524398339092E-2</v>
      </c>
      <c r="V135" s="36">
        <f>8.1*((U135/MPM!$AE136)^(1/6))</f>
        <v>10.576225404435373</v>
      </c>
      <c r="W135" s="43">
        <f t="shared" si="69"/>
        <v>8.4774577217055259E-3</v>
      </c>
      <c r="X135" s="38">
        <f>(MPM!$Q136^2)/(9.81*MPM!$F136*(V135^2))</f>
        <v>9.3176320355996933E-2</v>
      </c>
      <c r="Y135" s="36">
        <f>8.1*((X135/MPM!$AE136)^(1/6))</f>
        <v>10.57652426100279</v>
      </c>
      <c r="Z135" s="43">
        <f t="shared" si="70"/>
        <v>2.8256595460082632E-3</v>
      </c>
      <c r="AA135" s="38">
        <f>(MPM!$Q136^2)/(9.81*MPM!$F136*(Y135^2))</f>
        <v>9.317105473921064E-2</v>
      </c>
      <c r="AB135" s="36">
        <f>8.1*((AA135/MPM!$AE136)^(1/6))</f>
        <v>10.576424641208673</v>
      </c>
      <c r="AC135" s="43">
        <f t="shared" si="71"/>
        <v>9.4190425873071863E-4</v>
      </c>
      <c r="AD135" s="38">
        <f>(MPM!$Q136^2)/(9.81*MPM!$F136*(AB135^2))</f>
        <v>9.3172809911741622E-2</v>
      </c>
      <c r="AE135" s="36">
        <f>8.1*((AD135/MPM!$AE136)^(1/6))</f>
        <v>10.576457847702455</v>
      </c>
      <c r="AF135" s="43">
        <f t="shared" si="72"/>
        <v>3.1396611474661786E-4</v>
      </c>
      <c r="AG135" s="38">
        <f>(MPM!$Q136^2)/(9.81*MPM!$F136*(AE135^2))</f>
        <v>9.3172224850557511E-2</v>
      </c>
      <c r="AH135" s="36">
        <f>8.1*((AG135/MPM!$AE136)^(1/6))</f>
        <v>10.57644677885961</v>
      </c>
      <c r="AI135" s="43">
        <f t="shared" si="73"/>
        <v>1.046555906383234E-4</v>
      </c>
      <c r="AJ135" s="38">
        <f>(MPM!$Q136^2)/(9.81*MPM!$F136*(AH135^2))</f>
        <v>9.3172419870544004E-2</v>
      </c>
      <c r="AK135" s="36">
        <f>8.1*((AJ135/MPM!$AE136)^(1/6))</f>
        <v>10.576450468472604</v>
      </c>
      <c r="AL135" s="43">
        <f t="shared" si="74"/>
        <v>3.4885172533017226E-5</v>
      </c>
      <c r="AM135" s="38">
        <f>(MPM!$Q136^2)/(9.81*MPM!$F136*(AK135^2))</f>
        <v>9.3172354863836487E-2</v>
      </c>
      <c r="AN135" s="36">
        <f>8.1*((AM135/MPM!$AE136)^(1/6))</f>
        <v>10.576449238601464</v>
      </c>
      <c r="AO135" s="43">
        <f t="shared" si="75"/>
        <v>1.1628393540166037E-5</v>
      </c>
      <c r="AP135" s="38">
        <f>(MPM!$Q136^2)/(9.81*MPM!$F136*(AN135^2))</f>
        <v>9.3172376532733955E-2</v>
      </c>
      <c r="AQ135" s="36">
        <f>8.1*((AP135/MPM!$AE136)^(1/6))</f>
        <v>10.576449648558494</v>
      </c>
      <c r="AR135" s="43">
        <f t="shared" si="76"/>
        <v>3.8761308730543784E-6</v>
      </c>
      <c r="AS135" s="38">
        <f>(MPM!$Q136^2)/(9.81*MPM!$F136*(AQ135^2))</f>
        <v>9.3172369309767591E-2</v>
      </c>
      <c r="AT135" s="36">
        <f>8.1*((AS135/MPM!$AE136)^(1/6))</f>
        <v>10.576449511906148</v>
      </c>
      <c r="AU135" s="43">
        <f t="shared" si="77"/>
        <v>1.2920436690375581E-6</v>
      </c>
      <c r="AV135" s="38">
        <f>(MPM!$Q136^2)/(9.81*MPM!$F136*(AT135^2))</f>
        <v>9.3172371717423E-2</v>
      </c>
      <c r="AW135" s="36">
        <f>8.1*((AV135/MPM!$AE136)^(1/6))</f>
        <v>10.576449557456931</v>
      </c>
      <c r="AX135" s="43">
        <f t="shared" si="78"/>
        <v>4.3068122675612227E-7</v>
      </c>
      <c r="AY135" s="38">
        <f>(MPM!$Q136^2)/(9.81*MPM!$F136*(AW135^2))</f>
        <v>9.3172370914871169E-2</v>
      </c>
      <c r="AZ135" s="36">
        <f>8.1*((AY135/MPM!$AE136)^(1/6))</f>
        <v>10.576449542273336</v>
      </c>
      <c r="BA135" s="43">
        <f t="shared" si="79"/>
        <v>1.4356041472326949E-7</v>
      </c>
      <c r="BB135" s="38">
        <f>(MPM!$Q136^2)/(9.81*MPM!$F136*(AZ135^2))</f>
        <v>9.3172371182388455E-2</v>
      </c>
      <c r="BC135" s="36">
        <f>8.1*((BB135/MPM!$AE136)^(1/6))</f>
        <v>10.576449547334535</v>
      </c>
      <c r="BD135" s="43">
        <f t="shared" si="80"/>
        <v>4.7853482748455888E-8</v>
      </c>
      <c r="BE135" s="38">
        <f>(MPM!$Q136^2)/(9.81*MPM!$F136*(BC135^2))</f>
        <v>9.3172371093216008E-2</v>
      </c>
      <c r="BF135" s="36">
        <f>8.1*((BE135/MPM!$AE136)^(1/6))</f>
        <v>10.576449545647469</v>
      </c>
      <c r="BG135" s="43">
        <f t="shared" si="81"/>
        <v>1.5951160918696358E-8</v>
      </c>
      <c r="BH135" s="38">
        <f>(MPM!$Q136^2)/(9.81*MPM!$F136*(BF135^2))</f>
        <v>9.3172371122940176E-2</v>
      </c>
      <c r="BI135" s="36">
        <f>8.1*((BH135/MPM!$AE136)^(1/6))</f>
        <v>10.576449546209824</v>
      </c>
      <c r="BJ135" s="43">
        <f t="shared" si="82"/>
        <v>5.3170536392827422E-9</v>
      </c>
      <c r="BK135" s="38">
        <f>(MPM!$Q136^2)/(9.81*MPM!$F136*(BI135^2))</f>
        <v>9.3172371113032115E-2</v>
      </c>
      <c r="BL135" s="36">
        <f>8.1*((BK135/MPM!$AE136)^(1/6))</f>
        <v>10.576449546022372</v>
      </c>
      <c r="BM135" s="43">
        <f t="shared" si="83"/>
        <v>1.7723512131256595E-9</v>
      </c>
      <c r="BN135" s="43">
        <f t="shared" si="84"/>
        <v>1.0634118639265894E-8</v>
      </c>
    </row>
    <row r="136" spans="1:66">
      <c r="A136" s="36">
        <f>MPM!B137</f>
        <v>132</v>
      </c>
      <c r="B136" s="41">
        <f>1/(MPM!AC137^0.5)</f>
        <v>11.215764703525339</v>
      </c>
      <c r="C136" s="38">
        <f>(MPM!$Q137^2)/(9.81*MPM!$F137*(Sheet1!B136^2))</f>
        <v>0.10494906086130582</v>
      </c>
      <c r="D136" s="36">
        <f>8.1*((C136/MPM!$AE137)^(1/6))</f>
        <v>10.788352712875643</v>
      </c>
      <c r="E136" s="41">
        <f t="shared" si="63"/>
        <v>3.9617910354338957</v>
      </c>
      <c r="F136" s="38">
        <f>(MPM!$Q137^2)/(9.81*MPM!$F137*(D136^2))</f>
        <v>0.11342951165445181</v>
      </c>
      <c r="G136" s="36">
        <f>8.1*((F136/MPM!$AE137)^(1/6))</f>
        <v>10.928982261099387</v>
      </c>
      <c r="H136" s="43">
        <f t="shared" si="64"/>
        <v>1.2867579511433651</v>
      </c>
      <c r="I136" s="38">
        <f>(MPM!$Q137^2)/(9.81*MPM!$F137*(G136^2))</f>
        <v>0.11052916618044034</v>
      </c>
      <c r="J136" s="36">
        <f>8.1*((I136/MPM!$AE137)^(1/6))</f>
        <v>10.881903232818718</v>
      </c>
      <c r="K136" s="43">
        <f t="shared" si="65"/>
        <v>0.43263597620205796</v>
      </c>
      <c r="L136" s="38">
        <f>(MPM!$Q137^2)/(9.81*MPM!$F137*(J136^2))</f>
        <v>0.11148761287200191</v>
      </c>
      <c r="M136" s="36">
        <f>8.1*((L136/MPM!$AE137)^(1/6))</f>
        <v>10.89757366528255</v>
      </c>
      <c r="N136" s="43">
        <f t="shared" si="66"/>
        <v>0.14379744468949757</v>
      </c>
      <c r="O136" s="38">
        <f>(MPM!$Q137^2)/(9.81*MPM!$F137*(M136^2))</f>
        <v>0.1111672107258895</v>
      </c>
      <c r="P136" s="36">
        <f>8.1*((O136/MPM!$AE137)^(1/6))</f>
        <v>10.892347682050126</v>
      </c>
      <c r="Q136" s="43">
        <f t="shared" si="67"/>
        <v>4.7978483472729226E-2</v>
      </c>
      <c r="R136" s="38">
        <f>(MPM!$Q137^2)/(9.81*MPM!$F137*(P136^2))</f>
        <v>0.1112739089995079</v>
      </c>
      <c r="S136" s="36">
        <f>8.1*((R136/MPM!$AE137)^(1/6))</f>
        <v>10.894089397941002</v>
      </c>
      <c r="T136" s="43">
        <f t="shared" si="68"/>
        <v>1.5987714321543355E-2</v>
      </c>
      <c r="U136" s="38">
        <f>(MPM!$Q137^2)/(9.81*MPM!$F137*(S136^2))</f>
        <v>0.11123833153437648</v>
      </c>
      <c r="V136" s="36">
        <f>8.1*((U136/MPM!$AE137)^(1/6))</f>
        <v>10.893508795034565</v>
      </c>
      <c r="W136" s="43">
        <f t="shared" si="69"/>
        <v>5.329806193406391E-3</v>
      </c>
      <c r="X136" s="38">
        <f>(MPM!$Q137^2)/(9.81*MPM!$F137*(V136^2))</f>
        <v>0.11125018942533649</v>
      </c>
      <c r="Y136" s="36">
        <f>8.1*((X136/MPM!$AE137)^(1/6))</f>
        <v>10.893702325898479</v>
      </c>
      <c r="Z136" s="43">
        <f t="shared" si="70"/>
        <v>1.7765389407965752E-3</v>
      </c>
      <c r="AA136" s="38">
        <f>(MPM!$Q137^2)/(9.81*MPM!$F137*(Y136^2))</f>
        <v>0.11124623665457437</v>
      </c>
      <c r="AB136" s="36">
        <f>8.1*((AA136/MPM!$AE137)^(1/6))</f>
        <v>10.893637815228487</v>
      </c>
      <c r="AC136" s="43">
        <f t="shared" si="71"/>
        <v>5.9218666056172519E-4</v>
      </c>
      <c r="AD136" s="38">
        <f>(MPM!$Q137^2)/(9.81*MPM!$F137*(AB136^2))</f>
        <v>0.11124755422922328</v>
      </c>
      <c r="AE136" s="36">
        <f>8.1*((AD136/MPM!$AE137)^(1/6))</f>
        <v>10.893659318742703</v>
      </c>
      <c r="AF136" s="43">
        <f t="shared" si="72"/>
        <v>1.9739477421039489E-4</v>
      </c>
      <c r="AG136" s="38">
        <f>(MPM!$Q137^2)/(9.81*MPM!$F137*(AE136^2))</f>
        <v>0.11124711503593979</v>
      </c>
      <c r="AH136" s="36">
        <f>8.1*((AG136/MPM!$AE137)^(1/6))</f>
        <v>10.893652150899916</v>
      </c>
      <c r="AI136" s="43">
        <f t="shared" si="73"/>
        <v>6.5798344646779522E-5</v>
      </c>
      <c r="AJ136" s="38">
        <f>(MPM!$Q137^2)/(9.81*MPM!$F137*(AH136^2))</f>
        <v>0.11124726143350828</v>
      </c>
      <c r="AK136" s="36">
        <f>8.1*((AJ136/MPM!$AE137)^(1/6))</f>
        <v>10.893654540180322</v>
      </c>
      <c r="AL136" s="43">
        <f t="shared" si="74"/>
        <v>2.1932771933523368E-5</v>
      </c>
      <c r="AM136" s="38">
        <f>(MPM!$Q137^2)/(9.81*MPM!$F137*(AK136^2))</f>
        <v>0.11124721263429735</v>
      </c>
      <c r="AN136" s="36">
        <f>8.1*((AM136/MPM!$AE137)^(1/6))</f>
        <v>10.893653743753461</v>
      </c>
      <c r="AO136" s="43">
        <f t="shared" si="75"/>
        <v>7.3109250504467038E-6</v>
      </c>
      <c r="AP136" s="38">
        <f>(MPM!$Q137^2)/(9.81*MPM!$F137*(AN136^2))</f>
        <v>0.11124722890069863</v>
      </c>
      <c r="AQ136" s="36">
        <f>8.1*((AP136/MPM!$AE137)^(1/6))</f>
        <v>10.893654009229076</v>
      </c>
      <c r="AR136" s="43">
        <f t="shared" si="76"/>
        <v>2.4369749085080624E-6</v>
      </c>
      <c r="AS136" s="38">
        <f>(MPM!$Q137^2)/(9.81*MPM!$F137*(AQ136^2))</f>
        <v>0.1112472234785646</v>
      </c>
      <c r="AT136" s="36">
        <f>8.1*((AS136/MPM!$AE137)^(1/6))</f>
        <v>10.893653920737203</v>
      </c>
      <c r="AU136" s="43">
        <f t="shared" si="77"/>
        <v>8.1232499240775167E-7</v>
      </c>
      <c r="AV136" s="38">
        <f>(MPM!$Q137^2)/(9.81*MPM!$F137*(AT136^2))</f>
        <v>0.11124722528594259</v>
      </c>
      <c r="AW136" s="36">
        <f>8.1*((AV136/MPM!$AE137)^(1/6))</f>
        <v>10.893653950234492</v>
      </c>
      <c r="AX136" s="43">
        <f t="shared" si="78"/>
        <v>2.7077498586516264E-7</v>
      </c>
      <c r="AY136" s="38">
        <f>(MPM!$Q137^2)/(9.81*MPM!$F137*(AW136^2))</f>
        <v>0.11124722468348328</v>
      </c>
      <c r="AZ136" s="36">
        <f>8.1*((AY136/MPM!$AE137)^(1/6))</f>
        <v>10.893653940402064</v>
      </c>
      <c r="BA136" s="43">
        <f t="shared" si="79"/>
        <v>9.0258312396841123E-8</v>
      </c>
      <c r="BB136" s="38">
        <f>(MPM!$Q137^2)/(9.81*MPM!$F137*(AZ136^2))</f>
        <v>0.111247224884303</v>
      </c>
      <c r="BC136" s="36">
        <f>8.1*((BB136/MPM!$AE137)^(1/6))</f>
        <v>10.89365394367954</v>
      </c>
      <c r="BD136" s="43">
        <f t="shared" si="80"/>
        <v>3.0086104123228638E-8</v>
      </c>
      <c r="BE136" s="38">
        <f>(MPM!$Q137^2)/(9.81*MPM!$F137*(BC136^2))</f>
        <v>0.11124722481736309</v>
      </c>
      <c r="BF136" s="36">
        <f>8.1*((BE136/MPM!$AE137)^(1/6))</f>
        <v>10.893653942587047</v>
      </c>
      <c r="BG136" s="43">
        <f t="shared" si="81"/>
        <v>1.0028712246312234E-8</v>
      </c>
      <c r="BH136" s="38">
        <f>(MPM!$Q137^2)/(9.81*MPM!$F137*(BF136^2))</f>
        <v>0.11124722483967642</v>
      </c>
      <c r="BI136" s="36">
        <f>8.1*((BH136/MPM!$AE137)^(1/6))</f>
        <v>10.893653942951213</v>
      </c>
      <c r="BJ136" s="43">
        <f t="shared" si="82"/>
        <v>3.3429149528892657E-9</v>
      </c>
      <c r="BK136" s="38">
        <f>(MPM!$Q137^2)/(9.81*MPM!$F137*(BI136^2))</f>
        <v>0.11124722483223864</v>
      </c>
      <c r="BL136" s="36">
        <f>8.1*((BK136/MPM!$AE137)^(1/6))</f>
        <v>10.893653942829824</v>
      </c>
      <c r="BM136" s="43">
        <f t="shared" si="83"/>
        <v>1.1143104197573078E-9</v>
      </c>
      <c r="BN136" s="43">
        <f t="shared" si="84"/>
        <v>6.6858050897348137E-9</v>
      </c>
    </row>
    <row r="137" spans="1:66">
      <c r="A137" s="36">
        <f>MPM!B138</f>
        <v>133</v>
      </c>
      <c r="B137" s="41">
        <f>1/(MPM!AC138^0.5)</f>
        <v>11.466079681634392</v>
      </c>
      <c r="C137" s="38">
        <f>(MPM!$Q138^2)/(9.81*MPM!$F138*(Sheet1!B137^2))</f>
        <v>0.10295652295957596</v>
      </c>
      <c r="D137" s="36">
        <f>8.1*((C137/MPM!$AE138)^(1/6))</f>
        <v>10.753941967698045</v>
      </c>
      <c r="E137" s="41">
        <f t="shared" si="63"/>
        <v>6.6221085819080781</v>
      </c>
      <c r="F137" s="38">
        <f>(MPM!$Q138^2)/(9.81*MPM!$F138*(D137^2))</f>
        <v>0.1170437967050655</v>
      </c>
      <c r="G137" s="36">
        <f>8.1*((F137/MPM!$AE138)^(1/6))</f>
        <v>10.986266022395542</v>
      </c>
      <c r="H137" s="43">
        <f t="shared" si="64"/>
        <v>2.114677127095804</v>
      </c>
      <c r="I137" s="38">
        <f>(MPM!$Q138^2)/(9.81*MPM!$F138*(G137^2))</f>
        <v>0.11214594024953971</v>
      </c>
      <c r="J137" s="36">
        <f>8.1*((I137/MPM!$AE138)^(1/6))</f>
        <v>10.90827228772112</v>
      </c>
      <c r="K137" s="43">
        <f t="shared" si="65"/>
        <v>0.71499622137426355</v>
      </c>
      <c r="L137" s="38">
        <f>(MPM!$Q138^2)/(9.81*MPM!$F138*(J137^2))</f>
        <v>0.11375535184019067</v>
      </c>
      <c r="M137" s="36">
        <f>8.1*((L137/MPM!$AE138)^(1/6))</f>
        <v>10.934208482873437</v>
      </c>
      <c r="N137" s="43">
        <f t="shared" si="66"/>
        <v>0.23720231046391477</v>
      </c>
      <c r="O137" s="38">
        <f>(MPM!$Q138^2)/(9.81*MPM!$F138*(M137^2))</f>
        <v>0.11321633123826819</v>
      </c>
      <c r="P137" s="36">
        <f>8.1*((O137/MPM!$AE138)^(1/6))</f>
        <v>10.925556239772142</v>
      </c>
      <c r="Q137" s="43">
        <f t="shared" si="67"/>
        <v>7.9192701144117181E-2</v>
      </c>
      <c r="R137" s="38">
        <f>(MPM!$Q138^2)/(9.81*MPM!$F138*(P137^2))</f>
        <v>0.11339572038339592</v>
      </c>
      <c r="S137" s="36">
        <f>8.1*((R137/MPM!$AE138)^(1/6))</f>
        <v>10.928439559813459</v>
      </c>
      <c r="T137" s="43">
        <f t="shared" si="68"/>
        <v>2.6383638995629552E-2</v>
      </c>
      <c r="U137" s="38">
        <f>(MPM!$Q138^2)/(9.81*MPM!$F138*(S137^2))</f>
        <v>0.11333589244182637</v>
      </c>
      <c r="V137" s="36">
        <f>8.1*((U137/MPM!$AE138)^(1/6))</f>
        <v>10.927478368595656</v>
      </c>
      <c r="W137" s="43">
        <f t="shared" si="69"/>
        <v>8.7960935302791188E-3</v>
      </c>
      <c r="X137" s="38">
        <f>(MPM!$Q138^2)/(9.81*MPM!$F138*(V137^2))</f>
        <v>0.11335583158092559</v>
      </c>
      <c r="Y137" s="36">
        <f>8.1*((X137/MPM!$AE138)^(1/6))</f>
        <v>10.927798756274575</v>
      </c>
      <c r="Z137" s="43">
        <f t="shared" si="70"/>
        <v>2.9318592523920645E-3</v>
      </c>
      <c r="AA137" s="38">
        <f>(MPM!$Q138^2)/(9.81*MPM!$F138*(Y137^2))</f>
        <v>0.11334918481149132</v>
      </c>
      <c r="AB137" s="36">
        <f>8.1*((AA137/MPM!$AE138)^(1/6))</f>
        <v>10.927691959337883</v>
      </c>
      <c r="AC137" s="43">
        <f t="shared" si="71"/>
        <v>9.7730551967295412E-4</v>
      </c>
      <c r="AD137" s="38">
        <f>(MPM!$Q138^2)/(9.81*MPM!$F138*(AB137^2))</f>
        <v>0.11335140035799693</v>
      </c>
      <c r="AE137" s="36">
        <f>8.1*((AD137/MPM!$AE138)^(1/6))</f>
        <v>10.927727558200809</v>
      </c>
      <c r="AF137" s="43">
        <f t="shared" si="72"/>
        <v>3.2576638405674269E-4</v>
      </c>
      <c r="AG137" s="38">
        <f>(MPM!$Q138^2)/(9.81*MPM!$F138*(AE137^2))</f>
        <v>0.11335066183768341</v>
      </c>
      <c r="AH137" s="36">
        <f>8.1*((AG137/MPM!$AE138)^(1/6))</f>
        <v>10.927715691900284</v>
      </c>
      <c r="AI137" s="43">
        <f t="shared" si="73"/>
        <v>1.0858903049695701E-4</v>
      </c>
      <c r="AJ137" s="38">
        <f>(MPM!$Q138^2)/(9.81*MPM!$F138*(AH137^2))</f>
        <v>0.11335090801058659</v>
      </c>
      <c r="AK137" s="36">
        <f>8.1*((AJ137/MPM!$AE138)^(1/6))</f>
        <v>10.92771964733236</v>
      </c>
      <c r="AL137" s="43">
        <f t="shared" si="74"/>
        <v>3.6196317289880706E-5</v>
      </c>
      <c r="AM137" s="38">
        <f>(MPM!$Q138^2)/(9.81*MPM!$F138*(AK137^2))</f>
        <v>0.11335082595289279</v>
      </c>
      <c r="AN137" s="36">
        <f>8.1*((AM137/MPM!$AE138)^(1/6))</f>
        <v>10.927718328854841</v>
      </c>
      <c r="AO137" s="43">
        <f t="shared" si="75"/>
        <v>1.2065442020790273E-5</v>
      </c>
      <c r="AP137" s="38">
        <f>(MPM!$Q138^2)/(9.81*MPM!$F138*(AN137^2))</f>
        <v>0.11335085330545083</v>
      </c>
      <c r="AQ137" s="36">
        <f>8.1*((AP137/MPM!$AE138)^(1/6))</f>
        <v>10.927718768347331</v>
      </c>
      <c r="AR137" s="43">
        <f t="shared" si="76"/>
        <v>4.0218136988805997E-6</v>
      </c>
      <c r="AS137" s="38">
        <f>(MPM!$Q138^2)/(9.81*MPM!$F138*(AQ137^2))</f>
        <v>0.1133508441879307</v>
      </c>
      <c r="AT137" s="36">
        <f>8.1*((AS137/MPM!$AE138)^(1/6))</f>
        <v>10.927718621849831</v>
      </c>
      <c r="AU137" s="43">
        <f t="shared" si="77"/>
        <v>1.3406046167767681E-6</v>
      </c>
      <c r="AV137" s="38">
        <f>(MPM!$Q138^2)/(9.81*MPM!$F138*(AT137^2))</f>
        <v>0.11335084722710403</v>
      </c>
      <c r="AW137" s="36">
        <f>8.1*((AV137/MPM!$AE138)^(1/6))</f>
        <v>10.927718670682331</v>
      </c>
      <c r="AX137" s="43">
        <f t="shared" si="78"/>
        <v>4.4686820901384872E-7</v>
      </c>
      <c r="AY137" s="38">
        <f>(MPM!$Q138^2)/(9.81*MPM!$F138*(AW137^2))</f>
        <v>0.11335084621404622</v>
      </c>
      <c r="AZ137" s="36">
        <f>8.1*((AY137/MPM!$AE138)^(1/6))</f>
        <v>10.927718654404831</v>
      </c>
      <c r="BA137" s="43">
        <f t="shared" si="79"/>
        <v>1.4895606989316203E-7</v>
      </c>
      <c r="BB137" s="38">
        <f>(MPM!$Q138^2)/(9.81*MPM!$F138*(AZ137^2))</f>
        <v>0.11335084655173215</v>
      </c>
      <c r="BC137" s="36">
        <f>8.1*((BB137/MPM!$AE138)^(1/6))</f>
        <v>10.927718659830663</v>
      </c>
      <c r="BD137" s="43">
        <f t="shared" si="80"/>
        <v>4.9652012436058091E-8</v>
      </c>
      <c r="BE137" s="38">
        <f>(MPM!$Q138^2)/(9.81*MPM!$F138*(BC137^2))</f>
        <v>0.11335084643917019</v>
      </c>
      <c r="BF137" s="36">
        <f>8.1*((BE137/MPM!$AE138)^(1/6))</f>
        <v>10.927718658022053</v>
      </c>
      <c r="BG137" s="43">
        <f t="shared" si="81"/>
        <v>1.6550665396253934E-8</v>
      </c>
      <c r="BH137" s="38">
        <f>(MPM!$Q138^2)/(9.81*MPM!$F138*(BF137^2))</f>
        <v>0.11335084647669083</v>
      </c>
      <c r="BI137" s="36">
        <f>8.1*((BH137/MPM!$AE138)^(1/6))</f>
        <v>10.927718658624924</v>
      </c>
      <c r="BJ137" s="43">
        <f t="shared" si="82"/>
        <v>5.5168938836182934E-9</v>
      </c>
      <c r="BK137" s="38">
        <f>(MPM!$Q138^2)/(9.81*MPM!$F138*(BI137^2))</f>
        <v>0.11335084646418396</v>
      </c>
      <c r="BL137" s="36">
        <f>8.1*((BK137/MPM!$AE138)^(1/6))</f>
        <v>10.927718658423968</v>
      </c>
      <c r="BM137" s="43">
        <f t="shared" si="83"/>
        <v>1.8389537908972305E-9</v>
      </c>
      <c r="BN137" s="43">
        <f t="shared" si="84"/>
        <v>1.1033768983076244E-8</v>
      </c>
    </row>
    <row r="138" spans="1:66">
      <c r="A138" s="36">
        <f>MPM!B139</f>
        <v>134</v>
      </c>
      <c r="B138" s="41">
        <f>1/(MPM!AC139^0.5)</f>
        <v>13.075836920908849</v>
      </c>
      <c r="C138" s="38">
        <f>(MPM!$Q139^2)/(9.81*MPM!$F139*(Sheet1!B138^2))</f>
        <v>0.1023564649046866</v>
      </c>
      <c r="D138" s="36">
        <f>8.1*((C138/MPM!$AE139)^(1/6))</f>
        <v>10.743470369127706</v>
      </c>
      <c r="E138" s="41">
        <f t="shared" si="63"/>
        <v>21.709619626107031</v>
      </c>
      <c r="F138" s="38">
        <f>(MPM!$Q139^2)/(9.81*MPM!$F139*(D138^2))</f>
        <v>0.15162300111303748</v>
      </c>
      <c r="G138" s="36">
        <f>8.1*((F138/MPM!$AE139)^(1/6))</f>
        <v>11.470602377143265</v>
      </c>
      <c r="H138" s="43">
        <f t="shared" si="64"/>
        <v>6.3390917417246397</v>
      </c>
      <c r="I138" s="38">
        <f>(MPM!$Q139^2)/(9.81*MPM!$F139*(G138^2))</f>
        <v>0.13300924197178796</v>
      </c>
      <c r="J138" s="36">
        <f>8.1*((I138/MPM!$AE139)^(1/6))</f>
        <v>11.222915173794568</v>
      </c>
      <c r="K138" s="43">
        <f t="shared" si="65"/>
        <v>2.2069774164117799</v>
      </c>
      <c r="L138" s="38">
        <f>(MPM!$Q139^2)/(9.81*MPM!$F139*(J138^2))</f>
        <v>0.13894499530334659</v>
      </c>
      <c r="M138" s="36">
        <f>8.1*((L138/MPM!$AE139)^(1/6))</f>
        <v>11.304877536286465</v>
      </c>
      <c r="N138" s="43">
        <f t="shared" si="66"/>
        <v>0.72501769460848664</v>
      </c>
      <c r="O138" s="38">
        <f>(MPM!$Q139^2)/(9.81*MPM!$F139*(M138^2))</f>
        <v>0.13693754735271588</v>
      </c>
      <c r="P138" s="36">
        <f>8.1*((O138/MPM!$AE139)^(1/6))</f>
        <v>11.277490454700997</v>
      </c>
      <c r="Q138" s="43">
        <f t="shared" si="67"/>
        <v>0.24284730450870801</v>
      </c>
      <c r="R138" s="38">
        <f>(MPM!$Q139^2)/(9.81*MPM!$F139*(P138^2))</f>
        <v>0.13760345322455766</v>
      </c>
      <c r="S138" s="36">
        <f>8.1*((R138/MPM!$AE139)^(1/6))</f>
        <v>11.2866121019846</v>
      </c>
      <c r="T138" s="43">
        <f t="shared" si="68"/>
        <v>8.0818293400897301E-2</v>
      </c>
      <c r="U138" s="38">
        <f>(MPM!$Q139^2)/(9.81*MPM!$F139*(S138^2))</f>
        <v>0.13738112557646812</v>
      </c>
      <c r="V138" s="36">
        <f>8.1*((U138/MPM!$AE139)^(1/6))</f>
        <v>11.283570733415466</v>
      </c>
      <c r="W138" s="43">
        <f t="shared" si="69"/>
        <v>2.6953954922506591E-2</v>
      </c>
      <c r="X138" s="38">
        <f>(MPM!$Q139^2)/(9.81*MPM!$F139*(V138^2))</f>
        <v>0.13745519485074217</v>
      </c>
      <c r="Y138" s="36">
        <f>8.1*((X138/MPM!$AE139)^(1/6))</f>
        <v>11.284584431866691</v>
      </c>
      <c r="Z138" s="43">
        <f t="shared" si="70"/>
        <v>8.9830374999166664E-3</v>
      </c>
      <c r="AA138" s="38">
        <f>(MPM!$Q139^2)/(9.81*MPM!$F139*(Y138^2))</f>
        <v>0.13743050065653833</v>
      </c>
      <c r="AB138" s="36">
        <f>8.1*((AA138/MPM!$AE139)^(1/6))</f>
        <v>11.284246522264567</v>
      </c>
      <c r="AC138" s="43">
        <f t="shared" si="71"/>
        <v>2.9945251679561742E-3</v>
      </c>
      <c r="AD138" s="38">
        <f>(MPM!$Q139^2)/(9.81*MPM!$F139*(AB138^2))</f>
        <v>0.13743873156163597</v>
      </c>
      <c r="AE138" s="36">
        <f>8.1*((AD138/MPM!$AE139)^(1/6))</f>
        <v>11.284359157674317</v>
      </c>
      <c r="AF138" s="43">
        <f t="shared" si="72"/>
        <v>9.9815512937455157E-4</v>
      </c>
      <c r="AG138" s="38">
        <f>(MPM!$Q139^2)/(9.81*MPM!$F139*(AE138^2))</f>
        <v>0.13743598787183151</v>
      </c>
      <c r="AH138" s="36">
        <f>8.1*((AG138/MPM!$AE139)^(1/6))</f>
        <v>11.284321612412812</v>
      </c>
      <c r="AI138" s="43">
        <f t="shared" si="73"/>
        <v>3.3272059051325591E-4</v>
      </c>
      <c r="AJ138" s="38">
        <f>(MPM!$Q139^2)/(9.81*MPM!$F139*(AH138^2))</f>
        <v>0.13743690242901382</v>
      </c>
      <c r="AK138" s="36">
        <f>8.1*((AJ138/MPM!$AE139)^(1/6))</f>
        <v>11.284334127486101</v>
      </c>
      <c r="AL138" s="43">
        <f t="shared" si="74"/>
        <v>1.1090661750546965E-4</v>
      </c>
      <c r="AM138" s="38">
        <f>(MPM!$Q139^2)/(9.81*MPM!$F139*(AK138^2))</f>
        <v>0.13743659757594348</v>
      </c>
      <c r="AN138" s="36">
        <f>8.1*((AM138/MPM!$AE139)^(1/6))</f>
        <v>11.284329955793464</v>
      </c>
      <c r="AO138" s="43">
        <f t="shared" si="75"/>
        <v>3.6968899827445224E-5</v>
      </c>
      <c r="AP138" s="38">
        <f>(MPM!$Q139^2)/(9.81*MPM!$F139*(AN138^2))</f>
        <v>0.13743669919355844</v>
      </c>
      <c r="AQ138" s="36">
        <f>8.1*((AP138/MPM!$AE139)^(1/6))</f>
        <v>11.284331346357504</v>
      </c>
      <c r="AR138" s="43">
        <f t="shared" si="76"/>
        <v>1.2322963568886417E-5</v>
      </c>
      <c r="AS138" s="38">
        <f>(MPM!$Q139^2)/(9.81*MPM!$F139*(AQ138^2))</f>
        <v>0.13743666532101179</v>
      </c>
      <c r="AT138" s="36">
        <f>8.1*((AS138/MPM!$AE139)^(1/6))</f>
        <v>11.284330882836137</v>
      </c>
      <c r="AU138" s="43">
        <f t="shared" si="77"/>
        <v>4.1076548700974804E-6</v>
      </c>
      <c r="AV138" s="38">
        <f>(MPM!$Q139^2)/(9.81*MPM!$F139*(AT138^2))</f>
        <v>0.13743667661185976</v>
      </c>
      <c r="AW138" s="36">
        <f>8.1*((AV138/MPM!$AE139)^(1/6))</f>
        <v>11.284331037343257</v>
      </c>
      <c r="AX138" s="43">
        <f t="shared" si="78"/>
        <v>1.3692182502958401E-6</v>
      </c>
      <c r="AY138" s="38">
        <f>(MPM!$Q139^2)/(9.81*MPM!$F139*(AW138^2))</f>
        <v>0.13743667284824368</v>
      </c>
      <c r="AZ138" s="36">
        <f>8.1*((AY138/MPM!$AE139)^(1/6))</f>
        <v>11.284330985840885</v>
      </c>
      <c r="BA138" s="43">
        <f t="shared" si="79"/>
        <v>4.5640607502047829E-7</v>
      </c>
      <c r="BB138" s="38">
        <f>(MPM!$Q139^2)/(9.81*MPM!$F139*(AZ138^2))</f>
        <v>0.13743667410278232</v>
      </c>
      <c r="BC138" s="36">
        <f>8.1*((BB138/MPM!$AE139)^(1/6))</f>
        <v>11.284331003008342</v>
      </c>
      <c r="BD138" s="43">
        <f t="shared" si="80"/>
        <v>1.5213535286144104E-7</v>
      </c>
      <c r="BE138" s="38">
        <f>(MPM!$Q139^2)/(9.81*MPM!$F139*(BC138^2))</f>
        <v>0.1374366736846028</v>
      </c>
      <c r="BF138" s="36">
        <f>8.1*((BE138/MPM!$AE139)^(1/6))</f>
        <v>11.284330997285856</v>
      </c>
      <c r="BG138" s="43">
        <f t="shared" si="81"/>
        <v>5.0711784312863863E-8</v>
      </c>
      <c r="BH138" s="38">
        <f>(MPM!$Q139^2)/(9.81*MPM!$F139*(BF138^2))</f>
        <v>0.13743667382399599</v>
      </c>
      <c r="BI138" s="36">
        <f>8.1*((BH138/MPM!$AE139)^(1/6))</f>
        <v>11.284330999193351</v>
      </c>
      <c r="BJ138" s="43">
        <f t="shared" si="82"/>
        <v>1.6903922854163795E-8</v>
      </c>
      <c r="BK138" s="38">
        <f>(MPM!$Q139^2)/(9.81*MPM!$F139*(BI138^2))</f>
        <v>0.1374366737775316</v>
      </c>
      <c r="BL138" s="36">
        <f>8.1*((BK138/MPM!$AE139)^(1/6))</f>
        <v>11.284330998557518</v>
      </c>
      <c r="BM138" s="43">
        <f t="shared" si="83"/>
        <v>5.6346514462388886E-9</v>
      </c>
      <c r="BN138" s="43">
        <f t="shared" si="84"/>
        <v>3.3807852457204443E-8</v>
      </c>
    </row>
    <row r="139" spans="1:66">
      <c r="A139" s="36">
        <f>MPM!B140</f>
        <v>135</v>
      </c>
      <c r="B139" s="41">
        <f>1/(MPM!AC140^0.5)</f>
        <v>11.233976699968958</v>
      </c>
      <c r="C139" s="38">
        <f>(MPM!$Q140^2)/(9.81*MPM!$F140*(Sheet1!B139^2))</f>
        <v>9.6363430354695523E-2</v>
      </c>
      <c r="D139" s="36">
        <f>8.1*((C139/MPM!$AE140)^(1/6))</f>
        <v>10.635977728995607</v>
      </c>
      <c r="E139" s="41">
        <f t="shared" si="63"/>
        <v>5.6224165395071894</v>
      </c>
      <c r="F139" s="38">
        <f>(MPM!$Q140^2)/(9.81*MPM!$F140*(D139^2))</f>
        <v>0.10750395715796082</v>
      </c>
      <c r="G139" s="36">
        <f>8.1*((F139/MPM!$AE140)^(1/6))</f>
        <v>10.83168743067959</v>
      </c>
      <c r="H139" s="43">
        <f t="shared" si="64"/>
        <v>1.8068256025340625</v>
      </c>
      <c r="I139" s="38">
        <f>(MPM!$Q140^2)/(9.81*MPM!$F140*(G139^2))</f>
        <v>0.10365423505813566</v>
      </c>
      <c r="J139" s="36">
        <f>8.1*((I139/MPM!$AE140)^(1/6))</f>
        <v>10.766053967704588</v>
      </c>
      <c r="K139" s="43">
        <f t="shared" si="65"/>
        <v>0.60963341974586061</v>
      </c>
      <c r="L139" s="38">
        <f>(MPM!$Q140^2)/(9.81*MPM!$F140*(J139^2))</f>
        <v>0.10492190911370106</v>
      </c>
      <c r="M139" s="36">
        <f>8.1*((L139/MPM!$AE140)^(1/6))</f>
        <v>10.787887480490845</v>
      </c>
      <c r="N139" s="43">
        <f t="shared" si="66"/>
        <v>0.20238914083727158</v>
      </c>
      <c r="O139" s="38">
        <f>(MPM!$Q140^2)/(9.81*MPM!$F140*(M139^2))</f>
        <v>0.10449763778734503</v>
      </c>
      <c r="P139" s="36">
        <f>8.1*((O139/MPM!$AE140)^(1/6))</f>
        <v>10.780604727516414</v>
      </c>
      <c r="Q139" s="43">
        <f t="shared" si="67"/>
        <v>6.7554215728202735E-2</v>
      </c>
      <c r="R139" s="38">
        <f>(MPM!$Q140^2)/(9.81*MPM!$F140*(P139^2))</f>
        <v>0.10463887059491851</v>
      </c>
      <c r="S139" s="36">
        <f>8.1*((R139/MPM!$AE140)^(1/6))</f>
        <v>10.783031765401104</v>
      </c>
      <c r="T139" s="43">
        <f t="shared" si="68"/>
        <v>2.2507935963589628E-2</v>
      </c>
      <c r="U139" s="38">
        <f>(MPM!$Q140^2)/(9.81*MPM!$F140*(S139^2))</f>
        <v>0.1045917717960258</v>
      </c>
      <c r="V139" s="36">
        <f>8.1*((U139/MPM!$AE140)^(1/6))</f>
        <v>10.782222692067936</v>
      </c>
      <c r="W139" s="43">
        <f t="shared" si="69"/>
        <v>7.5037713120373597E-3</v>
      </c>
      <c r="X139" s="38">
        <f>(MPM!$Q140^2)/(9.81*MPM!$F140*(V139^2))</f>
        <v>0.10460746903967991</v>
      </c>
      <c r="Y139" s="36">
        <f>8.1*((X139/MPM!$AE140)^(1/6))</f>
        <v>10.782492376433604</v>
      </c>
      <c r="Z139" s="43">
        <f t="shared" si="70"/>
        <v>2.5011319855599502E-3</v>
      </c>
      <c r="AA139" s="38">
        <f>(MPM!$Q140^2)/(9.81*MPM!$F140*(Y139^2))</f>
        <v>0.10460223636338392</v>
      </c>
      <c r="AB139" s="36">
        <f>8.1*((AA139/MPM!$AE140)^(1/6))</f>
        <v>10.782402480895577</v>
      </c>
      <c r="AC139" s="43">
        <f t="shared" si="71"/>
        <v>8.3372456357597537E-4</v>
      </c>
      <c r="AD139" s="38">
        <f>(MPM!$Q140^2)/(9.81*MPM!$F140*(AB139^2))</f>
        <v>0.10460398055973201</v>
      </c>
      <c r="AE139" s="36">
        <f>8.1*((AD139/MPM!$AE140)^(1/6))</f>
        <v>10.782432445991644</v>
      </c>
      <c r="AF139" s="43">
        <f t="shared" si="72"/>
        <v>2.7790664320660583E-4</v>
      </c>
      <c r="AG139" s="38">
        <f>(MPM!$Q140^2)/(9.81*MPM!$F140*(AE139^2))</f>
        <v>0.10460339915771782</v>
      </c>
      <c r="AH139" s="36">
        <f>8.1*((AG139/MPM!$AE140)^(1/6))</f>
        <v>10.782422457617034</v>
      </c>
      <c r="AI139" s="43">
        <f t="shared" si="73"/>
        <v>9.2635719370624684E-5</v>
      </c>
      <c r="AJ139" s="38">
        <f>(MPM!$Q140^2)/(9.81*MPM!$F140*(AH139^2))</f>
        <v>0.10460359295803016</v>
      </c>
      <c r="AK139" s="36">
        <f>8.1*((AJ139/MPM!$AE140)^(1/6))</f>
        <v>10.78242578707421</v>
      </c>
      <c r="AL139" s="43">
        <f t="shared" si="74"/>
        <v>3.0878554060899433E-5</v>
      </c>
      <c r="AM139" s="38">
        <f>(MPM!$Q140^2)/(9.81*MPM!$F140*(AK139^2))</f>
        <v>0.10460352835788615</v>
      </c>
      <c r="AN139" s="36">
        <f>8.1*((AM139/MPM!$AE140)^(1/6))</f>
        <v>10.782424677255037</v>
      </c>
      <c r="AO139" s="43">
        <f t="shared" si="75"/>
        <v>1.0292853478416022E-5</v>
      </c>
      <c r="AP139" s="38">
        <f>(MPM!$Q140^2)/(9.81*MPM!$F140*(AN139^2))</f>
        <v>0.10460354989126307</v>
      </c>
      <c r="AQ139" s="36">
        <f>8.1*((AP139/MPM!$AE140)^(1/6))</f>
        <v>10.782425047194749</v>
      </c>
      <c r="AR139" s="43">
        <f t="shared" si="76"/>
        <v>3.4309509319273717E-6</v>
      </c>
      <c r="AS139" s="38">
        <f>(MPM!$Q140^2)/(9.81*MPM!$F140*(AQ139^2))</f>
        <v>0.10460354271347025</v>
      </c>
      <c r="AT139" s="36">
        <f>8.1*((AS139/MPM!$AE140)^(1/6))</f>
        <v>10.782424923881509</v>
      </c>
      <c r="AU139" s="43">
        <f t="shared" si="77"/>
        <v>1.1436503511794144E-6</v>
      </c>
      <c r="AV139" s="38">
        <f>(MPM!$Q140^2)/(9.81*MPM!$F140*(AT139^2))</f>
        <v>0.10460354510606784</v>
      </c>
      <c r="AW139" s="36">
        <f>8.1*((AV139/MPM!$AE140)^(1/6))</f>
        <v>10.782424964985925</v>
      </c>
      <c r="AX139" s="43">
        <f t="shared" si="78"/>
        <v>3.8121680423928619E-7</v>
      </c>
      <c r="AY139" s="38">
        <f>(MPM!$Q140^2)/(9.81*MPM!$F140*(AW139^2))</f>
        <v>0.10460354430853526</v>
      </c>
      <c r="AZ139" s="36">
        <f>8.1*((AY139/MPM!$AE140)^(1/6))</f>
        <v>10.782424951284451</v>
      </c>
      <c r="BA139" s="43">
        <f t="shared" si="79"/>
        <v>1.270722847157936E-7</v>
      </c>
      <c r="BB139" s="38">
        <f>(MPM!$Q140^2)/(9.81*MPM!$F140*(AZ139^2))</f>
        <v>0.1046035445743795</v>
      </c>
      <c r="BC139" s="36">
        <f>8.1*((BB139/MPM!$AE140)^(1/6))</f>
        <v>10.782424955851608</v>
      </c>
      <c r="BD139" s="43">
        <f t="shared" si="80"/>
        <v>4.2357422729137054E-8</v>
      </c>
      <c r="BE139" s="38">
        <f>(MPM!$Q140^2)/(9.81*MPM!$F140*(BC139^2))</f>
        <v>0.10460354448576475</v>
      </c>
      <c r="BF139" s="36">
        <f>8.1*((BE139/MPM!$AE140)^(1/6))</f>
        <v>10.782424954329224</v>
      </c>
      <c r="BG139" s="43">
        <f t="shared" si="81"/>
        <v>1.4119124437147977E-8</v>
      </c>
      <c r="BH139" s="38">
        <f>(MPM!$Q140^2)/(9.81*MPM!$F140*(BF139^2))</f>
        <v>0.10460354451530297</v>
      </c>
      <c r="BI139" s="36">
        <f>8.1*((BH139/MPM!$AE140)^(1/6))</f>
        <v>10.782424954836683</v>
      </c>
      <c r="BJ139" s="43">
        <f t="shared" si="82"/>
        <v>4.7063528460839947E-9</v>
      </c>
      <c r="BK139" s="38">
        <f>(MPM!$Q140^2)/(9.81*MPM!$F140*(BI139^2))</f>
        <v>0.10460354450545695</v>
      </c>
      <c r="BL139" s="36">
        <f>8.1*((BK139/MPM!$AE140)^(1/6))</f>
        <v>10.782424954667531</v>
      </c>
      <c r="BM139" s="43">
        <f t="shared" si="83"/>
        <v>1.5687732990140261E-9</v>
      </c>
      <c r="BN139" s="43">
        <f t="shared" si="84"/>
        <v>9.412708544653917E-9</v>
      </c>
    </row>
    <row r="140" spans="1:66">
      <c r="A140" s="36">
        <f>MPM!B141</f>
        <v>136</v>
      </c>
      <c r="B140" s="41">
        <f>1/(MPM!AC141^0.5)</f>
        <v>9.8928613995563559</v>
      </c>
      <c r="C140" s="38">
        <f>(MPM!$Q141^2)/(9.81*MPM!$F141*(Sheet1!B140^2))</f>
        <v>8.4256306879077675E-2</v>
      </c>
      <c r="D140" s="36">
        <f>8.1*((C140/MPM!$AE141)^(1/6))</f>
        <v>10.400617239041159</v>
      </c>
      <c r="E140" s="41">
        <f t="shared" si="63"/>
        <v>4.8819779424130925</v>
      </c>
      <c r="F140" s="38">
        <f>(MPM!$Q141^2)/(9.81*MPM!$F141*(D140^2))</f>
        <v>7.6230372272062086E-2</v>
      </c>
      <c r="G140" s="36">
        <f>8.1*((F140/MPM!$AE141)^(1/6))</f>
        <v>10.228533787996424</v>
      </c>
      <c r="H140" s="43">
        <f t="shared" si="64"/>
        <v>1.6823862990674301</v>
      </c>
      <c r="I140" s="38">
        <f>(MPM!$Q141^2)/(9.81*MPM!$F141*(G140^2))</f>
        <v>7.8816927374652165E-2</v>
      </c>
      <c r="J140" s="36">
        <f>8.1*((I140/MPM!$AE141)^(1/6))</f>
        <v>10.285576232921322</v>
      </c>
      <c r="K140" s="43">
        <f t="shared" si="65"/>
        <v>0.55458676921104866</v>
      </c>
      <c r="L140" s="38">
        <f>(MPM!$Q141^2)/(9.81*MPM!$F141*(J140^2))</f>
        <v>7.7945135016942987E-2</v>
      </c>
      <c r="M140" s="36">
        <f>8.1*((L140/MPM!$AE141)^(1/6))</f>
        <v>10.266526825928963</v>
      </c>
      <c r="N140" s="43">
        <f t="shared" si="66"/>
        <v>0.18554869933469559</v>
      </c>
      <c r="O140" s="38">
        <f>(MPM!$Q141^2)/(9.81*MPM!$F141*(M140^2))</f>
        <v>7.8234655737383932E-2</v>
      </c>
      <c r="P140" s="36">
        <f>8.1*((O140/MPM!$AE141)^(1/6))</f>
        <v>10.272872704977924</v>
      </c>
      <c r="Q140" s="43">
        <f t="shared" si="67"/>
        <v>6.1773169309167056E-2</v>
      </c>
      <c r="R140" s="38">
        <f>(MPM!$Q141^2)/(9.81*MPM!$F141*(P140^2))</f>
        <v>7.8138029538443274E-2</v>
      </c>
      <c r="S140" s="36">
        <f>8.1*((R140/MPM!$AE141)^(1/6))</f>
        <v>10.270756976250887</v>
      </c>
      <c r="T140" s="43">
        <f t="shared" si="68"/>
        <v>2.0599540344785679E-2</v>
      </c>
      <c r="U140" s="38">
        <f>(MPM!$Q141^2)/(9.81*MPM!$F141*(S140^2))</f>
        <v>7.8170225003999505E-2</v>
      </c>
      <c r="V140" s="36">
        <f>8.1*((U140/MPM!$AE141)^(1/6))</f>
        <v>10.27146217073984</v>
      </c>
      <c r="W140" s="43">
        <f t="shared" si="69"/>
        <v>6.86557061916438E-3</v>
      </c>
      <c r="X140" s="38">
        <f>(MPM!$Q141^2)/(9.81*MPM!$F141*(V140^2))</f>
        <v>7.8159491708461523E-2</v>
      </c>
      <c r="Y140" s="36">
        <f>8.1*((X140/MPM!$AE141)^(1/6))</f>
        <v>10.271227100530469</v>
      </c>
      <c r="Z140" s="43">
        <f t="shared" si="70"/>
        <v>2.2886282921210687E-3</v>
      </c>
      <c r="AA140" s="38">
        <f>(MPM!$Q141^2)/(9.81*MPM!$F141*(Y140^2))</f>
        <v>7.8163069309880498E-2</v>
      </c>
      <c r="AB140" s="36">
        <f>8.1*((AA140/MPM!$AE141)^(1/6))</f>
        <v>10.27130545666917</v>
      </c>
      <c r="AC140" s="43">
        <f t="shared" si="71"/>
        <v>7.6286445799467542E-4</v>
      </c>
      <c r="AD140" s="38">
        <f>(MPM!$Q141^2)/(9.81*MPM!$F141*(AB140^2))</f>
        <v>7.8161876757879195E-2</v>
      </c>
      <c r="AE140" s="36">
        <f>8.1*((AD140/MPM!$AE141)^(1/6))</f>
        <v>10.271279337889853</v>
      </c>
      <c r="AF140" s="43">
        <f t="shared" si="72"/>
        <v>2.5428944591916947E-4</v>
      </c>
      <c r="AG140" s="38">
        <f>(MPM!$Q141^2)/(9.81*MPM!$F141*(AE140^2))</f>
        <v>7.8162274273191265E-2</v>
      </c>
      <c r="AH140" s="36">
        <f>8.1*((AG140/MPM!$AE141)^(1/6))</f>
        <v>10.271288044142246</v>
      </c>
      <c r="AI140" s="43">
        <f t="shared" si="73"/>
        <v>8.4763004945261257E-5</v>
      </c>
      <c r="AJ140" s="38">
        <f>(MPM!$Q141^2)/(9.81*MPM!$F141*(AH140^2))</f>
        <v>7.8162141767862625E-2</v>
      </c>
      <c r="AK140" s="36">
        <f>8.1*((AJ140/MPM!$AE141)^(1/6))</f>
        <v>10.271285142057295</v>
      </c>
      <c r="AL140" s="43">
        <f t="shared" si="74"/>
        <v>2.8254350949079375E-5</v>
      </c>
      <c r="AM140" s="38">
        <f>(MPM!$Q141^2)/(9.81*MPM!$F141*(AK140^2))</f>
        <v>7.8162185936280548E-2</v>
      </c>
      <c r="AN140" s="36">
        <f>8.1*((AM140/MPM!$AE141)^(1/6))</f>
        <v>10.271286109418854</v>
      </c>
      <c r="AO140" s="43">
        <f t="shared" si="75"/>
        <v>9.4181152140031806E-6</v>
      </c>
      <c r="AP140" s="38">
        <f>(MPM!$Q141^2)/(9.81*MPM!$F141*(AN140^2))</f>
        <v>7.8162171213471798E-2</v>
      </c>
      <c r="AQ140" s="36">
        <f>8.1*((AP140/MPM!$AE141)^(1/6))</f>
        <v>10.27128578696499</v>
      </c>
      <c r="AR140" s="43">
        <f t="shared" si="76"/>
        <v>3.1393719460887907E-6</v>
      </c>
      <c r="AS140" s="38">
        <f>(MPM!$Q141^2)/(9.81*MPM!$F141*(AQ140^2))</f>
        <v>7.8162176121074414E-2</v>
      </c>
      <c r="AT140" s="36">
        <f>8.1*((AS140/MPM!$AE141)^(1/6))</f>
        <v>10.27128589444961</v>
      </c>
      <c r="AU140" s="43">
        <f t="shared" si="77"/>
        <v>1.046457292882604E-6</v>
      </c>
      <c r="AV140" s="38">
        <f>(MPM!$Q141^2)/(9.81*MPM!$F141*(AT140^2))</f>
        <v>7.8162174485206848E-2</v>
      </c>
      <c r="AW140" s="36">
        <f>8.1*((AV140/MPM!$AE141)^(1/6))</f>
        <v>10.271285858621404</v>
      </c>
      <c r="AX140" s="43">
        <f t="shared" si="78"/>
        <v>3.4881909307948368E-7</v>
      </c>
      <c r="AY140" s="38">
        <f>(MPM!$Q141^2)/(9.81*MPM!$F141*(AW140^2))</f>
        <v>7.8162175030496023E-2</v>
      </c>
      <c r="AZ140" s="36">
        <f>8.1*((AY140/MPM!$AE141)^(1/6))</f>
        <v>10.271285870564139</v>
      </c>
      <c r="BA140" s="43">
        <f t="shared" si="79"/>
        <v>1.1627302512650176E-7</v>
      </c>
      <c r="BB140" s="38">
        <f>(MPM!$Q141^2)/(9.81*MPM!$F141*(AZ140^2))</f>
        <v>7.816217484873296E-2</v>
      </c>
      <c r="BC140" s="36">
        <f>8.1*((BB140/MPM!$AE141)^(1/6))</f>
        <v>10.271285866583227</v>
      </c>
      <c r="BD140" s="43">
        <f t="shared" si="80"/>
        <v>3.8757675057188827E-8</v>
      </c>
      <c r="BE140" s="38">
        <f>(MPM!$Q141^2)/(9.81*MPM!$F141*(BC140^2))</f>
        <v>7.8162174909320661E-2</v>
      </c>
      <c r="BF140" s="36">
        <f>8.1*((BE140/MPM!$AE141)^(1/6))</f>
        <v>10.271285867910199</v>
      </c>
      <c r="BG140" s="43">
        <f t="shared" si="81"/>
        <v>1.2919242311789752E-8</v>
      </c>
      <c r="BH140" s="38">
        <f>(MPM!$Q141^2)/(9.81*MPM!$F141*(BF140^2))</f>
        <v>7.8162174889124733E-2</v>
      </c>
      <c r="BI140" s="36">
        <f>8.1*((BH140/MPM!$AE141)^(1/6))</f>
        <v>10.271285867467874</v>
      </c>
      <c r="BJ140" s="43">
        <f t="shared" si="82"/>
        <v>4.30642563371262E-9</v>
      </c>
      <c r="BK140" s="38">
        <f>(MPM!$Q141^2)/(9.81*MPM!$F141*(BI140^2))</f>
        <v>7.8162174895856723E-2</v>
      </c>
      <c r="BL140" s="36">
        <f>8.1*((BK140/MPM!$AE141)^(1/6))</f>
        <v>10.271285867615315</v>
      </c>
      <c r="BM140" s="43">
        <f t="shared" si="83"/>
        <v>1.4354694464183092E-9</v>
      </c>
      <c r="BN140" s="43">
        <f t="shared" si="84"/>
        <v>8.6128488293093506E-9</v>
      </c>
    </row>
    <row r="141" spans="1:66">
      <c r="A141" s="36">
        <f>MPM!B142</f>
        <v>137</v>
      </c>
      <c r="B141" s="41">
        <f>1/(MPM!AC142^0.5)</f>
        <v>10.080306275686715</v>
      </c>
      <c r="C141" s="38">
        <f>(MPM!$Q142^2)/(9.81*MPM!$F142*(Sheet1!B141^2))</f>
        <v>6.6795882362902806E-2</v>
      </c>
      <c r="D141" s="36">
        <f>8.1*((C141/MPM!$AE142)^(1/6))</f>
        <v>10.005765627549398</v>
      </c>
      <c r="E141" s="41">
        <f t="shared" si="63"/>
        <v>0.7449769554073935</v>
      </c>
      <c r="F141" s="38">
        <f>(MPM!$Q142^2)/(9.81*MPM!$F142*(D141^2))</f>
        <v>6.7794817333543228E-2</v>
      </c>
      <c r="G141" s="36">
        <f>8.1*((F141/MPM!$AE142)^(1/6))</f>
        <v>10.03055106318344</v>
      </c>
      <c r="H141" s="43">
        <f t="shared" si="64"/>
        <v>0.24709944127612035</v>
      </c>
      <c r="I141" s="38">
        <f>(MPM!$Q142^2)/(9.81*MPM!$F142*(G141^2))</f>
        <v>6.7460190046355825E-2</v>
      </c>
      <c r="J141" s="36">
        <f>8.1*((I141/MPM!$AE142)^(1/6))</f>
        <v>10.022282436984664</v>
      </c>
      <c r="K141" s="43">
        <f t="shared" si="65"/>
        <v>8.2502426475853624E-2</v>
      </c>
      <c r="L141" s="38">
        <f>(MPM!$Q142^2)/(9.81*MPM!$F142*(J141^2))</f>
        <v>6.7571548551535535E-2</v>
      </c>
      <c r="M141" s="36">
        <f>8.1*((L141/MPM!$AE142)^(1/6))</f>
        <v>10.025037888085121</v>
      </c>
      <c r="N141" s="43">
        <f t="shared" si="66"/>
        <v>2.7485692634956906E-2</v>
      </c>
      <c r="O141" s="38">
        <f>(MPM!$Q142^2)/(9.81*MPM!$F142*(M141^2))</f>
        <v>6.7534408640030935E-2</v>
      </c>
      <c r="P141" s="36">
        <f>8.1*((O141/MPM!$AE142)^(1/6))</f>
        <v>10.024119320221581</v>
      </c>
      <c r="Q141" s="43">
        <f t="shared" si="67"/>
        <v>9.1635767112897473E-3</v>
      </c>
      <c r="R141" s="38">
        <f>(MPM!$Q142^2)/(9.81*MPM!$F142*(P141^2))</f>
        <v>6.754678634180955E-2</v>
      </c>
      <c r="S141" s="36">
        <f>8.1*((R141/MPM!$AE142)^(1/6))</f>
        <v>10.024425500157275</v>
      </c>
      <c r="T141" s="43">
        <f t="shared" si="68"/>
        <v>3.0543389812049369E-3</v>
      </c>
      <c r="U141" s="38">
        <f>(MPM!$Q142^2)/(9.81*MPM!$F142*(S141^2))</f>
        <v>6.7542660189172266E-2</v>
      </c>
      <c r="V141" s="36">
        <f>8.1*((U141/MPM!$AE142)^(1/6))</f>
        <v>10.024323439139607</v>
      </c>
      <c r="W141" s="43">
        <f t="shared" si="69"/>
        <v>1.0181337253037563E-3</v>
      </c>
      <c r="X141" s="38">
        <f>(MPM!$Q142^2)/(9.81*MPM!$F142*(V141^2))</f>
        <v>6.7544035545378425E-2</v>
      </c>
      <c r="Y141" s="36">
        <f>8.1*((X141/MPM!$AE142)^(1/6))</f>
        <v>10.024357459363372</v>
      </c>
      <c r="Z141" s="43">
        <f t="shared" si="70"/>
        <v>3.3937560490143466E-4</v>
      </c>
      <c r="AA141" s="38">
        <f>(MPM!$Q142^2)/(9.81*MPM!$F142*(Y141^2))</f>
        <v>6.7543577090197954E-2</v>
      </c>
      <c r="AB141" s="36">
        <f>8.1*((AA141/MPM!$AE142)^(1/6))</f>
        <v>10.024346119275954</v>
      </c>
      <c r="AC141" s="43">
        <f t="shared" si="71"/>
        <v>1.1312545759594399E-4</v>
      </c>
      <c r="AD141" s="38">
        <f>(MPM!$Q142^2)/(9.81*MPM!$F142*(AB141^2))</f>
        <v>6.7543729908245712E-2</v>
      </c>
      <c r="AE141" s="36">
        <f>8.1*((AD141/MPM!$AE142)^(1/6))</f>
        <v>10.024349899303671</v>
      </c>
      <c r="AF141" s="43">
        <f t="shared" si="72"/>
        <v>3.7708457451970413E-5</v>
      </c>
      <c r="AG141" s="38">
        <f>(MPM!$Q142^2)/(9.81*MPM!$F142*(AE141^2))</f>
        <v>6.7543678968858017E-2</v>
      </c>
      <c r="AH141" s="36">
        <f>8.1*((AG141/MPM!$AE142)^(1/6))</f>
        <v>10.024348639294272</v>
      </c>
      <c r="AI141" s="43">
        <f t="shared" si="73"/>
        <v>1.2569488986174742E-5</v>
      </c>
      <c r="AJ141" s="38">
        <f>(MPM!$Q142^2)/(9.81*MPM!$F142*(AH141^2))</f>
        <v>6.754369594864966E-2</v>
      </c>
      <c r="AK141" s="36">
        <f>8.1*((AJ141/MPM!$AE142)^(1/6))</f>
        <v>10.024349059297386</v>
      </c>
      <c r="AL141" s="43">
        <f t="shared" si="74"/>
        <v>4.189829291586908E-6</v>
      </c>
      <c r="AM141" s="38">
        <f>(MPM!$Q142^2)/(9.81*MPM!$F142*(AK141^2))</f>
        <v>6.754369028871865E-2</v>
      </c>
      <c r="AN141" s="36">
        <f>8.1*((AM141/MPM!$AE142)^(1/6))</f>
        <v>10.024348919296347</v>
      </c>
      <c r="AO141" s="43">
        <f t="shared" si="75"/>
        <v>1.3966097892742982E-6</v>
      </c>
      <c r="AP141" s="38">
        <f>(MPM!$Q142^2)/(9.81*MPM!$F142*(AN141^2))</f>
        <v>6.7543692175362241E-2</v>
      </c>
      <c r="AQ141" s="36">
        <f>8.1*((AP141/MPM!$AE142)^(1/6))</f>
        <v>10.024348965963359</v>
      </c>
      <c r="AR141" s="43">
        <f t="shared" si="76"/>
        <v>4.6553658244390891E-7</v>
      </c>
      <c r="AS141" s="38">
        <f>(MPM!$Q142^2)/(9.81*MPM!$F142*(AQ141^2))</f>
        <v>6.7543691546481058E-2</v>
      </c>
      <c r="AT141" s="36">
        <f>8.1*((AS141/MPM!$AE142)^(1/6))</f>
        <v>10.024348950407688</v>
      </c>
      <c r="AU141" s="43">
        <f t="shared" si="77"/>
        <v>1.551788610554411E-7</v>
      </c>
      <c r="AV141" s="38">
        <f>(MPM!$Q142^2)/(9.81*MPM!$F142*(AT141^2))</f>
        <v>6.754369175610811E-2</v>
      </c>
      <c r="AW141" s="36">
        <f>8.1*((AV141/MPM!$AE142)^(1/6))</f>
        <v>10.024348955592911</v>
      </c>
      <c r="AX141" s="43">
        <f t="shared" si="78"/>
        <v>5.1726281084917273E-8</v>
      </c>
      <c r="AY141" s="38">
        <f>(MPM!$Q142^2)/(9.81*MPM!$F142*(AW141^2))</f>
        <v>6.7543691686232435E-2</v>
      </c>
      <c r="AZ141" s="36">
        <f>8.1*((AY141/MPM!$AE142)^(1/6))</f>
        <v>10.024348953864505</v>
      </c>
      <c r="BA141" s="43">
        <f t="shared" si="79"/>
        <v>1.7242075977524296E-8</v>
      </c>
      <c r="BB141" s="38">
        <f>(MPM!$Q142^2)/(9.81*MPM!$F142*(AZ141^2))</f>
        <v>6.7543691709524317E-2</v>
      </c>
      <c r="BC141" s="36">
        <f>8.1*((BB141/MPM!$AE142)^(1/6))</f>
        <v>10.02434895444064</v>
      </c>
      <c r="BD141" s="43">
        <f t="shared" si="80"/>
        <v>5.7473527520374377E-9</v>
      </c>
      <c r="BE141" s="38">
        <f>(MPM!$Q142^2)/(9.81*MPM!$F142*(BC141^2))</f>
        <v>6.7543691701760361E-2</v>
      </c>
      <c r="BF141" s="36">
        <f>8.1*((BE141/MPM!$AE142)^(1/6))</f>
        <v>10.024348954248595</v>
      </c>
      <c r="BG141" s="43">
        <f t="shared" si="81"/>
        <v>1.9157901575228554E-9</v>
      </c>
      <c r="BH141" s="38">
        <f>(MPM!$Q142^2)/(9.81*MPM!$F142*(BF141^2))</f>
        <v>6.7543691704348346E-2</v>
      </c>
      <c r="BI141" s="36">
        <f>8.1*((BH141/MPM!$AE142)^(1/6))</f>
        <v>10.024348954312609</v>
      </c>
      <c r="BJ141" s="43">
        <f t="shared" si="82"/>
        <v>6.3859081236319995E-10</v>
      </c>
      <c r="BK141" s="38">
        <f>(MPM!$Q142^2)/(9.81*MPM!$F142*(BI141^2))</f>
        <v>6.7543691703485689E-2</v>
      </c>
      <c r="BL141" s="36">
        <f>8.1*((BK141/MPM!$AE142)^(1/6))</f>
        <v>10.024348954291272</v>
      </c>
      <c r="BM141" s="43">
        <f t="shared" si="83"/>
        <v>2.1285769731451246E-10</v>
      </c>
      <c r="BN141" s="43">
        <f t="shared" si="84"/>
        <v>1.2771839177944071E-9</v>
      </c>
    </row>
    <row r="142" spans="1:66">
      <c r="A142" s="36"/>
    </row>
    <row r="143" spans="1:66">
      <c r="A143" s="36"/>
    </row>
    <row r="144" spans="1:66">
      <c r="A144" s="36"/>
    </row>
    <row r="145" spans="1:1">
      <c r="A145" s="36"/>
    </row>
    <row r="146" spans="1:1">
      <c r="A146" s="36"/>
    </row>
    <row r="147" spans="1:1">
      <c r="A147" s="36"/>
    </row>
    <row r="148" spans="1:1">
      <c r="A148" s="36"/>
    </row>
    <row r="149" spans="1:1">
      <c r="A149" s="36"/>
    </row>
    <row r="150" spans="1:1">
      <c r="A150" s="36"/>
    </row>
    <row r="151" spans="1:1">
      <c r="A151" s="36"/>
    </row>
    <row r="152" spans="1:1">
      <c r="A152" s="36"/>
    </row>
    <row r="153" spans="1:1">
      <c r="A153" s="36"/>
    </row>
    <row r="154" spans="1:1">
      <c r="A154" s="36"/>
    </row>
    <row r="155" spans="1:1">
      <c r="A155" s="36"/>
    </row>
    <row r="156" spans="1:1">
      <c r="A156" s="36"/>
    </row>
    <row r="157" spans="1:1">
      <c r="A157" s="36"/>
    </row>
    <row r="158" spans="1:1">
      <c r="A158" s="36"/>
    </row>
    <row r="159" spans="1:1">
      <c r="A159" s="36"/>
    </row>
    <row r="160" spans="1:1">
      <c r="A160" s="36"/>
    </row>
    <row r="161" spans="1:1">
      <c r="A161" s="36"/>
    </row>
    <row r="162" spans="1:1">
      <c r="A162" s="36"/>
    </row>
    <row r="163" spans="1:1">
      <c r="A163" s="36"/>
    </row>
    <row r="164" spans="1:1">
      <c r="A164" s="36"/>
    </row>
    <row r="165" spans="1:1">
      <c r="A165" s="36"/>
    </row>
    <row r="166" spans="1:1">
      <c r="A166" s="36"/>
    </row>
    <row r="167" spans="1:1">
      <c r="A167" s="36"/>
    </row>
    <row r="168" spans="1:1">
      <c r="A168" s="36"/>
    </row>
    <row r="169" spans="1:1">
      <c r="A169" s="36"/>
    </row>
    <row r="170" spans="1:1">
      <c r="A170" s="36"/>
    </row>
    <row r="171" spans="1:1">
      <c r="A171" s="36"/>
    </row>
    <row r="172" spans="1:1">
      <c r="A172" s="36"/>
    </row>
    <row r="173" spans="1:1">
      <c r="A173" s="36"/>
    </row>
    <row r="174" spans="1:1">
      <c r="A174" s="36"/>
    </row>
    <row r="175" spans="1:1">
      <c r="A175" s="36"/>
    </row>
    <row r="176" spans="1:1">
      <c r="A176" s="36"/>
    </row>
    <row r="177" spans="1:1">
      <c r="A177" s="36"/>
    </row>
    <row r="178" spans="1:1">
      <c r="A178" s="36"/>
    </row>
    <row r="179" spans="1:1">
      <c r="A179" s="36"/>
    </row>
    <row r="180" spans="1:1">
      <c r="A180" s="36"/>
    </row>
    <row r="181" spans="1:1">
      <c r="A181" s="36"/>
    </row>
    <row r="182" spans="1:1">
      <c r="A182" s="36"/>
    </row>
    <row r="183" spans="1:1">
      <c r="A183" s="36"/>
    </row>
    <row r="184" spans="1:1">
      <c r="A184" s="36"/>
    </row>
    <row r="185" spans="1:1">
      <c r="A185" s="36"/>
    </row>
    <row r="186" spans="1:1">
      <c r="A186" s="36"/>
    </row>
    <row r="187" spans="1:1">
      <c r="A187" s="36"/>
    </row>
    <row r="188" spans="1:1">
      <c r="A188" s="36"/>
    </row>
    <row r="189" spans="1:1">
      <c r="A189" s="36"/>
    </row>
    <row r="190" spans="1:1">
      <c r="A190" s="36"/>
    </row>
    <row r="191" spans="1:1">
      <c r="A191" s="36"/>
    </row>
    <row r="192" spans="1:1">
      <c r="A192" s="36"/>
    </row>
    <row r="193" spans="1:1">
      <c r="A193" s="36"/>
    </row>
    <row r="194" spans="1:1">
      <c r="A194" s="36"/>
    </row>
    <row r="195" spans="1:1">
      <c r="A195" s="36"/>
    </row>
    <row r="196" spans="1:1">
      <c r="A196" s="36"/>
    </row>
    <row r="197" spans="1:1">
      <c r="A197" s="36"/>
    </row>
    <row r="198" spans="1:1">
      <c r="A198" s="36"/>
    </row>
    <row r="199" spans="1:1">
      <c r="A199" s="36"/>
    </row>
    <row r="200" spans="1:1">
      <c r="A200" s="36"/>
    </row>
    <row r="201" spans="1:1">
      <c r="A201" s="36"/>
    </row>
    <row r="202" spans="1:1">
      <c r="A202" s="36"/>
    </row>
    <row r="203" spans="1:1">
      <c r="A203" s="36"/>
    </row>
    <row r="204" spans="1:1">
      <c r="A204" s="36"/>
    </row>
    <row r="205" spans="1:1">
      <c r="A205" s="36"/>
    </row>
    <row r="206" spans="1:1">
      <c r="A206" s="36"/>
    </row>
    <row r="207" spans="1:1">
      <c r="A207" s="36"/>
    </row>
    <row r="208" spans="1:1">
      <c r="A208" s="36"/>
    </row>
    <row r="209" spans="1:1">
      <c r="A209" s="36"/>
    </row>
    <row r="210" spans="1:1">
      <c r="A210" s="36"/>
    </row>
    <row r="211" spans="1:1">
      <c r="A211" s="36"/>
    </row>
    <row r="212" spans="1:1">
      <c r="A212" s="36"/>
    </row>
    <row r="213" spans="1:1">
      <c r="A213" s="36"/>
    </row>
    <row r="214" spans="1:1">
      <c r="A214" s="36"/>
    </row>
    <row r="215" spans="1:1">
      <c r="A215" s="36"/>
    </row>
    <row r="216" spans="1:1">
      <c r="A216" s="36"/>
    </row>
    <row r="217" spans="1:1">
      <c r="A217" s="36"/>
    </row>
    <row r="218" spans="1:1">
      <c r="A218" s="36"/>
    </row>
    <row r="219" spans="1:1">
      <c r="A219" s="36"/>
    </row>
    <row r="220" spans="1:1">
      <c r="A220" s="36"/>
    </row>
    <row r="221" spans="1:1">
      <c r="A221" s="36"/>
    </row>
    <row r="222" spans="1:1">
      <c r="A222" s="36"/>
    </row>
    <row r="223" spans="1:1">
      <c r="A223" s="36"/>
    </row>
    <row r="224" spans="1:1">
      <c r="A224" s="36"/>
    </row>
    <row r="225" spans="1:1">
      <c r="A225" s="36"/>
    </row>
    <row r="226" spans="1:1">
      <c r="A226" s="36"/>
    </row>
    <row r="227" spans="1:1">
      <c r="A227" s="36"/>
    </row>
    <row r="228" spans="1:1">
      <c r="A228" s="36"/>
    </row>
    <row r="229" spans="1:1">
      <c r="A229" s="36"/>
    </row>
    <row r="230" spans="1:1">
      <c r="A230" s="36"/>
    </row>
    <row r="231" spans="1:1">
      <c r="A231" s="36"/>
    </row>
    <row r="232" spans="1:1">
      <c r="A232" s="36"/>
    </row>
    <row r="233" spans="1:1">
      <c r="A233" s="36"/>
    </row>
    <row r="234" spans="1:1">
      <c r="A234" s="36"/>
    </row>
    <row r="235" spans="1:1">
      <c r="A235" s="36"/>
    </row>
    <row r="236" spans="1:1">
      <c r="A236" s="36"/>
    </row>
    <row r="237" spans="1:1">
      <c r="A237" s="36"/>
    </row>
    <row r="238" spans="1:1">
      <c r="A238" s="36"/>
    </row>
    <row r="239" spans="1:1">
      <c r="A239" s="36"/>
    </row>
    <row r="240" spans="1:1">
      <c r="A240" s="36"/>
    </row>
    <row r="241" spans="1:1">
      <c r="A241" s="36"/>
    </row>
    <row r="242" spans="1:1">
      <c r="A242" s="36"/>
    </row>
    <row r="243" spans="1:1">
      <c r="A243" s="36"/>
    </row>
    <row r="244" spans="1:1">
      <c r="A244" s="36"/>
    </row>
    <row r="245" spans="1:1">
      <c r="A245" s="36"/>
    </row>
    <row r="246" spans="1:1">
      <c r="A246" s="36"/>
    </row>
    <row r="247" spans="1:1">
      <c r="A247" s="36"/>
    </row>
    <row r="248" spans="1:1">
      <c r="A248" s="36"/>
    </row>
    <row r="249" spans="1:1">
      <c r="A249" s="36"/>
    </row>
    <row r="250" spans="1:1">
      <c r="A250" s="36"/>
    </row>
    <row r="251" spans="1:1">
      <c r="A251" s="36"/>
    </row>
    <row r="252" spans="1:1">
      <c r="A252" s="36"/>
    </row>
    <row r="253" spans="1:1">
      <c r="A253" s="36"/>
    </row>
    <row r="254" spans="1:1">
      <c r="A254" s="36"/>
    </row>
    <row r="255" spans="1:1">
      <c r="A255" s="36"/>
    </row>
    <row r="256" spans="1:1">
      <c r="A256" s="36"/>
    </row>
    <row r="257" spans="1:1">
      <c r="A257" s="36"/>
    </row>
    <row r="258" spans="1:1">
      <c r="A258" s="36"/>
    </row>
    <row r="259" spans="1:1">
      <c r="A259" s="36"/>
    </row>
    <row r="260" spans="1:1">
      <c r="A260" s="36"/>
    </row>
    <row r="261" spans="1:1">
      <c r="A261" s="36"/>
    </row>
    <row r="262" spans="1:1">
      <c r="A262" s="36"/>
    </row>
    <row r="263" spans="1:1">
      <c r="A263" s="36"/>
    </row>
    <row r="264" spans="1:1">
      <c r="A264" s="36"/>
    </row>
    <row r="265" spans="1:1">
      <c r="A265" s="36"/>
    </row>
    <row r="266" spans="1:1">
      <c r="A266" s="36"/>
    </row>
    <row r="267" spans="1:1">
      <c r="A267" s="36"/>
    </row>
    <row r="268" spans="1:1">
      <c r="A268" s="36"/>
    </row>
    <row r="269" spans="1:1">
      <c r="A269" s="36"/>
    </row>
    <row r="270" spans="1:1">
      <c r="A270" s="36"/>
    </row>
    <row r="271" spans="1:1">
      <c r="A271" s="36"/>
    </row>
    <row r="272" spans="1:1">
      <c r="A272" s="36"/>
    </row>
    <row r="273" spans="1:1">
      <c r="A273" s="36"/>
    </row>
    <row r="274" spans="1:1">
      <c r="A274" s="36"/>
    </row>
    <row r="275" spans="1:1">
      <c r="A275" s="36"/>
    </row>
    <row r="276" spans="1:1">
      <c r="A276" s="36"/>
    </row>
    <row r="277" spans="1:1">
      <c r="A277" s="36"/>
    </row>
    <row r="278" spans="1:1">
      <c r="A278" s="36"/>
    </row>
    <row r="279" spans="1:1">
      <c r="A279" s="36"/>
    </row>
    <row r="280" spans="1:1">
      <c r="A280" s="36"/>
    </row>
    <row r="281" spans="1:1">
      <c r="A281" s="36"/>
    </row>
    <row r="282" spans="1:1">
      <c r="A282" s="36"/>
    </row>
    <row r="283" spans="1:1">
      <c r="A283" s="36"/>
    </row>
    <row r="284" spans="1:1">
      <c r="A284" s="36"/>
    </row>
    <row r="285" spans="1:1">
      <c r="A285" s="36"/>
    </row>
    <row r="286" spans="1:1">
      <c r="A286" s="36"/>
    </row>
    <row r="287" spans="1:1">
      <c r="A287" s="36"/>
    </row>
    <row r="288" spans="1:1">
      <c r="A288" s="36"/>
    </row>
    <row r="289" spans="1:1">
      <c r="A289" s="36"/>
    </row>
    <row r="290" spans="1:1">
      <c r="A290" s="36"/>
    </row>
    <row r="291" spans="1:1">
      <c r="A291" s="36"/>
    </row>
    <row r="292" spans="1:1">
      <c r="A292" s="36"/>
    </row>
    <row r="293" spans="1:1">
      <c r="A293" s="36"/>
    </row>
    <row r="294" spans="1:1">
      <c r="A294" s="36"/>
    </row>
    <row r="295" spans="1:1">
      <c r="A295" s="36"/>
    </row>
    <row r="296" spans="1:1">
      <c r="A296" s="36"/>
    </row>
    <row r="297" spans="1:1">
      <c r="A297" s="36"/>
    </row>
    <row r="298" spans="1:1">
      <c r="A298" s="36"/>
    </row>
    <row r="299" spans="1:1">
      <c r="A299" s="36"/>
    </row>
    <row r="300" spans="1:1">
      <c r="A300" s="36"/>
    </row>
    <row r="301" spans="1:1">
      <c r="A301" s="36"/>
    </row>
    <row r="302" spans="1:1">
      <c r="A302" s="36"/>
    </row>
    <row r="303" spans="1:1">
      <c r="A303" s="36"/>
    </row>
    <row r="304" spans="1:1">
      <c r="A304" s="36"/>
    </row>
    <row r="305" spans="1:1">
      <c r="A305" s="36"/>
    </row>
    <row r="306" spans="1:1">
      <c r="A306" s="36"/>
    </row>
    <row r="307" spans="1:1">
      <c r="A307" s="36"/>
    </row>
    <row r="308" spans="1:1">
      <c r="A308" s="36"/>
    </row>
    <row r="309" spans="1:1">
      <c r="A309" s="36"/>
    </row>
    <row r="310" spans="1:1">
      <c r="A310" s="36"/>
    </row>
    <row r="311" spans="1:1">
      <c r="A311" s="36"/>
    </row>
    <row r="312" spans="1:1">
      <c r="A312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04C69-B14D-4487-B9F7-1C49439E23CC}">
  <dimension ref="B2:K122"/>
  <sheetViews>
    <sheetView topLeftCell="A3" workbookViewId="0">
      <selection activeCell="C6" sqref="C6"/>
    </sheetView>
  </sheetViews>
  <sheetFormatPr defaultRowHeight="14.25"/>
  <sheetData>
    <row r="2" spans="2:11" ht="19.899999999999999">
      <c r="B2" s="8" t="s">
        <v>15</v>
      </c>
      <c r="C2" s="2"/>
      <c r="D2" s="3"/>
      <c r="E2" s="4"/>
      <c r="F2" s="4"/>
      <c r="G2" s="7"/>
      <c r="H2" s="7"/>
      <c r="I2" s="7"/>
      <c r="J2" s="1"/>
      <c r="K2" s="2"/>
    </row>
    <row r="3" spans="2:11" ht="17.649999999999999">
      <c r="B3" s="1"/>
      <c r="C3" s="2"/>
      <c r="D3" s="3"/>
      <c r="E3" s="4"/>
      <c r="F3" s="4"/>
      <c r="G3" s="5"/>
      <c r="H3" s="6"/>
      <c r="I3" s="7"/>
      <c r="J3" s="1"/>
      <c r="K3" s="2"/>
    </row>
    <row r="4" spans="2:11" ht="23.65">
      <c r="B4" s="9" t="s">
        <v>1</v>
      </c>
      <c r="C4" s="10" t="s">
        <v>2</v>
      </c>
      <c r="D4" s="11" t="s">
        <v>3</v>
      </c>
      <c r="E4" s="12" t="s">
        <v>4</v>
      </c>
      <c r="F4" s="11" t="s">
        <v>5</v>
      </c>
      <c r="G4" s="13" t="s">
        <v>6</v>
      </c>
      <c r="H4" s="13" t="s">
        <v>7</v>
      </c>
      <c r="I4" s="14" t="s">
        <v>8</v>
      </c>
      <c r="J4" s="15" t="s">
        <v>16</v>
      </c>
      <c r="K4" s="15" t="s">
        <v>9</v>
      </c>
    </row>
    <row r="5" spans="2:11" ht="19.899999999999999">
      <c r="B5" s="9" t="s">
        <v>10</v>
      </c>
      <c r="C5" s="16" t="s">
        <v>11</v>
      </c>
      <c r="D5" s="17" t="s">
        <v>12</v>
      </c>
      <c r="E5" s="18" t="s">
        <v>12</v>
      </c>
      <c r="F5" s="19"/>
      <c r="G5" s="20" t="s">
        <v>13</v>
      </c>
      <c r="H5" s="20" t="s">
        <v>13</v>
      </c>
      <c r="I5" s="20"/>
      <c r="J5" s="9"/>
      <c r="K5" s="21" t="s">
        <v>14</v>
      </c>
    </row>
    <row r="6" spans="2:11" ht="17.649999999999999">
      <c r="B6" s="30">
        <v>670</v>
      </c>
      <c r="C6" s="31">
        <v>5.1539999999999999</v>
      </c>
      <c r="D6" s="33">
        <v>0.20100000000000001</v>
      </c>
      <c r="E6" s="34">
        <v>3.5999999999999997E-2</v>
      </c>
      <c r="F6" s="34">
        <v>1.29E-2</v>
      </c>
      <c r="G6" s="32">
        <v>3.17</v>
      </c>
      <c r="H6" s="32">
        <f t="shared" ref="H6:H37" si="0">+I6^$G$2*G6</f>
        <v>3.17</v>
      </c>
      <c r="I6" s="32">
        <v>1.1299999999999999</v>
      </c>
      <c r="J6" s="30">
        <v>2.65</v>
      </c>
      <c r="K6" s="31">
        <v>11.001453095092547</v>
      </c>
    </row>
    <row r="7" spans="2:11" ht="17.649999999999999">
      <c r="B7" s="30">
        <f t="shared" ref="B7:B13" si="1">+B6+1</f>
        <v>671</v>
      </c>
      <c r="C7" s="31">
        <v>5.1539999999999999</v>
      </c>
      <c r="D7" s="33">
        <v>0.20100000000000001</v>
      </c>
      <c r="E7" s="34">
        <v>3.9300000000000002E-2</v>
      </c>
      <c r="F7" s="34">
        <v>1.3099999999999999E-2</v>
      </c>
      <c r="G7" s="32">
        <v>3.17</v>
      </c>
      <c r="H7" s="32">
        <f t="shared" si="0"/>
        <v>3.17</v>
      </c>
      <c r="I7" s="32">
        <v>1.1299999999999999</v>
      </c>
      <c r="J7" s="30">
        <v>2.65</v>
      </c>
      <c r="K7" s="31">
        <v>11.519107609970231</v>
      </c>
    </row>
    <row r="8" spans="2:11" ht="17.649999999999999">
      <c r="B8" s="30">
        <f t="shared" si="1"/>
        <v>672</v>
      </c>
      <c r="C8" s="31">
        <v>5.1539999999999999</v>
      </c>
      <c r="D8" s="33">
        <v>0.20100000000000001</v>
      </c>
      <c r="E8" s="34">
        <v>3.1099999999999999E-2</v>
      </c>
      <c r="F8" s="34">
        <v>2.5100000000000001E-2</v>
      </c>
      <c r="G8" s="32">
        <v>3.17</v>
      </c>
      <c r="H8" s="32">
        <f t="shared" si="0"/>
        <v>3.17</v>
      </c>
      <c r="I8" s="32">
        <v>1.1299999999999999</v>
      </c>
      <c r="J8" s="30">
        <v>2.65</v>
      </c>
      <c r="K8" s="31">
        <v>55.744263620741933</v>
      </c>
    </row>
    <row r="9" spans="2:11" ht="17.649999999999999">
      <c r="B9" s="30">
        <f t="shared" si="1"/>
        <v>673</v>
      </c>
      <c r="C9" s="31">
        <v>5.1539999999999999</v>
      </c>
      <c r="D9" s="33">
        <v>0.20100000000000001</v>
      </c>
      <c r="E9" s="34">
        <v>3.2300000000000002E-2</v>
      </c>
      <c r="F9" s="34">
        <v>2.5000000000000001E-2</v>
      </c>
      <c r="G9" s="32">
        <v>3.17</v>
      </c>
      <c r="H9" s="32">
        <f t="shared" si="0"/>
        <v>3.17</v>
      </c>
      <c r="I9" s="32">
        <v>1.1299999999999999</v>
      </c>
      <c r="J9" s="30">
        <v>2.65</v>
      </c>
      <c r="K9" s="31">
        <v>55.744263620741933</v>
      </c>
    </row>
    <row r="10" spans="2:11" ht="17.649999999999999">
      <c r="B10" s="30">
        <f t="shared" si="1"/>
        <v>674</v>
      </c>
      <c r="C10" s="31">
        <v>10.279</v>
      </c>
      <c r="D10" s="33">
        <v>0.20100000000000001</v>
      </c>
      <c r="E10" s="34">
        <v>6.3100000000000003E-2</v>
      </c>
      <c r="F10" s="34">
        <v>1.12E-2</v>
      </c>
      <c r="G10" s="32">
        <v>3.17</v>
      </c>
      <c r="H10" s="32">
        <f t="shared" si="0"/>
        <v>3.17</v>
      </c>
      <c r="I10" s="32">
        <v>1.1299999999999999</v>
      </c>
      <c r="J10" s="30">
        <v>2.65</v>
      </c>
      <c r="K10" s="31">
        <v>26.071831734287745</v>
      </c>
    </row>
    <row r="11" spans="2:11" ht="17.649999999999999">
      <c r="B11" s="30">
        <f t="shared" si="1"/>
        <v>675</v>
      </c>
      <c r="C11" s="31">
        <v>10.279</v>
      </c>
      <c r="D11" s="33">
        <v>0.20100000000000001</v>
      </c>
      <c r="E11" s="34">
        <v>6.2199999999999998E-2</v>
      </c>
      <c r="F11" s="34">
        <v>1.1300000000000001E-2</v>
      </c>
      <c r="G11" s="32">
        <v>3.17</v>
      </c>
      <c r="H11" s="32">
        <f t="shared" si="0"/>
        <v>3.17</v>
      </c>
      <c r="I11" s="32">
        <v>1.1299999999999999</v>
      </c>
      <c r="J11" s="30">
        <v>2.65</v>
      </c>
      <c r="K11" s="31">
        <v>26.071831734287745</v>
      </c>
    </row>
    <row r="12" spans="2:11" ht="17.649999999999999">
      <c r="B12" s="30">
        <f t="shared" si="1"/>
        <v>676</v>
      </c>
      <c r="C12" s="31">
        <v>10.279</v>
      </c>
      <c r="D12" s="33">
        <v>0.20100000000000001</v>
      </c>
      <c r="E12" s="34">
        <v>5.3600000000000002E-2</v>
      </c>
      <c r="F12" s="34">
        <v>1.89E-2</v>
      </c>
      <c r="G12" s="32">
        <v>3.17</v>
      </c>
      <c r="H12" s="32">
        <f t="shared" si="0"/>
        <v>3.17</v>
      </c>
      <c r="I12" s="32">
        <v>1.1299999999999999</v>
      </c>
      <c r="J12" s="30">
        <v>2.65</v>
      </c>
      <c r="K12" s="31">
        <v>75.588496020952959</v>
      </c>
    </row>
    <row r="13" spans="2:11" ht="17.649999999999999">
      <c r="B13" s="30">
        <f t="shared" si="1"/>
        <v>677</v>
      </c>
      <c r="C13" s="31">
        <v>10.279</v>
      </c>
      <c r="D13" s="33">
        <v>0.20100000000000001</v>
      </c>
      <c r="E13" s="34">
        <v>5.1799999999999999E-2</v>
      </c>
      <c r="F13" s="34">
        <v>1.9600000000000003E-2</v>
      </c>
      <c r="G13" s="32">
        <v>3.17</v>
      </c>
      <c r="H13" s="32">
        <f t="shared" si="0"/>
        <v>3.17</v>
      </c>
      <c r="I13" s="32">
        <v>1.1299999999999999</v>
      </c>
      <c r="J13" s="30">
        <v>2.65</v>
      </c>
      <c r="K13" s="31">
        <v>71.417883395428461</v>
      </c>
    </row>
    <row r="14" spans="2:11" ht="17.649999999999999">
      <c r="B14" s="30">
        <v>680</v>
      </c>
      <c r="C14" s="31">
        <v>5.1539999999999999</v>
      </c>
      <c r="D14" s="33">
        <v>0.30499999999999999</v>
      </c>
      <c r="E14" s="34">
        <v>2.7400000000000001E-2</v>
      </c>
      <c r="F14" s="34">
        <v>1.3599999999999999E-2</v>
      </c>
      <c r="G14" s="32">
        <v>3.17</v>
      </c>
      <c r="H14" s="32">
        <f t="shared" si="0"/>
        <v>3.17</v>
      </c>
      <c r="I14" s="32">
        <v>1.1299999999999999</v>
      </c>
      <c r="J14" s="30">
        <v>2.65</v>
      </c>
      <c r="K14" s="31">
        <v>6.8122721993030808</v>
      </c>
    </row>
    <row r="15" spans="2:11" ht="17.649999999999999">
      <c r="B15" s="30">
        <f t="shared" ref="B15:B21" si="2">+B14+1</f>
        <v>681</v>
      </c>
      <c r="C15" s="31">
        <v>5.1539999999999999</v>
      </c>
      <c r="D15" s="33">
        <v>0.30499999999999999</v>
      </c>
      <c r="E15" s="34">
        <v>2.3800000000000002E-2</v>
      </c>
      <c r="F15" s="34">
        <v>2.4899999999999999E-2</v>
      </c>
      <c r="G15" s="32">
        <v>3.17</v>
      </c>
      <c r="H15" s="32">
        <f t="shared" si="0"/>
        <v>3.17</v>
      </c>
      <c r="I15" s="32">
        <v>1.1299999999999999</v>
      </c>
      <c r="J15" s="30">
        <v>2.65</v>
      </c>
      <c r="K15" s="31">
        <v>41.82640254045063</v>
      </c>
    </row>
    <row r="16" spans="2:11" ht="17.649999999999999">
      <c r="B16" s="30">
        <f t="shared" si="2"/>
        <v>682</v>
      </c>
      <c r="C16" s="31">
        <v>5.1539999999999999</v>
      </c>
      <c r="D16" s="33">
        <v>0.30499999999999999</v>
      </c>
      <c r="E16" s="34">
        <v>2.4400000000000002E-2</v>
      </c>
      <c r="F16" s="34">
        <v>2.53E-2</v>
      </c>
      <c r="G16" s="32">
        <v>3.17</v>
      </c>
      <c r="H16" s="32">
        <f t="shared" si="0"/>
        <v>3.17</v>
      </c>
      <c r="I16" s="32">
        <v>1.1299999999999999</v>
      </c>
      <c r="J16" s="30">
        <v>2.65</v>
      </c>
      <c r="K16" s="31">
        <v>42.874212251071341</v>
      </c>
    </row>
    <row r="17" spans="2:11" ht="17.649999999999999">
      <c r="B17" s="30">
        <f t="shared" si="2"/>
        <v>683</v>
      </c>
      <c r="C17" s="31">
        <v>10.279</v>
      </c>
      <c r="D17" s="33">
        <v>0.30499999999999999</v>
      </c>
      <c r="E17" s="34">
        <v>4.8800000000000003E-2</v>
      </c>
      <c r="F17" s="34">
        <v>8.5000000000000006E-3</v>
      </c>
      <c r="G17" s="32">
        <v>3.17</v>
      </c>
      <c r="H17" s="32">
        <f t="shared" si="0"/>
        <v>3.17</v>
      </c>
      <c r="I17" s="32">
        <v>1.1299999999999999</v>
      </c>
      <c r="J17" s="30">
        <v>2.65</v>
      </c>
      <c r="K17" s="31">
        <v>9.7743356188378954</v>
      </c>
    </row>
    <row r="18" spans="2:11" ht="17.649999999999999">
      <c r="B18" s="30">
        <f t="shared" si="2"/>
        <v>684</v>
      </c>
      <c r="C18" s="31">
        <v>10.279</v>
      </c>
      <c r="D18" s="33">
        <v>0.30499999999999999</v>
      </c>
      <c r="E18" s="34">
        <v>4.9099999999999998E-2</v>
      </c>
      <c r="F18" s="34">
        <v>9.1000000000000004E-3</v>
      </c>
      <c r="G18" s="32">
        <v>3.17</v>
      </c>
      <c r="H18" s="32">
        <f t="shared" si="0"/>
        <v>3.17</v>
      </c>
      <c r="I18" s="32">
        <v>1.1299999999999999</v>
      </c>
      <c r="J18" s="30">
        <v>2.65</v>
      </c>
      <c r="K18" s="31">
        <v>9.9803109015745282</v>
      </c>
    </row>
    <row r="19" spans="2:11" ht="17.649999999999999">
      <c r="B19" s="30">
        <f t="shared" si="2"/>
        <v>685</v>
      </c>
      <c r="C19" s="31">
        <v>10.279</v>
      </c>
      <c r="D19" s="33">
        <v>0.30499999999999999</v>
      </c>
      <c r="E19" s="34">
        <v>3.9E-2</v>
      </c>
      <c r="F19" s="34">
        <v>1.6500000000000001E-2</v>
      </c>
      <c r="G19" s="32">
        <v>3.17</v>
      </c>
      <c r="H19" s="32">
        <f t="shared" si="0"/>
        <v>3.17</v>
      </c>
      <c r="I19" s="32">
        <v>1.1299999999999999</v>
      </c>
      <c r="J19" s="30">
        <v>2.65</v>
      </c>
      <c r="K19" s="31">
        <v>49.162051364494992</v>
      </c>
    </row>
    <row r="20" spans="2:11" ht="17.649999999999999">
      <c r="B20" s="30">
        <f t="shared" si="2"/>
        <v>686</v>
      </c>
      <c r="C20" s="31">
        <v>10.279</v>
      </c>
      <c r="D20" s="33">
        <v>0.30499999999999999</v>
      </c>
      <c r="E20" s="34">
        <v>3.9600000000000003E-2</v>
      </c>
      <c r="F20" s="34">
        <v>1.7000000000000001E-2</v>
      </c>
      <c r="G20" s="32">
        <v>3.17</v>
      </c>
      <c r="H20" s="32">
        <f t="shared" si="0"/>
        <v>3.17</v>
      </c>
      <c r="I20" s="32">
        <v>1.1299999999999999</v>
      </c>
      <c r="J20" s="30">
        <v>2.65</v>
      </c>
      <c r="K20" s="31">
        <v>51.237980382698183</v>
      </c>
    </row>
    <row r="21" spans="2:11" ht="17.649999999999999">
      <c r="B21" s="30">
        <f t="shared" si="2"/>
        <v>687</v>
      </c>
      <c r="C21" s="31">
        <v>10.279</v>
      </c>
      <c r="D21" s="33">
        <v>0.30499999999999999</v>
      </c>
      <c r="E21" s="34">
        <v>4.2700000000000002E-2</v>
      </c>
      <c r="F21" s="34">
        <v>1.6800000000000002E-2</v>
      </c>
      <c r="G21" s="32">
        <v>3.17</v>
      </c>
      <c r="H21" s="32">
        <f t="shared" si="0"/>
        <v>3.17</v>
      </c>
      <c r="I21" s="32">
        <v>1.1299999999999999</v>
      </c>
      <c r="J21" s="30">
        <v>2.65</v>
      </c>
      <c r="K21" s="31">
        <v>53.730197024527541</v>
      </c>
    </row>
    <row r="22" spans="2:11" ht="17.649999999999999">
      <c r="B22" s="30">
        <v>694</v>
      </c>
      <c r="C22" s="31">
        <v>10.279</v>
      </c>
      <c r="D22" s="33">
        <v>0.40200000000000002</v>
      </c>
      <c r="E22" s="34">
        <v>3.5400000000000001E-2</v>
      </c>
      <c r="F22" s="34">
        <v>1.1599999999999999E-2</v>
      </c>
      <c r="G22" s="32">
        <v>3.17</v>
      </c>
      <c r="H22" s="32">
        <f t="shared" si="0"/>
        <v>3.17</v>
      </c>
      <c r="I22" s="32">
        <v>1.1299999999999999</v>
      </c>
      <c r="J22" s="30">
        <v>2.65</v>
      </c>
      <c r="K22" s="31">
        <v>21.012024530041284</v>
      </c>
    </row>
    <row r="23" spans="2:11" ht="17.649999999999999">
      <c r="B23" s="30">
        <f>+B22+1</f>
        <v>695</v>
      </c>
      <c r="C23" s="31">
        <v>10.279</v>
      </c>
      <c r="D23" s="33">
        <v>0.40200000000000002</v>
      </c>
      <c r="E23" s="34">
        <v>3.5999999999999997E-2</v>
      </c>
      <c r="F23" s="34">
        <v>1.21E-2</v>
      </c>
      <c r="G23" s="32">
        <v>3.17</v>
      </c>
      <c r="H23" s="32">
        <f t="shared" si="0"/>
        <v>3.17</v>
      </c>
      <c r="I23" s="32">
        <v>1.1299999999999999</v>
      </c>
      <c r="J23" s="30">
        <v>2.65</v>
      </c>
      <c r="K23" s="31">
        <v>21.012024530041284</v>
      </c>
    </row>
    <row r="24" spans="2:11" ht="17.649999999999999">
      <c r="B24" s="30">
        <v>701</v>
      </c>
      <c r="C24" s="31">
        <v>20.783999999999999</v>
      </c>
      <c r="D24" s="33">
        <v>0.40200000000000002</v>
      </c>
      <c r="E24" s="34">
        <v>5.3600000000000002E-2</v>
      </c>
      <c r="F24" s="34">
        <v>1.4800000000000001E-2</v>
      </c>
      <c r="G24" s="32">
        <v>3.17</v>
      </c>
      <c r="H24" s="32">
        <f t="shared" si="0"/>
        <v>3.17</v>
      </c>
      <c r="I24" s="32">
        <v>1.1299999999999999</v>
      </c>
      <c r="J24" s="30">
        <v>2.65</v>
      </c>
      <c r="K24" s="31">
        <v>104.44221105527637</v>
      </c>
    </row>
    <row r="25" spans="2:11" ht="17.649999999999999">
      <c r="B25" s="30">
        <f>+B24+1</f>
        <v>702</v>
      </c>
      <c r="C25" s="31">
        <v>20.783999999999999</v>
      </c>
      <c r="D25" s="33">
        <v>0.40200000000000002</v>
      </c>
      <c r="E25" s="34">
        <v>5.4899999999999997E-2</v>
      </c>
      <c r="F25" s="34">
        <v>1.5800000000000002E-2</v>
      </c>
      <c r="G25" s="32">
        <v>3.17</v>
      </c>
      <c r="H25" s="32">
        <f t="shared" si="0"/>
        <v>3.17</v>
      </c>
      <c r="I25" s="32">
        <v>1.1299999999999999</v>
      </c>
      <c r="J25" s="30">
        <v>2.65</v>
      </c>
      <c r="K25" s="31">
        <v>105.49193426805365</v>
      </c>
    </row>
    <row r="26" spans="2:11" ht="17.649999999999999">
      <c r="B26" s="30">
        <v>706</v>
      </c>
      <c r="C26" s="31">
        <v>10.279</v>
      </c>
      <c r="D26" s="33">
        <v>0.20100000000000001</v>
      </c>
      <c r="E26" s="34">
        <v>6.0400000000000002E-2</v>
      </c>
      <c r="F26" s="34">
        <v>1.11E-2</v>
      </c>
      <c r="G26" s="32">
        <v>4.9379999999999997</v>
      </c>
      <c r="H26" s="32">
        <f t="shared" si="0"/>
        <v>4.9379999999999997</v>
      </c>
      <c r="I26" s="32">
        <v>1.1299999999999999</v>
      </c>
      <c r="J26" s="30">
        <v>2.65</v>
      </c>
      <c r="K26" s="31">
        <v>10.495285190894709</v>
      </c>
    </row>
    <row r="27" spans="2:11" ht="17.649999999999999">
      <c r="B27" s="30">
        <f t="shared" ref="B27:B58" si="3">+B26+1</f>
        <v>707</v>
      </c>
      <c r="C27" s="31">
        <v>10.279</v>
      </c>
      <c r="D27" s="33">
        <v>0.20100000000000001</v>
      </c>
      <c r="E27" s="34">
        <v>5.67E-2</v>
      </c>
      <c r="F27" s="34">
        <v>1.44E-2</v>
      </c>
      <c r="G27" s="32">
        <v>4.9379999999999997</v>
      </c>
      <c r="H27" s="32">
        <f t="shared" si="0"/>
        <v>4.9379999999999997</v>
      </c>
      <c r="I27" s="32">
        <v>1.1299999999999999</v>
      </c>
      <c r="J27" s="30">
        <v>2.65</v>
      </c>
      <c r="K27" s="31">
        <v>24.728949478748991</v>
      </c>
    </row>
    <row r="28" spans="2:11" ht="17.649999999999999">
      <c r="B28" s="30">
        <f t="shared" si="3"/>
        <v>708</v>
      </c>
      <c r="C28" s="31">
        <v>10.279</v>
      </c>
      <c r="D28" s="33">
        <v>0.20100000000000001</v>
      </c>
      <c r="E28" s="34">
        <v>5.8500000000000003E-2</v>
      </c>
      <c r="F28" s="34">
        <v>1.4800000000000001E-2</v>
      </c>
      <c r="G28" s="32">
        <v>4.9379999999999997</v>
      </c>
      <c r="H28" s="32">
        <f t="shared" si="0"/>
        <v>4.9379999999999997</v>
      </c>
      <c r="I28" s="32">
        <v>1.1299999999999999</v>
      </c>
      <c r="J28" s="30">
        <v>2.65</v>
      </c>
      <c r="K28" s="31">
        <v>26.7950671746541</v>
      </c>
    </row>
    <row r="29" spans="2:11" ht="17.649999999999999">
      <c r="B29" s="30">
        <f t="shared" si="3"/>
        <v>709</v>
      </c>
      <c r="C29" s="31">
        <v>10.279</v>
      </c>
      <c r="D29" s="33">
        <v>0.20100000000000001</v>
      </c>
      <c r="E29" s="34">
        <v>5.33E-2</v>
      </c>
      <c r="F29" s="34">
        <v>1.8200000000000001E-2</v>
      </c>
      <c r="G29" s="32">
        <v>4.9379999999999997</v>
      </c>
      <c r="H29" s="32">
        <f t="shared" si="0"/>
        <v>4.9379999999999997</v>
      </c>
      <c r="I29" s="32">
        <v>1.1299999999999999</v>
      </c>
      <c r="J29" s="30">
        <v>2.65</v>
      </c>
      <c r="K29" s="31">
        <v>49.058276814870631</v>
      </c>
    </row>
    <row r="30" spans="2:11" ht="17.649999999999999">
      <c r="B30" s="30">
        <f t="shared" si="3"/>
        <v>710</v>
      </c>
      <c r="C30" s="31">
        <v>10.279</v>
      </c>
      <c r="D30" s="33">
        <v>0.20100000000000001</v>
      </c>
      <c r="E30" s="34">
        <v>5.33E-2</v>
      </c>
      <c r="F30" s="34">
        <v>1.9E-2</v>
      </c>
      <c r="G30" s="32">
        <v>4.9379999999999997</v>
      </c>
      <c r="H30" s="32">
        <f t="shared" si="0"/>
        <v>4.9379999999999997</v>
      </c>
      <c r="I30" s="32">
        <v>1.1299999999999999</v>
      </c>
      <c r="J30" s="30">
        <v>2.65</v>
      </c>
      <c r="K30" s="31">
        <v>50.199911570231322</v>
      </c>
    </row>
    <row r="31" spans="2:11" ht="17.649999999999999">
      <c r="B31" s="30">
        <f t="shared" si="3"/>
        <v>711</v>
      </c>
      <c r="C31" s="31">
        <v>10.279</v>
      </c>
      <c r="D31" s="33">
        <v>0.20100000000000001</v>
      </c>
      <c r="E31" s="34">
        <v>4.8800000000000003E-2</v>
      </c>
      <c r="F31" s="34">
        <v>2.5600000000000001E-2</v>
      </c>
      <c r="G31" s="32">
        <v>4.9379999999999997</v>
      </c>
      <c r="H31" s="32">
        <f t="shared" si="0"/>
        <v>4.9379999999999997</v>
      </c>
      <c r="I31" s="32">
        <v>1.1299999999999999</v>
      </c>
      <c r="J31" s="30">
        <v>2.65</v>
      </c>
      <c r="K31" s="31">
        <v>100.99737445343189</v>
      </c>
    </row>
    <row r="32" spans="2:11" ht="17.649999999999999">
      <c r="B32" s="30">
        <f t="shared" si="3"/>
        <v>712</v>
      </c>
      <c r="C32" s="31">
        <v>10.279</v>
      </c>
      <c r="D32" s="33">
        <v>0.20100000000000001</v>
      </c>
      <c r="E32" s="34">
        <v>4.82E-2</v>
      </c>
      <c r="F32" s="34">
        <v>2.7E-2</v>
      </c>
      <c r="G32" s="32">
        <v>4.9379999999999997</v>
      </c>
      <c r="H32" s="32">
        <f t="shared" si="0"/>
        <v>4.9379999999999997</v>
      </c>
      <c r="I32" s="32">
        <v>1.1299999999999999</v>
      </c>
      <c r="J32" s="30">
        <v>2.65</v>
      </c>
      <c r="K32" s="31">
        <v>103.82828282828284</v>
      </c>
    </row>
    <row r="33" spans="2:11" ht="17.649999999999999">
      <c r="B33" s="30">
        <f t="shared" si="3"/>
        <v>713</v>
      </c>
      <c r="C33" s="31">
        <v>20.783999999999999</v>
      </c>
      <c r="D33" s="33">
        <v>0.20100000000000001</v>
      </c>
      <c r="E33" s="34">
        <v>0.1137</v>
      </c>
      <c r="F33" s="34">
        <v>6.7999999999999996E-3</v>
      </c>
      <c r="G33" s="32">
        <v>4.9379999999999997</v>
      </c>
      <c r="H33" s="32">
        <f t="shared" si="0"/>
        <v>4.9379999999999997</v>
      </c>
      <c r="I33" s="32">
        <v>1.1299999999999999</v>
      </c>
      <c r="J33" s="30">
        <v>2.65</v>
      </c>
      <c r="K33" s="31">
        <v>9.2529975839248468</v>
      </c>
    </row>
    <row r="34" spans="2:11" ht="17.649999999999999">
      <c r="B34" s="30">
        <f t="shared" si="3"/>
        <v>714</v>
      </c>
      <c r="C34" s="31">
        <v>20.783999999999999</v>
      </c>
      <c r="D34" s="33">
        <v>0.20100000000000001</v>
      </c>
      <c r="E34" s="34">
        <v>0.1109</v>
      </c>
      <c r="F34" s="34">
        <v>7.0000000000000001E-3</v>
      </c>
      <c r="G34" s="32">
        <v>4.9379999999999997</v>
      </c>
      <c r="H34" s="32">
        <f t="shared" si="0"/>
        <v>4.9379999999999997</v>
      </c>
      <c r="I34" s="32">
        <v>1.1299999999999999</v>
      </c>
      <c r="J34" s="30">
        <v>2.65</v>
      </c>
      <c r="K34" s="31">
        <v>10.501223117674424</v>
      </c>
    </row>
    <row r="35" spans="2:11" ht="17.649999999999999">
      <c r="B35" s="30">
        <f t="shared" si="3"/>
        <v>715</v>
      </c>
      <c r="C35" s="31">
        <v>20.783999999999999</v>
      </c>
      <c r="D35" s="33">
        <v>0.20100000000000001</v>
      </c>
      <c r="E35" s="34">
        <v>0.1042</v>
      </c>
      <c r="F35" s="34">
        <v>9.4999999999999998E-3</v>
      </c>
      <c r="G35" s="32">
        <v>4.9379999999999997</v>
      </c>
      <c r="H35" s="32">
        <f t="shared" si="0"/>
        <v>4.9379999999999997</v>
      </c>
      <c r="I35" s="32">
        <v>1.1299999999999999</v>
      </c>
      <c r="J35" s="30">
        <v>2.65</v>
      </c>
      <c r="K35" s="31">
        <v>25.595802837490108</v>
      </c>
    </row>
    <row r="36" spans="2:11" ht="17.649999999999999">
      <c r="B36" s="30">
        <f t="shared" si="3"/>
        <v>716</v>
      </c>
      <c r="C36" s="31">
        <v>20.783999999999999</v>
      </c>
      <c r="D36" s="33">
        <v>0.20100000000000001</v>
      </c>
      <c r="E36" s="34">
        <v>9.8100000000000007E-2</v>
      </c>
      <c r="F36" s="34">
        <v>1.1900000000000001E-2</v>
      </c>
      <c r="G36" s="32">
        <v>4.9379999999999997</v>
      </c>
      <c r="H36" s="32">
        <f t="shared" si="0"/>
        <v>4.9379999999999997</v>
      </c>
      <c r="I36" s="32">
        <v>1.1299999999999999</v>
      </c>
      <c r="J36" s="30">
        <v>2.65</v>
      </c>
      <c r="K36" s="31">
        <v>48.957450007517664</v>
      </c>
    </row>
    <row r="37" spans="2:11" ht="17.649999999999999">
      <c r="B37" s="30">
        <f t="shared" si="3"/>
        <v>717</v>
      </c>
      <c r="C37" s="31">
        <v>20.783999999999999</v>
      </c>
      <c r="D37" s="33">
        <v>0.20100000000000001</v>
      </c>
      <c r="E37" s="34">
        <v>9.8799999999999999E-2</v>
      </c>
      <c r="F37" s="34">
        <v>1.1900000000000001E-2</v>
      </c>
      <c r="G37" s="32">
        <v>4.9379999999999997</v>
      </c>
      <c r="H37" s="32">
        <f t="shared" si="0"/>
        <v>4.9379999999999997</v>
      </c>
      <c r="I37" s="32">
        <v>1.1299999999999999</v>
      </c>
      <c r="J37" s="30">
        <v>2.65</v>
      </c>
      <c r="K37" s="31">
        <v>48.957450007517664</v>
      </c>
    </row>
    <row r="38" spans="2:11" ht="17.649999999999999">
      <c r="B38" s="30">
        <f t="shared" si="3"/>
        <v>718</v>
      </c>
      <c r="C38" s="31">
        <v>20.783999999999999</v>
      </c>
      <c r="D38" s="33">
        <v>0.20100000000000001</v>
      </c>
      <c r="E38" s="34">
        <v>8.8999999999999996E-2</v>
      </c>
      <c r="F38" s="34">
        <v>1.7100000000000001E-2</v>
      </c>
      <c r="G38" s="32">
        <v>4.9379999999999997</v>
      </c>
      <c r="H38" s="32">
        <f t="shared" ref="H38:H69" si="4">+I38^$G$2*G38</f>
        <v>4.9379999999999997</v>
      </c>
      <c r="I38" s="32">
        <v>1.1299999999999999</v>
      </c>
      <c r="J38" s="30">
        <v>2.65</v>
      </c>
      <c r="K38" s="31">
        <v>105.49193426805365</v>
      </c>
    </row>
    <row r="39" spans="2:11" ht="17.649999999999999">
      <c r="B39" s="30">
        <f t="shared" si="3"/>
        <v>719</v>
      </c>
      <c r="C39" s="31">
        <v>20.783999999999999</v>
      </c>
      <c r="D39" s="33">
        <v>0.20100000000000001</v>
      </c>
      <c r="E39" s="34">
        <v>7.9600000000000004E-2</v>
      </c>
      <c r="F39" s="34">
        <v>2.4300000000000002E-2</v>
      </c>
      <c r="G39" s="32">
        <v>4.9379999999999997</v>
      </c>
      <c r="H39" s="32">
        <f t="shared" si="4"/>
        <v>4.9379999999999997</v>
      </c>
      <c r="I39" s="32">
        <v>1.1299999999999999</v>
      </c>
      <c r="J39" s="30">
        <v>2.65</v>
      </c>
      <c r="K39" s="31">
        <v>207.8190081809918</v>
      </c>
    </row>
    <row r="40" spans="2:11" ht="17.649999999999999">
      <c r="B40" s="30">
        <f t="shared" si="3"/>
        <v>720</v>
      </c>
      <c r="C40" s="31">
        <v>20.783999999999999</v>
      </c>
      <c r="D40" s="33">
        <v>0.20100000000000001</v>
      </c>
      <c r="E40" s="34">
        <v>8.0500000000000002E-2</v>
      </c>
      <c r="F40" s="34">
        <v>2.35E-2</v>
      </c>
      <c r="G40" s="32">
        <v>4.9379999999999997</v>
      </c>
      <c r="H40" s="32">
        <f t="shared" si="4"/>
        <v>4.9379999999999997</v>
      </c>
      <c r="I40" s="32">
        <v>1.1299999999999999</v>
      </c>
      <c r="J40" s="30">
        <v>2.65</v>
      </c>
      <c r="K40" s="31">
        <v>216.30312215822974</v>
      </c>
    </row>
    <row r="41" spans="2:11" ht="17.649999999999999">
      <c r="B41" s="30">
        <f t="shared" si="3"/>
        <v>721</v>
      </c>
      <c r="C41" s="31">
        <v>31.686</v>
      </c>
      <c r="D41" s="33">
        <v>0.20100000000000001</v>
      </c>
      <c r="E41" s="34">
        <v>0.1701</v>
      </c>
      <c r="F41" s="34">
        <v>6.1999999999999998E-3</v>
      </c>
      <c r="G41" s="32">
        <v>4.9379999999999997</v>
      </c>
      <c r="H41" s="32">
        <f t="shared" si="4"/>
        <v>4.9379999999999997</v>
      </c>
      <c r="I41" s="32">
        <v>1.1299999999999999</v>
      </c>
      <c r="J41" s="30">
        <v>2.65</v>
      </c>
      <c r="K41" s="31">
        <v>10.967150634119404</v>
      </c>
    </row>
    <row r="42" spans="2:11" ht="17.649999999999999">
      <c r="B42" s="30">
        <f t="shared" si="3"/>
        <v>722</v>
      </c>
      <c r="C42" s="31">
        <v>31.686</v>
      </c>
      <c r="D42" s="33">
        <v>0.20100000000000001</v>
      </c>
      <c r="E42" s="34">
        <v>0.14019999999999999</v>
      </c>
      <c r="F42" s="34">
        <v>9.8000000000000014E-3</v>
      </c>
      <c r="G42" s="32">
        <v>4.9379999999999997</v>
      </c>
      <c r="H42" s="32">
        <f t="shared" si="4"/>
        <v>4.9379999999999997</v>
      </c>
      <c r="I42" s="32">
        <v>1.1299999999999999</v>
      </c>
      <c r="J42" s="30">
        <v>2.65</v>
      </c>
      <c r="K42" s="31">
        <v>50.143106107650091</v>
      </c>
    </row>
    <row r="43" spans="2:11" ht="17.649999999999999">
      <c r="B43" s="30">
        <f t="shared" si="3"/>
        <v>723</v>
      </c>
      <c r="C43" s="31">
        <v>31.686</v>
      </c>
      <c r="D43" s="33">
        <v>0.20100000000000001</v>
      </c>
      <c r="E43" s="34">
        <v>0.13750000000000001</v>
      </c>
      <c r="F43" s="34">
        <v>1.0199999999999999E-2</v>
      </c>
      <c r="G43" s="32">
        <v>4.9379999999999997</v>
      </c>
      <c r="H43" s="32">
        <f t="shared" si="4"/>
        <v>4.9379999999999997</v>
      </c>
      <c r="I43" s="32">
        <v>1.1299999999999999</v>
      </c>
      <c r="J43" s="30">
        <v>2.65</v>
      </c>
      <c r="K43" s="31">
        <v>52.050402660362998</v>
      </c>
    </row>
    <row r="44" spans="2:11" ht="17.649999999999999">
      <c r="B44" s="30">
        <f t="shared" si="3"/>
        <v>724</v>
      </c>
      <c r="C44" s="31">
        <v>31.686</v>
      </c>
      <c r="D44" s="33">
        <v>0.20100000000000001</v>
      </c>
      <c r="E44" s="34">
        <v>0.12620000000000001</v>
      </c>
      <c r="F44" s="34">
        <v>1.35E-2</v>
      </c>
      <c r="G44" s="32">
        <v>4.9379999999999997</v>
      </c>
      <c r="H44" s="32">
        <f t="shared" si="4"/>
        <v>4.9379999999999997</v>
      </c>
      <c r="I44" s="32">
        <v>1.1299999999999999</v>
      </c>
      <c r="J44" s="30">
        <v>2.65</v>
      </c>
      <c r="K44" s="31">
        <v>97.256765703051315</v>
      </c>
    </row>
    <row r="45" spans="2:11" ht="17.649999999999999">
      <c r="B45" s="30">
        <f t="shared" si="3"/>
        <v>725</v>
      </c>
      <c r="C45" s="31">
        <v>31.686</v>
      </c>
      <c r="D45" s="33">
        <v>0.20100000000000001</v>
      </c>
      <c r="E45" s="34">
        <v>0.12529999999999999</v>
      </c>
      <c r="F45" s="34">
        <v>1.32E-2</v>
      </c>
      <c r="G45" s="32">
        <v>4.9379999999999997</v>
      </c>
      <c r="H45" s="32">
        <f t="shared" si="4"/>
        <v>4.9379999999999997</v>
      </c>
      <c r="I45" s="32">
        <v>1.1299999999999999</v>
      </c>
      <c r="J45" s="30">
        <v>2.65</v>
      </c>
      <c r="K45" s="31">
        <v>107.14289154450498</v>
      </c>
    </row>
    <row r="46" spans="2:11" ht="17.649999999999999">
      <c r="B46" s="30">
        <f t="shared" si="3"/>
        <v>726</v>
      </c>
      <c r="C46" s="31">
        <v>31.686</v>
      </c>
      <c r="D46" s="33">
        <v>0.20100000000000001</v>
      </c>
      <c r="E46" s="34">
        <v>0.114</v>
      </c>
      <c r="F46" s="34">
        <v>1.9699999999999999E-2</v>
      </c>
      <c r="G46" s="32">
        <v>4.9379999999999997</v>
      </c>
      <c r="H46" s="32">
        <f t="shared" si="4"/>
        <v>4.9379999999999997</v>
      </c>
      <c r="I46" s="32">
        <v>1.1299999999999999</v>
      </c>
      <c r="J46" s="30">
        <v>2.65</v>
      </c>
      <c r="K46" s="31">
        <v>207.94854451020652</v>
      </c>
    </row>
    <row r="47" spans="2:11" ht="17.649999999999999">
      <c r="B47" s="30">
        <f t="shared" si="3"/>
        <v>727</v>
      </c>
      <c r="C47" s="31">
        <v>31.686</v>
      </c>
      <c r="D47" s="33">
        <v>0.20100000000000001</v>
      </c>
      <c r="E47" s="34">
        <v>0.1152</v>
      </c>
      <c r="F47" s="34">
        <v>1.95E-2</v>
      </c>
      <c r="G47" s="32">
        <v>4.9379999999999997</v>
      </c>
      <c r="H47" s="32">
        <f t="shared" si="4"/>
        <v>4.9379999999999997</v>
      </c>
      <c r="I47" s="32">
        <v>1.1299999999999999</v>
      </c>
      <c r="J47" s="30">
        <v>2.65</v>
      </c>
      <c r="K47" s="31">
        <v>210.51701228105497</v>
      </c>
    </row>
    <row r="48" spans="2:11" ht="17.649999999999999">
      <c r="B48" s="30">
        <f t="shared" si="3"/>
        <v>728</v>
      </c>
      <c r="C48" s="31">
        <v>31.686</v>
      </c>
      <c r="D48" s="33">
        <v>0.20100000000000001</v>
      </c>
      <c r="E48" s="34">
        <v>0.1079</v>
      </c>
      <c r="F48" s="34">
        <v>2.4E-2</v>
      </c>
      <c r="G48" s="32">
        <v>4.9379999999999997</v>
      </c>
      <c r="H48" s="32">
        <f t="shared" si="4"/>
        <v>4.9379999999999997</v>
      </c>
      <c r="I48" s="32">
        <v>1.1299999999999999</v>
      </c>
      <c r="J48" s="30">
        <v>2.65</v>
      </c>
      <c r="K48" s="31">
        <v>310.3647379581945</v>
      </c>
    </row>
    <row r="49" spans="2:11" ht="17.649999999999999">
      <c r="B49" s="30">
        <f t="shared" si="3"/>
        <v>729</v>
      </c>
      <c r="C49" s="31">
        <v>10.279</v>
      </c>
      <c r="D49" s="33">
        <v>0.30499999999999999</v>
      </c>
      <c r="E49" s="34">
        <v>4.36E-2</v>
      </c>
      <c r="F49" s="34">
        <v>1.2699999999999999E-2</v>
      </c>
      <c r="G49" s="32">
        <v>4.9379999999999997</v>
      </c>
      <c r="H49" s="32">
        <f t="shared" si="4"/>
        <v>4.9379999999999997</v>
      </c>
      <c r="I49" s="32">
        <v>1.1299999999999999</v>
      </c>
      <c r="J49" s="30">
        <v>2.65</v>
      </c>
      <c r="K49" s="31">
        <v>9.9803109015745282</v>
      </c>
    </row>
    <row r="50" spans="2:11" ht="17.649999999999999">
      <c r="B50" s="30">
        <f t="shared" si="3"/>
        <v>730</v>
      </c>
      <c r="C50" s="31">
        <v>10.279</v>
      </c>
      <c r="D50" s="33">
        <v>0.30499999999999999</v>
      </c>
      <c r="E50" s="34">
        <v>4.24E-2</v>
      </c>
      <c r="F50" s="34">
        <v>1.4800000000000001E-2</v>
      </c>
      <c r="G50" s="32">
        <v>4.9379999999999997</v>
      </c>
      <c r="H50" s="32">
        <f t="shared" si="4"/>
        <v>4.9379999999999997</v>
      </c>
      <c r="I50" s="32">
        <v>1.1299999999999999</v>
      </c>
      <c r="J50" s="30">
        <v>2.65</v>
      </c>
      <c r="K50" s="31">
        <v>20.599198396793586</v>
      </c>
    </row>
    <row r="51" spans="2:11" ht="17.649999999999999">
      <c r="B51" s="30">
        <f t="shared" si="3"/>
        <v>731</v>
      </c>
      <c r="C51" s="31">
        <v>10.279</v>
      </c>
      <c r="D51" s="33">
        <v>0.30499999999999999</v>
      </c>
      <c r="E51" s="34">
        <v>4.1500000000000002E-2</v>
      </c>
      <c r="F51" s="34">
        <v>1.61E-2</v>
      </c>
      <c r="G51" s="32">
        <v>4.9379999999999997</v>
      </c>
      <c r="H51" s="32">
        <f t="shared" si="4"/>
        <v>4.9379999999999997</v>
      </c>
      <c r="I51" s="32">
        <v>1.1299999999999999</v>
      </c>
      <c r="J51" s="30">
        <v>2.65</v>
      </c>
      <c r="K51" s="31">
        <v>25.038814318794671</v>
      </c>
    </row>
    <row r="52" spans="2:11" ht="17.649999999999999">
      <c r="B52" s="30">
        <f t="shared" si="3"/>
        <v>732</v>
      </c>
      <c r="C52" s="31">
        <v>10.279</v>
      </c>
      <c r="D52" s="33">
        <v>0.30499999999999999</v>
      </c>
      <c r="E52" s="34">
        <v>4.2999999999999997E-2</v>
      </c>
      <c r="F52" s="34">
        <v>1.6199999999999999E-2</v>
      </c>
      <c r="G52" s="32">
        <v>4.9379999999999997</v>
      </c>
      <c r="H52" s="32">
        <f t="shared" si="4"/>
        <v>4.9379999999999997</v>
      </c>
      <c r="I52" s="32">
        <v>1.1299999999999999</v>
      </c>
      <c r="J52" s="30">
        <v>2.65</v>
      </c>
      <c r="K52" s="31">
        <v>26.7950671746541</v>
      </c>
    </row>
    <row r="53" spans="2:11" ht="17.649999999999999">
      <c r="B53" s="30">
        <f t="shared" si="3"/>
        <v>733</v>
      </c>
      <c r="C53" s="31">
        <v>10.279</v>
      </c>
      <c r="D53" s="33">
        <v>0.30499999999999999</v>
      </c>
      <c r="E53" s="34">
        <v>4.02E-2</v>
      </c>
      <c r="F53" s="34">
        <v>1.7600000000000001E-2</v>
      </c>
      <c r="G53" s="32">
        <v>4.9379999999999997</v>
      </c>
      <c r="H53" s="32">
        <f t="shared" si="4"/>
        <v>4.9379999999999997</v>
      </c>
      <c r="I53" s="32">
        <v>1.1299999999999999</v>
      </c>
      <c r="J53" s="30">
        <v>2.65</v>
      </c>
      <c r="K53" s="31">
        <v>34.033008929467243</v>
      </c>
    </row>
    <row r="54" spans="2:11" ht="17.649999999999999">
      <c r="B54" s="30">
        <f t="shared" si="3"/>
        <v>734</v>
      </c>
      <c r="C54" s="31">
        <v>10.279</v>
      </c>
      <c r="D54" s="33">
        <v>0.30499999999999999</v>
      </c>
      <c r="E54" s="34">
        <v>3.9300000000000002E-2</v>
      </c>
      <c r="F54" s="34">
        <v>2.0899999999999998E-2</v>
      </c>
      <c r="G54" s="32">
        <v>4.9379999999999997</v>
      </c>
      <c r="H54" s="32">
        <f t="shared" si="4"/>
        <v>4.9379999999999997</v>
      </c>
      <c r="I54" s="32">
        <v>1.1299999999999999</v>
      </c>
      <c r="J54" s="30">
        <v>2.65</v>
      </c>
      <c r="K54" s="31">
        <v>50.718919896692753</v>
      </c>
    </row>
    <row r="55" spans="2:11" ht="17.649999999999999">
      <c r="B55" s="30">
        <f t="shared" si="3"/>
        <v>735</v>
      </c>
      <c r="C55" s="31">
        <v>10.279</v>
      </c>
      <c r="D55" s="33">
        <v>0.30499999999999999</v>
      </c>
      <c r="E55" s="34">
        <v>3.4700000000000002E-2</v>
      </c>
      <c r="F55" s="34">
        <v>2.7399999999999997E-2</v>
      </c>
      <c r="G55" s="32">
        <v>4.9379999999999997</v>
      </c>
      <c r="H55" s="32">
        <f t="shared" si="4"/>
        <v>4.9379999999999997</v>
      </c>
      <c r="I55" s="32">
        <v>1.1299999999999999</v>
      </c>
      <c r="J55" s="30">
        <v>2.65</v>
      </c>
      <c r="K55" s="31">
        <v>101.10219538303072</v>
      </c>
    </row>
    <row r="56" spans="2:11" ht="17.649999999999999">
      <c r="B56" s="30">
        <f t="shared" si="3"/>
        <v>736</v>
      </c>
      <c r="C56" s="31">
        <v>20.783999999999999</v>
      </c>
      <c r="D56" s="33">
        <v>0.30499999999999999</v>
      </c>
      <c r="E56" s="34">
        <v>8.2900000000000001E-2</v>
      </c>
      <c r="F56" s="34">
        <v>7.7999999999999996E-3</v>
      </c>
      <c r="G56" s="32">
        <v>4.9379999999999997</v>
      </c>
      <c r="H56" s="32">
        <f t="shared" si="4"/>
        <v>4.9379999999999997</v>
      </c>
      <c r="I56" s="32">
        <v>1.1299999999999999</v>
      </c>
      <c r="J56" s="30">
        <v>2.65</v>
      </c>
      <c r="K56" s="31">
        <v>10.709275276767533</v>
      </c>
    </row>
    <row r="57" spans="2:11" ht="17.649999999999999">
      <c r="B57" s="30">
        <f t="shared" si="3"/>
        <v>737</v>
      </c>
      <c r="C57" s="31">
        <v>20.783999999999999</v>
      </c>
      <c r="D57" s="33">
        <v>0.30499999999999999</v>
      </c>
      <c r="E57" s="34">
        <v>7.5600000000000001E-2</v>
      </c>
      <c r="F57" s="34">
        <v>8.6E-3</v>
      </c>
      <c r="G57" s="32">
        <v>4.9379999999999997</v>
      </c>
      <c r="H57" s="32">
        <f t="shared" si="4"/>
        <v>4.9379999999999997</v>
      </c>
      <c r="I57" s="32">
        <v>1.1299999999999999</v>
      </c>
      <c r="J57" s="30">
        <v>2.65</v>
      </c>
      <c r="K57" s="31">
        <v>19.971812940422801</v>
      </c>
    </row>
    <row r="58" spans="2:11" ht="17.649999999999999">
      <c r="B58" s="30">
        <f t="shared" si="3"/>
        <v>738</v>
      </c>
      <c r="C58" s="31">
        <v>20.783999999999999</v>
      </c>
      <c r="D58" s="33">
        <v>0.30499999999999999</v>
      </c>
      <c r="E58" s="34">
        <v>7.5600000000000001E-2</v>
      </c>
      <c r="F58" s="34">
        <v>9.4999999999999998E-3</v>
      </c>
      <c r="G58" s="32">
        <v>4.9379999999999997</v>
      </c>
      <c r="H58" s="32">
        <f t="shared" si="4"/>
        <v>4.9379999999999997</v>
      </c>
      <c r="I58" s="32">
        <v>1.1299999999999999</v>
      </c>
      <c r="J58" s="30">
        <v>2.65</v>
      </c>
      <c r="K58" s="31">
        <v>24.970764917901477</v>
      </c>
    </row>
    <row r="59" spans="2:11" ht="17.649999999999999">
      <c r="B59" s="30">
        <f t="shared" ref="B59:B90" si="5">+B58+1</f>
        <v>739</v>
      </c>
      <c r="C59" s="31">
        <v>20.783999999999999</v>
      </c>
      <c r="D59" s="33">
        <v>0.30499999999999999</v>
      </c>
      <c r="E59" s="34">
        <v>7.6499999999999999E-2</v>
      </c>
      <c r="F59" s="34">
        <v>9.6999999999999986E-3</v>
      </c>
      <c r="G59" s="32">
        <v>4.9379999999999997</v>
      </c>
      <c r="H59" s="32">
        <f t="shared" si="4"/>
        <v>4.9379999999999997</v>
      </c>
      <c r="I59" s="32">
        <v>1.1299999999999999</v>
      </c>
      <c r="J59" s="30">
        <v>2.65</v>
      </c>
      <c r="K59" s="31">
        <v>26.012515644555695</v>
      </c>
    </row>
    <row r="60" spans="2:11" ht="17.649999999999999">
      <c r="B60" s="30">
        <f t="shared" si="5"/>
        <v>740</v>
      </c>
      <c r="C60" s="31">
        <v>20.783999999999999</v>
      </c>
      <c r="D60" s="33">
        <v>0.30499999999999999</v>
      </c>
      <c r="E60" s="34">
        <v>7.1599999999999997E-2</v>
      </c>
      <c r="F60" s="34">
        <v>1.2699999999999999E-2</v>
      </c>
      <c r="G60" s="32">
        <v>4.9379999999999997</v>
      </c>
      <c r="H60" s="32">
        <f t="shared" si="4"/>
        <v>4.9379999999999997</v>
      </c>
      <c r="I60" s="32">
        <v>1.1299999999999999</v>
      </c>
      <c r="J60" s="30">
        <v>2.65</v>
      </c>
      <c r="K60" s="31">
        <v>50.001603849238158</v>
      </c>
    </row>
    <row r="61" spans="2:11" ht="17.649999999999999">
      <c r="B61" s="30">
        <f t="shared" si="5"/>
        <v>741</v>
      </c>
      <c r="C61" s="31">
        <v>20.783999999999999</v>
      </c>
      <c r="D61" s="33">
        <v>0.30499999999999999</v>
      </c>
      <c r="E61" s="34">
        <v>6.5199999999999994E-2</v>
      </c>
      <c r="F61" s="34">
        <v>1.6899999999999998E-2</v>
      </c>
      <c r="G61" s="32">
        <v>4.9379999999999997</v>
      </c>
      <c r="H61" s="32">
        <f t="shared" si="4"/>
        <v>4.9379999999999997</v>
      </c>
      <c r="I61" s="32">
        <v>1.1299999999999999</v>
      </c>
      <c r="J61" s="30">
        <v>2.65</v>
      </c>
      <c r="K61" s="31">
        <v>100.24437299035368</v>
      </c>
    </row>
    <row r="62" spans="2:11" ht="17.649999999999999">
      <c r="B62" s="30">
        <f t="shared" si="5"/>
        <v>742</v>
      </c>
      <c r="C62" s="31">
        <v>20.783999999999999</v>
      </c>
      <c r="D62" s="33">
        <v>0.30499999999999999</v>
      </c>
      <c r="E62" s="34">
        <v>5.79E-2</v>
      </c>
      <c r="F62" s="34">
        <v>2.3E-2</v>
      </c>
      <c r="G62" s="32">
        <v>4.9379999999999997</v>
      </c>
      <c r="H62" s="32">
        <f t="shared" si="4"/>
        <v>4.9379999999999997</v>
      </c>
      <c r="I62" s="32">
        <v>1.1299999999999999</v>
      </c>
      <c r="J62" s="30">
        <v>2.65</v>
      </c>
      <c r="K62" s="31">
        <v>196.7999030909935</v>
      </c>
    </row>
    <row r="63" spans="2:11" ht="17.649999999999999">
      <c r="B63" s="30">
        <f t="shared" si="5"/>
        <v>743</v>
      </c>
      <c r="C63" s="31">
        <v>20.783999999999999</v>
      </c>
      <c r="D63" s="33">
        <v>0.30499999999999999</v>
      </c>
      <c r="E63" s="34">
        <v>5.8200000000000002E-2</v>
      </c>
      <c r="F63" s="34">
        <v>2.3699999999999999E-2</v>
      </c>
      <c r="G63" s="32">
        <v>4.9379999999999997</v>
      </c>
      <c r="H63" s="32">
        <f t="shared" si="4"/>
        <v>4.9379999999999997</v>
      </c>
      <c r="I63" s="32">
        <v>1.1299999999999999</v>
      </c>
      <c r="J63" s="30">
        <v>2.65</v>
      </c>
      <c r="K63" s="31">
        <v>208.45507893381276</v>
      </c>
    </row>
    <row r="64" spans="2:11" ht="17.649999999999999">
      <c r="B64" s="30">
        <f t="shared" si="5"/>
        <v>744</v>
      </c>
      <c r="C64" s="31">
        <v>10.279</v>
      </c>
      <c r="D64" s="33">
        <v>0.40200000000000002</v>
      </c>
      <c r="E64" s="34">
        <v>3.5099999999999999E-2</v>
      </c>
      <c r="F64" s="34">
        <v>1.9E-2</v>
      </c>
      <c r="G64" s="32">
        <v>4.9379999999999997</v>
      </c>
      <c r="H64" s="32">
        <f t="shared" si="4"/>
        <v>4.9379999999999997</v>
      </c>
      <c r="I64" s="32">
        <v>1.1299999999999999</v>
      </c>
      <c r="J64" s="30">
        <v>2.65</v>
      </c>
      <c r="K64" s="31">
        <v>24.522383272187806</v>
      </c>
    </row>
    <row r="65" spans="2:11" ht="17.649999999999999">
      <c r="B65" s="30">
        <f t="shared" si="5"/>
        <v>745</v>
      </c>
      <c r="C65" s="31">
        <v>10.279</v>
      </c>
      <c r="D65" s="33">
        <v>0.40200000000000002</v>
      </c>
      <c r="E65" s="34">
        <v>3.1699999999999999E-2</v>
      </c>
      <c r="F65" s="34">
        <v>1.9699999999999999E-2</v>
      </c>
      <c r="G65" s="32">
        <v>4.9379999999999997</v>
      </c>
      <c r="H65" s="32">
        <f t="shared" si="4"/>
        <v>4.9379999999999997</v>
      </c>
      <c r="I65" s="32">
        <v>1.1299999999999999</v>
      </c>
      <c r="J65" s="30">
        <v>2.65</v>
      </c>
      <c r="K65" s="31">
        <v>25.555297136899515</v>
      </c>
    </row>
    <row r="66" spans="2:11" ht="17.649999999999999">
      <c r="B66" s="30">
        <f t="shared" si="5"/>
        <v>746</v>
      </c>
      <c r="C66" s="31">
        <v>10.279</v>
      </c>
      <c r="D66" s="33">
        <v>0.40200000000000002</v>
      </c>
      <c r="E66" s="34">
        <v>3.2899999999999999E-2</v>
      </c>
      <c r="F66" s="34">
        <v>2.2499999999999999E-2</v>
      </c>
      <c r="G66" s="32">
        <v>4.9379999999999997</v>
      </c>
      <c r="H66" s="32">
        <f t="shared" si="4"/>
        <v>4.9379999999999997</v>
      </c>
      <c r="I66" s="32">
        <v>1.1299999999999999</v>
      </c>
      <c r="J66" s="30">
        <v>2.65</v>
      </c>
      <c r="K66" s="31">
        <v>50.615114058888558</v>
      </c>
    </row>
    <row r="67" spans="2:11" ht="17.649999999999999">
      <c r="B67" s="30">
        <f t="shared" si="5"/>
        <v>747</v>
      </c>
      <c r="C67" s="31">
        <v>10.279</v>
      </c>
      <c r="D67" s="33">
        <v>0.40200000000000002</v>
      </c>
      <c r="E67" s="34">
        <v>3.2000000000000001E-2</v>
      </c>
      <c r="F67" s="34">
        <v>2.3399999999999997E-2</v>
      </c>
      <c r="G67" s="32">
        <v>4.9379999999999997</v>
      </c>
      <c r="H67" s="32">
        <f t="shared" si="4"/>
        <v>4.9379999999999997</v>
      </c>
      <c r="I67" s="32">
        <v>1.1299999999999999</v>
      </c>
      <c r="J67" s="30">
        <v>2.65</v>
      </c>
      <c r="K67" s="31">
        <v>49.577170418006425</v>
      </c>
    </row>
    <row r="68" spans="2:11" ht="17.649999999999999">
      <c r="B68" s="30">
        <f t="shared" si="5"/>
        <v>748</v>
      </c>
      <c r="C68" s="31">
        <v>10.279</v>
      </c>
      <c r="D68" s="33">
        <v>0.40200000000000002</v>
      </c>
      <c r="E68" s="34">
        <v>2.8299999999999999E-2</v>
      </c>
      <c r="F68" s="34">
        <v>3.0199999999999998E-2</v>
      </c>
      <c r="G68" s="32">
        <v>4.9379999999999997</v>
      </c>
      <c r="H68" s="32">
        <f t="shared" si="4"/>
        <v>4.9379999999999997</v>
      </c>
      <c r="I68" s="32">
        <v>1.1299999999999999</v>
      </c>
      <c r="J68" s="30">
        <v>2.65</v>
      </c>
      <c r="K68" s="31">
        <v>97.539471027659999</v>
      </c>
    </row>
    <row r="69" spans="2:11" ht="17.649999999999999">
      <c r="B69" s="30">
        <f t="shared" si="5"/>
        <v>749</v>
      </c>
      <c r="C69" s="31">
        <v>10.279</v>
      </c>
      <c r="D69" s="33">
        <v>0.40200000000000002</v>
      </c>
      <c r="E69" s="34">
        <v>2.9600000000000001E-2</v>
      </c>
      <c r="F69" s="34">
        <v>3.1E-2</v>
      </c>
      <c r="G69" s="32">
        <v>4.9379999999999997</v>
      </c>
      <c r="H69" s="32">
        <f t="shared" si="4"/>
        <v>4.9379999999999997</v>
      </c>
      <c r="I69" s="32">
        <v>1.1299999999999999</v>
      </c>
      <c r="J69" s="30">
        <v>2.65</v>
      </c>
      <c r="K69" s="31">
        <v>111.17487112099464</v>
      </c>
    </row>
    <row r="70" spans="2:11" ht="17.649999999999999">
      <c r="B70" s="30">
        <f t="shared" si="5"/>
        <v>750</v>
      </c>
      <c r="C70" s="31">
        <v>31.686</v>
      </c>
      <c r="D70" s="33">
        <v>0.30499999999999999</v>
      </c>
      <c r="E70" s="34">
        <v>0.1186</v>
      </c>
      <c r="F70" s="34">
        <v>6.4000000000000003E-3</v>
      </c>
      <c r="G70" s="32">
        <v>4.9379999999999997</v>
      </c>
      <c r="H70" s="32">
        <f t="shared" ref="H70:H101" si="6">+I70^$G$2*G70</f>
        <v>4.9379999999999997</v>
      </c>
      <c r="I70" s="32">
        <v>1.1299999999999999</v>
      </c>
      <c r="J70" s="30">
        <v>2.65</v>
      </c>
      <c r="K70" s="31">
        <v>9.98423503403572</v>
      </c>
    </row>
    <row r="71" spans="2:11" ht="17.649999999999999">
      <c r="B71" s="30">
        <f t="shared" si="5"/>
        <v>751</v>
      </c>
      <c r="C71" s="31">
        <v>31.686</v>
      </c>
      <c r="D71" s="33">
        <v>0.30499999999999999</v>
      </c>
      <c r="E71" s="34">
        <v>0.10879999999999999</v>
      </c>
      <c r="F71" s="34">
        <v>6.6E-3</v>
      </c>
      <c r="G71" s="32">
        <v>4.9379999999999997</v>
      </c>
      <c r="H71" s="32">
        <f t="shared" si="6"/>
        <v>4.9379999999999997</v>
      </c>
      <c r="I71" s="32">
        <v>1.1299999999999999</v>
      </c>
      <c r="J71" s="30">
        <v>2.65</v>
      </c>
      <c r="K71" s="31">
        <v>24.417021106251813</v>
      </c>
    </row>
    <row r="72" spans="2:11" ht="17.649999999999999">
      <c r="B72" s="30">
        <f t="shared" si="5"/>
        <v>752</v>
      </c>
      <c r="C72" s="31">
        <v>31.686</v>
      </c>
      <c r="D72" s="33">
        <v>0.30499999999999999</v>
      </c>
      <c r="E72" s="34">
        <v>0.1094</v>
      </c>
      <c r="F72" s="34">
        <v>6.7000000000000002E-3</v>
      </c>
      <c r="G72" s="32">
        <v>4.9379999999999997</v>
      </c>
      <c r="H72" s="32">
        <f t="shared" si="6"/>
        <v>4.9379999999999997</v>
      </c>
      <c r="I72" s="32">
        <v>1.1299999999999999</v>
      </c>
      <c r="J72" s="30">
        <v>2.65</v>
      </c>
      <c r="K72" s="31">
        <v>25.051730867385235</v>
      </c>
    </row>
    <row r="73" spans="2:11" ht="17.649999999999999">
      <c r="B73" s="30">
        <f t="shared" si="5"/>
        <v>753</v>
      </c>
      <c r="C73" s="31">
        <v>31.686</v>
      </c>
      <c r="D73" s="33">
        <v>0.30499999999999999</v>
      </c>
      <c r="E73" s="34">
        <v>9.8799999999999999E-2</v>
      </c>
      <c r="F73" s="34">
        <v>9.6999999999999986E-3</v>
      </c>
      <c r="G73" s="32">
        <v>4.9379999999999997</v>
      </c>
      <c r="H73" s="32">
        <f t="shared" si="6"/>
        <v>4.9379999999999997</v>
      </c>
      <c r="I73" s="32">
        <v>1.1299999999999999</v>
      </c>
      <c r="J73" s="30">
        <v>2.65</v>
      </c>
      <c r="K73" s="31">
        <v>51.096725728422754</v>
      </c>
    </row>
    <row r="74" spans="2:11" ht="17.649999999999999">
      <c r="B74" s="30">
        <f t="shared" si="5"/>
        <v>754</v>
      </c>
      <c r="C74" s="31">
        <v>31.686</v>
      </c>
      <c r="D74" s="33">
        <v>0.30499999999999999</v>
      </c>
      <c r="E74" s="34">
        <v>9.9400000000000002E-2</v>
      </c>
      <c r="F74" s="34">
        <v>8.9999999999999993E-3</v>
      </c>
      <c r="G74" s="32">
        <v>4.9379999999999997</v>
      </c>
      <c r="H74" s="32">
        <f t="shared" si="6"/>
        <v>4.9379999999999997</v>
      </c>
      <c r="I74" s="32">
        <v>1.1299999999999999</v>
      </c>
      <c r="J74" s="30">
        <v>2.65</v>
      </c>
      <c r="K74" s="31">
        <v>52.050402660362998</v>
      </c>
    </row>
    <row r="75" spans="2:11" ht="17.649999999999999">
      <c r="B75" s="30">
        <f t="shared" si="5"/>
        <v>755</v>
      </c>
      <c r="C75" s="31">
        <v>31.686</v>
      </c>
      <c r="D75" s="33">
        <v>0.30499999999999999</v>
      </c>
      <c r="E75" s="34">
        <v>9.3899999999999997E-2</v>
      </c>
      <c r="F75" s="34">
        <v>1.2199999999999999E-2</v>
      </c>
      <c r="G75" s="32">
        <v>4.9379999999999997</v>
      </c>
      <c r="H75" s="32">
        <f t="shared" si="6"/>
        <v>4.9379999999999997</v>
      </c>
      <c r="I75" s="32">
        <v>1.1299999999999999</v>
      </c>
      <c r="J75" s="30">
        <v>2.65</v>
      </c>
      <c r="K75" s="31">
        <v>101.0829236973576</v>
      </c>
    </row>
    <row r="76" spans="2:11" ht="17.649999999999999">
      <c r="B76" s="30">
        <f t="shared" si="5"/>
        <v>756</v>
      </c>
      <c r="C76" s="31">
        <v>31.686</v>
      </c>
      <c r="D76" s="33">
        <v>0.30499999999999999</v>
      </c>
      <c r="E76" s="34">
        <v>9.3600000000000003E-2</v>
      </c>
      <c r="F76" s="34">
        <v>1.3099999999999999E-2</v>
      </c>
      <c r="G76" s="32">
        <v>4.9379999999999997</v>
      </c>
      <c r="H76" s="32">
        <f t="shared" si="6"/>
        <v>4.9379999999999997</v>
      </c>
      <c r="I76" s="32">
        <v>1.1299999999999999</v>
      </c>
      <c r="J76" s="30">
        <v>2.65</v>
      </c>
      <c r="K76" s="31">
        <v>102.35851441642089</v>
      </c>
    </row>
    <row r="77" spans="2:11" ht="17.649999999999999">
      <c r="B77" s="30">
        <f t="shared" si="5"/>
        <v>757</v>
      </c>
      <c r="C77" s="31">
        <v>31.686</v>
      </c>
      <c r="D77" s="33">
        <v>0.30499999999999999</v>
      </c>
      <c r="E77" s="34">
        <v>8.3799999999999999E-2</v>
      </c>
      <c r="F77" s="34">
        <v>1.78E-2</v>
      </c>
      <c r="G77" s="32">
        <v>4.9379999999999997</v>
      </c>
      <c r="H77" s="32">
        <f t="shared" si="6"/>
        <v>4.9379999999999997</v>
      </c>
      <c r="I77" s="32">
        <v>1.1299999999999999</v>
      </c>
      <c r="J77" s="30">
        <v>2.65</v>
      </c>
      <c r="K77" s="31">
        <v>210.51701228105497</v>
      </c>
    </row>
    <row r="78" spans="2:11" ht="17.649999999999999">
      <c r="B78" s="30">
        <f t="shared" si="5"/>
        <v>758</v>
      </c>
      <c r="C78" s="31">
        <v>31.686</v>
      </c>
      <c r="D78" s="33">
        <v>0.30499999999999999</v>
      </c>
      <c r="E78" s="34">
        <v>7.6799999999999993E-2</v>
      </c>
      <c r="F78" s="34">
        <v>2.0399999999999998E-2</v>
      </c>
      <c r="G78" s="32">
        <v>4.9379999999999997</v>
      </c>
      <c r="H78" s="32">
        <f t="shared" si="6"/>
        <v>4.9379999999999997</v>
      </c>
      <c r="I78" s="32">
        <v>1.1299999999999999</v>
      </c>
      <c r="J78" s="30">
        <v>2.65</v>
      </c>
      <c r="K78" s="31">
        <v>303.90408884401813</v>
      </c>
    </row>
    <row r="79" spans="2:11" ht="17.649999999999999">
      <c r="B79" s="30">
        <f t="shared" si="5"/>
        <v>759</v>
      </c>
      <c r="C79" s="31">
        <v>31.686</v>
      </c>
      <c r="D79" s="33">
        <v>0.30499999999999999</v>
      </c>
      <c r="E79" s="34">
        <v>7.7100000000000002E-2</v>
      </c>
      <c r="F79" s="34">
        <v>2.2100000000000002E-2</v>
      </c>
      <c r="G79" s="32">
        <v>4.9379999999999997</v>
      </c>
      <c r="H79" s="32">
        <f t="shared" si="6"/>
        <v>4.9379999999999997</v>
      </c>
      <c r="I79" s="32">
        <v>1.1299999999999999</v>
      </c>
      <c r="J79" s="30">
        <v>2.65</v>
      </c>
      <c r="K79" s="31">
        <v>310.3647379581945</v>
      </c>
    </row>
    <row r="80" spans="2:11" ht="17.649999999999999">
      <c r="B80" s="30">
        <f t="shared" si="5"/>
        <v>760</v>
      </c>
      <c r="C80" s="31">
        <v>20.783999999999999</v>
      </c>
      <c r="D80" s="33">
        <v>0.40200000000000002</v>
      </c>
      <c r="E80" s="34">
        <v>6.4000000000000001E-2</v>
      </c>
      <c r="F80" s="34">
        <v>8.199999999999999E-3</v>
      </c>
      <c r="G80" s="32">
        <v>4.9379999999999997</v>
      </c>
      <c r="H80" s="32">
        <f t="shared" si="6"/>
        <v>4.9379999999999997</v>
      </c>
      <c r="I80" s="32">
        <v>1.1299999999999999</v>
      </c>
      <c r="J80" s="30">
        <v>2.65</v>
      </c>
      <c r="K80" s="31">
        <v>9.5650399183624462</v>
      </c>
    </row>
    <row r="81" spans="2:11" ht="17.649999999999999">
      <c r="B81" s="30">
        <f t="shared" si="5"/>
        <v>761</v>
      </c>
      <c r="C81" s="31">
        <v>20.783999999999999</v>
      </c>
      <c r="D81" s="33">
        <v>0.40200000000000002</v>
      </c>
      <c r="E81" s="34">
        <v>6.4000000000000001E-2</v>
      </c>
      <c r="F81" s="34">
        <v>8.199999999999999E-3</v>
      </c>
      <c r="G81" s="32">
        <v>4.9379999999999997</v>
      </c>
      <c r="H81" s="32">
        <f t="shared" si="6"/>
        <v>4.9379999999999997</v>
      </c>
      <c r="I81" s="32">
        <v>1.1299999999999999</v>
      </c>
      <c r="J81" s="30">
        <v>2.65</v>
      </c>
      <c r="K81" s="31">
        <v>11.021361321500395</v>
      </c>
    </row>
    <row r="82" spans="2:11" ht="17.649999999999999">
      <c r="B82" s="30">
        <f t="shared" si="5"/>
        <v>762</v>
      </c>
      <c r="C82" s="31">
        <v>20.783999999999999</v>
      </c>
      <c r="D82" s="33">
        <v>0.40200000000000002</v>
      </c>
      <c r="E82" s="34">
        <v>5.91E-2</v>
      </c>
      <c r="F82" s="34">
        <v>1.0800000000000001E-2</v>
      </c>
      <c r="G82" s="32">
        <v>4.9379999999999997</v>
      </c>
      <c r="H82" s="32">
        <f t="shared" si="6"/>
        <v>4.9379999999999997</v>
      </c>
      <c r="I82" s="32">
        <v>1.1299999999999999</v>
      </c>
      <c r="J82" s="30">
        <v>2.65</v>
      </c>
      <c r="K82" s="31">
        <v>24.554093830720241</v>
      </c>
    </row>
    <row r="83" spans="2:11" ht="17.649999999999999">
      <c r="B83" s="30">
        <f t="shared" si="5"/>
        <v>763</v>
      </c>
      <c r="C83" s="31">
        <v>20.783999999999999</v>
      </c>
      <c r="D83" s="33">
        <v>0.40200000000000002</v>
      </c>
      <c r="E83" s="34">
        <v>6.0999999999999999E-2</v>
      </c>
      <c r="F83" s="34">
        <v>1.14E-2</v>
      </c>
      <c r="G83" s="32">
        <v>4.9379999999999997</v>
      </c>
      <c r="H83" s="32">
        <f t="shared" si="6"/>
        <v>4.9379999999999997</v>
      </c>
      <c r="I83" s="32">
        <v>1.1299999999999999</v>
      </c>
      <c r="J83" s="30">
        <v>2.65</v>
      </c>
      <c r="K83" s="31">
        <v>26.012515644555695</v>
      </c>
    </row>
    <row r="84" spans="2:11" ht="17.649999999999999">
      <c r="B84" s="30">
        <f t="shared" si="5"/>
        <v>764</v>
      </c>
      <c r="C84" s="31">
        <v>20.783999999999999</v>
      </c>
      <c r="D84" s="33">
        <v>0.40200000000000002</v>
      </c>
      <c r="E84" s="34">
        <v>5.8799999999999998E-2</v>
      </c>
      <c r="F84" s="34">
        <v>1.41E-2</v>
      </c>
      <c r="G84" s="32">
        <v>4.9379999999999997</v>
      </c>
      <c r="H84" s="32">
        <f t="shared" si="6"/>
        <v>4.9379999999999997</v>
      </c>
      <c r="I84" s="32">
        <v>1.1299999999999999</v>
      </c>
      <c r="J84" s="30">
        <v>2.65</v>
      </c>
      <c r="K84" s="31">
        <v>51.045862362788831</v>
      </c>
    </row>
    <row r="85" spans="2:11" ht="17.649999999999999">
      <c r="B85" s="30">
        <f t="shared" si="5"/>
        <v>765</v>
      </c>
      <c r="C85" s="31">
        <v>20.783999999999999</v>
      </c>
      <c r="D85" s="33">
        <v>0.40200000000000002</v>
      </c>
      <c r="E85" s="34">
        <v>5.21E-2</v>
      </c>
      <c r="F85" s="34">
        <v>1.8200000000000001E-2</v>
      </c>
      <c r="G85" s="32">
        <v>4.9379999999999997</v>
      </c>
      <c r="H85" s="32">
        <f t="shared" si="6"/>
        <v>4.9379999999999997</v>
      </c>
      <c r="I85" s="32">
        <v>1.1299999999999999</v>
      </c>
      <c r="J85" s="30">
        <v>2.65</v>
      </c>
      <c r="K85" s="31">
        <v>102.34308109737715</v>
      </c>
    </row>
    <row r="86" spans="2:11" ht="17.649999999999999">
      <c r="B86" s="30">
        <f t="shared" si="5"/>
        <v>766</v>
      </c>
      <c r="C86" s="31">
        <v>20.783999999999999</v>
      </c>
      <c r="D86" s="33">
        <v>0.40200000000000002</v>
      </c>
      <c r="E86" s="34">
        <v>4.9700000000000001E-2</v>
      </c>
      <c r="F86" s="34">
        <v>2.4399999999999998E-2</v>
      </c>
      <c r="G86" s="32">
        <v>4.9379999999999997</v>
      </c>
      <c r="H86" s="32">
        <f t="shared" si="6"/>
        <v>4.9379999999999997</v>
      </c>
      <c r="I86" s="32">
        <v>1.1299999999999999</v>
      </c>
      <c r="J86" s="30">
        <v>2.65</v>
      </c>
      <c r="K86" s="31">
        <v>203.36759196615202</v>
      </c>
    </row>
    <row r="87" spans="2:11" ht="17.649999999999999">
      <c r="B87" s="30">
        <f t="shared" si="5"/>
        <v>767</v>
      </c>
      <c r="C87" s="31">
        <v>31.686</v>
      </c>
      <c r="D87" s="33">
        <v>0.40200000000000002</v>
      </c>
      <c r="E87" s="34">
        <v>9.0499999999999997E-2</v>
      </c>
      <c r="F87" s="34">
        <v>7.0999999999999995E-3</v>
      </c>
      <c r="G87" s="32">
        <v>4.9379999999999997</v>
      </c>
      <c r="H87" s="32">
        <f t="shared" si="6"/>
        <v>4.9379999999999997</v>
      </c>
      <c r="I87" s="32">
        <v>1.1299999999999999</v>
      </c>
      <c r="J87" s="30">
        <v>2.65</v>
      </c>
      <c r="K87" s="31">
        <v>12.04525719773514</v>
      </c>
    </row>
    <row r="88" spans="2:11" ht="17.649999999999999">
      <c r="B88" s="30">
        <f t="shared" si="5"/>
        <v>768</v>
      </c>
      <c r="C88" s="31">
        <v>31.686</v>
      </c>
      <c r="D88" s="33">
        <v>0.40200000000000002</v>
      </c>
      <c r="E88" s="34">
        <v>8.2299999999999998E-2</v>
      </c>
      <c r="F88" s="34">
        <v>8.9999999999999993E-3</v>
      </c>
      <c r="G88" s="32">
        <v>4.9379999999999997</v>
      </c>
      <c r="H88" s="32">
        <f t="shared" si="6"/>
        <v>4.9379999999999997</v>
      </c>
      <c r="I88" s="32">
        <v>1.1299999999999999</v>
      </c>
      <c r="J88" s="30">
        <v>2.65</v>
      </c>
      <c r="K88" s="31">
        <v>48.553867417148233</v>
      </c>
    </row>
    <row r="89" spans="2:11" ht="17.649999999999999">
      <c r="B89" s="30">
        <f t="shared" si="5"/>
        <v>769</v>
      </c>
      <c r="C89" s="31">
        <v>31.686</v>
      </c>
      <c r="D89" s="33">
        <v>0.40200000000000002</v>
      </c>
      <c r="E89" s="34">
        <v>7.9600000000000004E-2</v>
      </c>
      <c r="F89" s="34">
        <v>1.0699999999999999E-2</v>
      </c>
      <c r="G89" s="32">
        <v>4.9379999999999997</v>
      </c>
      <c r="H89" s="32">
        <f t="shared" si="6"/>
        <v>4.9379999999999997</v>
      </c>
      <c r="I89" s="32">
        <v>1.1299999999999999</v>
      </c>
      <c r="J89" s="30">
        <v>2.65</v>
      </c>
      <c r="K89" s="31">
        <v>59.045785160398339</v>
      </c>
    </row>
    <row r="90" spans="2:11" ht="17.649999999999999">
      <c r="B90" s="30">
        <f t="shared" si="5"/>
        <v>770</v>
      </c>
      <c r="C90" s="31">
        <v>31.686</v>
      </c>
      <c r="D90" s="33">
        <v>0.40200000000000002</v>
      </c>
      <c r="E90" s="34">
        <v>7.5600000000000001E-2</v>
      </c>
      <c r="F90" s="34">
        <v>1.3099999999999999E-2</v>
      </c>
      <c r="G90" s="32">
        <v>4.9379999999999997</v>
      </c>
      <c r="H90" s="32">
        <f t="shared" si="6"/>
        <v>4.9379999999999997</v>
      </c>
      <c r="I90" s="32">
        <v>1.1299999999999999</v>
      </c>
      <c r="J90" s="30">
        <v>2.65</v>
      </c>
      <c r="K90" s="31">
        <v>96.937960780380152</v>
      </c>
    </row>
    <row r="91" spans="2:11" ht="17.649999999999999">
      <c r="B91" s="30">
        <f t="shared" ref="B91:B121" si="7">+B90+1</f>
        <v>771</v>
      </c>
      <c r="C91" s="31">
        <v>31.686</v>
      </c>
      <c r="D91" s="33">
        <v>0.40200000000000002</v>
      </c>
      <c r="E91" s="34">
        <v>7.4700000000000003E-2</v>
      </c>
      <c r="F91" s="34">
        <v>1.4E-2</v>
      </c>
      <c r="G91" s="32">
        <v>4.9379999999999997</v>
      </c>
      <c r="H91" s="32">
        <f t="shared" si="6"/>
        <v>4.9379999999999997</v>
      </c>
      <c r="I91" s="32">
        <v>1.1299999999999999</v>
      </c>
      <c r="J91" s="30">
        <v>2.65</v>
      </c>
      <c r="K91" s="31">
        <v>104.91000300993277</v>
      </c>
    </row>
    <row r="92" spans="2:11" ht="17.649999999999999">
      <c r="B92" s="30">
        <f t="shared" si="7"/>
        <v>772</v>
      </c>
      <c r="C92" s="31">
        <v>31.686</v>
      </c>
      <c r="D92" s="33">
        <v>0.40200000000000002</v>
      </c>
      <c r="E92" s="34">
        <v>7.0099999999999996E-2</v>
      </c>
      <c r="F92" s="34">
        <v>1.83E-2</v>
      </c>
      <c r="G92" s="32">
        <v>4.9379999999999997</v>
      </c>
      <c r="H92" s="32">
        <f t="shared" si="6"/>
        <v>4.9379999999999997</v>
      </c>
      <c r="I92" s="32">
        <v>1.1299999999999999</v>
      </c>
      <c r="J92" s="30">
        <v>2.65</v>
      </c>
      <c r="K92" s="31">
        <v>199.60388029061929</v>
      </c>
    </row>
    <row r="93" spans="2:11" ht="17.649999999999999">
      <c r="B93" s="30">
        <f t="shared" si="7"/>
        <v>773</v>
      </c>
      <c r="C93" s="31">
        <v>31.686</v>
      </c>
      <c r="D93" s="33">
        <v>0.40200000000000002</v>
      </c>
      <c r="E93" s="34">
        <v>6.13E-2</v>
      </c>
      <c r="F93" s="34">
        <v>2.1700000000000001E-2</v>
      </c>
      <c r="G93" s="32">
        <v>4.9379999999999997</v>
      </c>
      <c r="H93" s="32">
        <f t="shared" si="6"/>
        <v>4.9379999999999997</v>
      </c>
      <c r="I93" s="32">
        <v>1.1299999999999999</v>
      </c>
      <c r="J93" s="30">
        <v>2.65</v>
      </c>
      <c r="K93" s="31">
        <v>290.99061459279449</v>
      </c>
    </row>
    <row r="94" spans="2:11" ht="17.649999999999999">
      <c r="B94" s="30">
        <f t="shared" si="7"/>
        <v>774</v>
      </c>
      <c r="C94" s="31">
        <v>31.686</v>
      </c>
      <c r="D94" s="33">
        <v>0.40200000000000002</v>
      </c>
      <c r="E94" s="34">
        <v>6.1600000000000002E-2</v>
      </c>
      <c r="F94" s="34">
        <v>2.2600000000000002E-2</v>
      </c>
      <c r="G94" s="32">
        <v>4.9379999999999997</v>
      </c>
      <c r="H94" s="32">
        <f t="shared" si="6"/>
        <v>4.9379999999999997</v>
      </c>
      <c r="I94" s="32">
        <v>1.1299999999999999</v>
      </c>
      <c r="J94" s="30">
        <v>2.65</v>
      </c>
      <c r="K94" s="31">
        <v>305.84200961188964</v>
      </c>
    </row>
    <row r="95" spans="2:11" ht="17.649999999999999">
      <c r="B95" s="30">
        <f t="shared" si="7"/>
        <v>775</v>
      </c>
      <c r="C95" s="31">
        <v>10.279</v>
      </c>
      <c r="D95" s="33">
        <v>0.20100000000000001</v>
      </c>
      <c r="E95" s="34">
        <v>5.6099999999999997E-2</v>
      </c>
      <c r="F95" s="34">
        <v>1.49E-2</v>
      </c>
      <c r="G95" s="32">
        <v>7.01</v>
      </c>
      <c r="H95" s="32">
        <f t="shared" si="6"/>
        <v>7.01</v>
      </c>
      <c r="I95" s="32">
        <v>1.1200000000000001</v>
      </c>
      <c r="J95" s="30">
        <v>2.65</v>
      </c>
      <c r="K95" s="31">
        <v>9.5683685827819858</v>
      </c>
    </row>
    <row r="96" spans="2:11" ht="17.649999999999999">
      <c r="B96" s="30">
        <f t="shared" si="7"/>
        <v>776</v>
      </c>
      <c r="C96" s="31">
        <v>10.279</v>
      </c>
      <c r="D96" s="33">
        <v>0.20100000000000001</v>
      </c>
      <c r="E96" s="34">
        <v>5.6099999999999997E-2</v>
      </c>
      <c r="F96" s="34">
        <v>1.5800000000000002E-2</v>
      </c>
      <c r="G96" s="32">
        <v>7.01</v>
      </c>
      <c r="H96" s="32">
        <f t="shared" si="6"/>
        <v>7.01</v>
      </c>
      <c r="I96" s="32">
        <v>1.1200000000000001</v>
      </c>
      <c r="J96" s="30">
        <v>2.65</v>
      </c>
      <c r="K96" s="31">
        <v>11.010311032805101</v>
      </c>
    </row>
    <row r="97" spans="2:11" ht="17.649999999999999">
      <c r="B97" s="30">
        <f t="shared" si="7"/>
        <v>777</v>
      </c>
      <c r="C97" s="31">
        <v>10.279</v>
      </c>
      <c r="D97" s="33">
        <v>0.20100000000000001</v>
      </c>
      <c r="E97" s="34">
        <v>5.5800000000000002E-2</v>
      </c>
      <c r="F97" s="34">
        <v>1.7999999999999999E-2</v>
      </c>
      <c r="G97" s="32">
        <v>7.01</v>
      </c>
      <c r="H97" s="32">
        <f t="shared" si="6"/>
        <v>7.01</v>
      </c>
      <c r="I97" s="32">
        <v>1.1200000000000001</v>
      </c>
      <c r="J97" s="30">
        <v>2.65</v>
      </c>
      <c r="K97" s="31">
        <v>19.051395080899663</v>
      </c>
    </row>
    <row r="98" spans="2:11" ht="17.649999999999999">
      <c r="B98" s="30">
        <f t="shared" si="7"/>
        <v>778</v>
      </c>
      <c r="C98" s="31">
        <v>10.279</v>
      </c>
      <c r="D98" s="33">
        <v>0.20100000000000001</v>
      </c>
      <c r="E98" s="34">
        <v>5.2699999999999997E-2</v>
      </c>
      <c r="F98" s="34">
        <v>1.84E-2</v>
      </c>
      <c r="G98" s="32">
        <v>7.01</v>
      </c>
      <c r="H98" s="32">
        <f t="shared" si="6"/>
        <v>7.01</v>
      </c>
      <c r="I98" s="32">
        <v>1.1200000000000001</v>
      </c>
      <c r="J98" s="30">
        <v>2.65</v>
      </c>
      <c r="K98" s="31">
        <v>21.528103736809928</v>
      </c>
    </row>
    <row r="99" spans="2:11" ht="17.649999999999999">
      <c r="B99" s="30">
        <f t="shared" si="7"/>
        <v>779</v>
      </c>
      <c r="C99" s="31">
        <v>10.279</v>
      </c>
      <c r="D99" s="33">
        <v>0.20100000000000001</v>
      </c>
      <c r="E99" s="34">
        <v>5.0900000000000001E-2</v>
      </c>
      <c r="F99" s="34">
        <v>2.4300000000000002E-2</v>
      </c>
      <c r="G99" s="32">
        <v>7.01</v>
      </c>
      <c r="H99" s="32">
        <f t="shared" si="6"/>
        <v>7.01</v>
      </c>
      <c r="I99" s="32">
        <v>1.1200000000000001</v>
      </c>
      <c r="J99" s="30">
        <v>2.65</v>
      </c>
      <c r="K99" s="31">
        <v>51.653266331658294</v>
      </c>
    </row>
    <row r="100" spans="2:11" ht="17.649999999999999">
      <c r="B100" s="30">
        <f t="shared" si="7"/>
        <v>780</v>
      </c>
      <c r="C100" s="31">
        <v>10.279</v>
      </c>
      <c r="D100" s="33">
        <v>0.20100000000000001</v>
      </c>
      <c r="E100" s="34">
        <v>5.2699999999999997E-2</v>
      </c>
      <c r="F100" s="34">
        <v>2.47E-2</v>
      </c>
      <c r="G100" s="32">
        <v>7.01</v>
      </c>
      <c r="H100" s="32">
        <f t="shared" si="6"/>
        <v>7.01</v>
      </c>
      <c r="I100" s="32">
        <v>1.1200000000000001</v>
      </c>
      <c r="J100" s="30">
        <v>2.65</v>
      </c>
      <c r="K100" s="31">
        <v>54.249560191002757</v>
      </c>
    </row>
    <row r="101" spans="2:11" ht="17.649999999999999">
      <c r="B101" s="30">
        <f t="shared" si="7"/>
        <v>781</v>
      </c>
      <c r="C101" s="31">
        <v>20.783999999999999</v>
      </c>
      <c r="D101" s="33">
        <v>0.20100000000000001</v>
      </c>
      <c r="E101" s="34">
        <v>0.1052</v>
      </c>
      <c r="F101" s="34">
        <v>8.9999999999999993E-3</v>
      </c>
      <c r="G101" s="32">
        <v>7.01</v>
      </c>
      <c r="H101" s="32">
        <f t="shared" si="6"/>
        <v>7.01</v>
      </c>
      <c r="I101" s="32">
        <v>1.1200000000000001</v>
      </c>
      <c r="J101" s="30">
        <v>2.65</v>
      </c>
      <c r="K101" s="31">
        <v>9.003366299006796</v>
      </c>
    </row>
    <row r="102" spans="2:11" ht="17.649999999999999">
      <c r="B102" s="30">
        <f t="shared" si="7"/>
        <v>782</v>
      </c>
      <c r="C102" s="31">
        <v>20.783999999999999</v>
      </c>
      <c r="D102" s="33">
        <v>0.20100000000000001</v>
      </c>
      <c r="E102" s="34">
        <v>0.1061</v>
      </c>
      <c r="F102" s="34">
        <v>9.4999999999999998E-3</v>
      </c>
      <c r="G102" s="32">
        <v>7.01</v>
      </c>
      <c r="H102" s="32">
        <f t="shared" ref="H102:H121" si="8">+I102^$G$2*G102</f>
        <v>7.01</v>
      </c>
      <c r="I102" s="32">
        <v>1.1200000000000001</v>
      </c>
      <c r="J102" s="30">
        <v>2.65</v>
      </c>
      <c r="K102" s="31">
        <v>10.522023985232122</v>
      </c>
    </row>
    <row r="103" spans="2:11" ht="17.649999999999999">
      <c r="B103" s="30">
        <f t="shared" si="7"/>
        <v>783</v>
      </c>
      <c r="C103" s="31">
        <v>20.783999999999999</v>
      </c>
      <c r="D103" s="33">
        <v>0.20100000000000001</v>
      </c>
      <c r="E103" s="34">
        <v>0.10150000000000001</v>
      </c>
      <c r="F103" s="34">
        <v>1.0999999999999999E-2</v>
      </c>
      <c r="G103" s="32">
        <v>7.01</v>
      </c>
      <c r="H103" s="32">
        <f t="shared" si="8"/>
        <v>7.01</v>
      </c>
      <c r="I103" s="32">
        <v>1.1200000000000001</v>
      </c>
      <c r="J103" s="30">
        <v>2.65</v>
      </c>
      <c r="K103" s="31">
        <v>20.596550585079225</v>
      </c>
    </row>
    <row r="104" spans="2:11" ht="17.649999999999999">
      <c r="B104" s="30">
        <f t="shared" si="7"/>
        <v>784</v>
      </c>
      <c r="C104" s="31">
        <v>20.783999999999999</v>
      </c>
      <c r="D104" s="33">
        <v>0.20100000000000001</v>
      </c>
      <c r="E104" s="34">
        <v>0.10489999999999999</v>
      </c>
      <c r="F104" s="34">
        <v>1.1900000000000001E-2</v>
      </c>
      <c r="G104" s="32">
        <v>7.01</v>
      </c>
      <c r="H104" s="32">
        <f t="shared" si="8"/>
        <v>7.01</v>
      </c>
      <c r="I104" s="32">
        <v>1.1200000000000001</v>
      </c>
      <c r="J104" s="30">
        <v>2.65</v>
      </c>
      <c r="K104" s="31">
        <v>21.637863377913028</v>
      </c>
    </row>
    <row r="105" spans="2:11" ht="17.649999999999999">
      <c r="B105" s="30">
        <f t="shared" si="7"/>
        <v>785</v>
      </c>
      <c r="C105" s="31">
        <v>20.783999999999999</v>
      </c>
      <c r="D105" s="33">
        <v>0.20100000000000001</v>
      </c>
      <c r="E105" s="34">
        <v>9.7500000000000003E-2</v>
      </c>
      <c r="F105" s="34">
        <v>1.4999999999999999E-2</v>
      </c>
      <c r="G105" s="32">
        <v>7.01</v>
      </c>
      <c r="H105" s="32">
        <f t="shared" si="8"/>
        <v>7.01</v>
      </c>
      <c r="I105" s="32">
        <v>1.1200000000000001</v>
      </c>
      <c r="J105" s="30">
        <v>2.65</v>
      </c>
      <c r="K105" s="31">
        <v>52.090225563909769</v>
      </c>
    </row>
    <row r="106" spans="2:11" ht="17.649999999999999">
      <c r="B106" s="30">
        <f t="shared" si="7"/>
        <v>786</v>
      </c>
      <c r="C106" s="31">
        <v>20.783999999999999</v>
      </c>
      <c r="D106" s="33">
        <v>0.20100000000000001</v>
      </c>
      <c r="E106" s="34">
        <v>9.4500000000000001E-2</v>
      </c>
      <c r="F106" s="34">
        <v>1.5099999999999999E-2</v>
      </c>
      <c r="G106" s="32">
        <v>7.01</v>
      </c>
      <c r="H106" s="32">
        <f t="shared" si="8"/>
        <v>7.01</v>
      </c>
      <c r="I106" s="32">
        <v>1.1200000000000001</v>
      </c>
      <c r="J106" s="30">
        <v>2.65</v>
      </c>
      <c r="K106" s="31">
        <v>52.090225563909769</v>
      </c>
    </row>
    <row r="107" spans="2:11" ht="17.649999999999999">
      <c r="B107" s="30">
        <f t="shared" si="7"/>
        <v>787</v>
      </c>
      <c r="C107" s="31">
        <v>20.783999999999999</v>
      </c>
      <c r="D107" s="33">
        <v>0.20100000000000001</v>
      </c>
      <c r="E107" s="34">
        <v>8.8099999999999998E-2</v>
      </c>
      <c r="F107" s="34">
        <v>2.0199999999999999E-2</v>
      </c>
      <c r="G107" s="32">
        <v>7.01</v>
      </c>
      <c r="H107" s="32">
        <f t="shared" si="8"/>
        <v>7.01</v>
      </c>
      <c r="I107" s="32">
        <v>1.1200000000000001</v>
      </c>
      <c r="J107" s="30">
        <v>2.65</v>
      </c>
      <c r="K107" s="31">
        <v>105.49193426805365</v>
      </c>
    </row>
    <row r="108" spans="2:11" ht="17.649999999999999">
      <c r="B108" s="30">
        <f t="shared" si="7"/>
        <v>788</v>
      </c>
      <c r="C108" s="31">
        <v>20.783999999999999</v>
      </c>
      <c r="D108" s="33">
        <v>0.20100000000000001</v>
      </c>
      <c r="E108" s="34">
        <v>7.6200000000000004E-2</v>
      </c>
      <c r="F108" s="34">
        <v>2.69E-2</v>
      </c>
      <c r="G108" s="32">
        <v>7.01</v>
      </c>
      <c r="H108" s="32">
        <f t="shared" si="8"/>
        <v>7.01</v>
      </c>
      <c r="I108" s="32">
        <v>1.1200000000000001</v>
      </c>
      <c r="J108" s="30">
        <v>2.65</v>
      </c>
      <c r="K108" s="31">
        <v>212.06020810182844</v>
      </c>
    </row>
    <row r="109" spans="2:11" ht="17.649999999999999">
      <c r="B109" s="30">
        <f t="shared" si="7"/>
        <v>789</v>
      </c>
      <c r="C109" s="31">
        <v>20.783999999999999</v>
      </c>
      <c r="D109" s="33">
        <v>0.20100000000000001</v>
      </c>
      <c r="E109" s="34">
        <v>7.7100000000000002E-2</v>
      </c>
      <c r="F109" s="34">
        <v>2.92E-2</v>
      </c>
      <c r="G109" s="32">
        <v>7.01</v>
      </c>
      <c r="H109" s="32">
        <f t="shared" si="8"/>
        <v>7.01</v>
      </c>
      <c r="I109" s="32">
        <v>1.1200000000000001</v>
      </c>
      <c r="J109" s="30">
        <v>2.65</v>
      </c>
      <c r="K109" s="31">
        <v>218.42522231204526</v>
      </c>
    </row>
    <row r="110" spans="2:11" ht="17.649999999999999">
      <c r="B110" s="30">
        <f t="shared" si="7"/>
        <v>790</v>
      </c>
      <c r="C110" s="31">
        <v>31.686</v>
      </c>
      <c r="D110" s="33">
        <v>0.20100000000000001</v>
      </c>
      <c r="E110" s="34">
        <v>0.153</v>
      </c>
      <c r="F110" s="34">
        <v>7.4000000000000003E-3</v>
      </c>
      <c r="G110" s="32">
        <v>7.01</v>
      </c>
      <c r="H110" s="32">
        <f t="shared" si="8"/>
        <v>7.01</v>
      </c>
      <c r="I110" s="32">
        <v>1.1200000000000001</v>
      </c>
      <c r="J110" s="30">
        <v>2.65</v>
      </c>
      <c r="K110" s="31">
        <v>11.093982894012903</v>
      </c>
    </row>
    <row r="111" spans="2:11" ht="17.649999999999999">
      <c r="B111" s="30">
        <f t="shared" si="7"/>
        <v>791</v>
      </c>
      <c r="C111" s="31">
        <v>31.686</v>
      </c>
      <c r="D111" s="33">
        <v>0.20100000000000001</v>
      </c>
      <c r="E111" s="34">
        <v>0.15540000000000001</v>
      </c>
      <c r="F111" s="34">
        <v>8.0999999999999996E-3</v>
      </c>
      <c r="G111" s="32">
        <v>7.01</v>
      </c>
      <c r="H111" s="32">
        <f t="shared" si="8"/>
        <v>7.01</v>
      </c>
      <c r="I111" s="32">
        <v>1.1200000000000001</v>
      </c>
      <c r="J111" s="30">
        <v>2.65</v>
      </c>
      <c r="K111" s="31">
        <v>9.98423503403572</v>
      </c>
    </row>
    <row r="112" spans="2:11" ht="17.649999999999999">
      <c r="B112" s="30">
        <f t="shared" si="7"/>
        <v>792</v>
      </c>
      <c r="C112" s="31">
        <v>31.686</v>
      </c>
      <c r="D112" s="33">
        <v>0.20100000000000001</v>
      </c>
      <c r="E112" s="34">
        <v>0.15329999999999999</v>
      </c>
      <c r="F112" s="34">
        <v>8.8999999999999999E-3</v>
      </c>
      <c r="G112" s="32">
        <v>7.01</v>
      </c>
      <c r="H112" s="32">
        <f t="shared" si="8"/>
        <v>7.01</v>
      </c>
      <c r="I112" s="32">
        <v>1.1200000000000001</v>
      </c>
      <c r="J112" s="30">
        <v>2.65</v>
      </c>
      <c r="K112" s="31">
        <v>11.093982894012903</v>
      </c>
    </row>
    <row r="113" spans="2:11" ht="17.649999999999999">
      <c r="B113" s="30">
        <f t="shared" si="7"/>
        <v>793</v>
      </c>
      <c r="C113" s="31">
        <v>31.686</v>
      </c>
      <c r="D113" s="33">
        <v>0.20100000000000001</v>
      </c>
      <c r="E113" s="34">
        <v>0.14330000000000001</v>
      </c>
      <c r="F113" s="34">
        <v>1.03E-2</v>
      </c>
      <c r="G113" s="32">
        <v>7.01</v>
      </c>
      <c r="H113" s="32">
        <f t="shared" si="8"/>
        <v>7.01</v>
      </c>
      <c r="I113" s="32">
        <v>1.1200000000000001</v>
      </c>
      <c r="J113" s="30">
        <v>2.65</v>
      </c>
      <c r="K113" s="31">
        <v>26.003843151384135</v>
      </c>
    </row>
    <row r="114" spans="2:11" ht="17.649999999999999">
      <c r="B114" s="30">
        <f t="shared" si="7"/>
        <v>794</v>
      </c>
      <c r="C114" s="31">
        <v>31.686</v>
      </c>
      <c r="D114" s="33">
        <v>0.20100000000000001</v>
      </c>
      <c r="E114" s="34">
        <v>0.13469999999999999</v>
      </c>
      <c r="F114" s="34">
        <v>1.26E-2</v>
      </c>
      <c r="G114" s="32">
        <v>7.01</v>
      </c>
      <c r="H114" s="32">
        <f t="shared" si="8"/>
        <v>7.01</v>
      </c>
      <c r="I114" s="32">
        <v>1.1200000000000001</v>
      </c>
      <c r="J114" s="30">
        <v>2.65</v>
      </c>
      <c r="K114" s="31">
        <v>52.050402660362998</v>
      </c>
    </row>
    <row r="115" spans="2:11" ht="17.649999999999999">
      <c r="B115" s="30">
        <f t="shared" si="7"/>
        <v>795</v>
      </c>
      <c r="C115" s="31">
        <v>31.686</v>
      </c>
      <c r="D115" s="33">
        <v>0.20100000000000001</v>
      </c>
      <c r="E115" s="34">
        <v>0.13320000000000001</v>
      </c>
      <c r="F115" s="34">
        <v>1.2800000000000001E-2</v>
      </c>
      <c r="G115" s="32">
        <v>7.01</v>
      </c>
      <c r="H115" s="32">
        <f t="shared" si="8"/>
        <v>7.01</v>
      </c>
      <c r="I115" s="32">
        <v>1.1200000000000001</v>
      </c>
      <c r="J115" s="30">
        <v>2.65</v>
      </c>
      <c r="K115" s="31">
        <v>53.004136908637413</v>
      </c>
    </row>
    <row r="116" spans="2:11" ht="17.649999999999999">
      <c r="B116" s="30">
        <f t="shared" si="7"/>
        <v>796</v>
      </c>
      <c r="C116" s="31">
        <v>31.686</v>
      </c>
      <c r="D116" s="33">
        <v>0.20100000000000001</v>
      </c>
      <c r="E116" s="34">
        <v>0.13619999999999999</v>
      </c>
      <c r="F116" s="34">
        <v>1.3300000000000001E-2</v>
      </c>
      <c r="G116" s="32">
        <v>7.01</v>
      </c>
      <c r="H116" s="32">
        <f t="shared" si="8"/>
        <v>7.01</v>
      </c>
      <c r="I116" s="32">
        <v>1.1200000000000001</v>
      </c>
      <c r="J116" s="30">
        <v>2.65</v>
      </c>
      <c r="K116" s="31">
        <v>53.004136908637413</v>
      </c>
    </row>
    <row r="117" spans="2:11" ht="17.649999999999999">
      <c r="B117" s="30">
        <f t="shared" si="7"/>
        <v>797</v>
      </c>
      <c r="C117" s="31">
        <v>31.686</v>
      </c>
      <c r="D117" s="33">
        <v>0.20100000000000001</v>
      </c>
      <c r="E117" s="34">
        <v>0.1192</v>
      </c>
      <c r="F117" s="34">
        <v>1.6500000000000001E-2</v>
      </c>
      <c r="G117" s="32">
        <v>7.01</v>
      </c>
      <c r="H117" s="32">
        <f t="shared" si="8"/>
        <v>7.01</v>
      </c>
      <c r="I117" s="32">
        <v>1.1200000000000001</v>
      </c>
      <c r="J117" s="30">
        <v>2.65</v>
      </c>
      <c r="K117" s="31">
        <v>101.72070626003209</v>
      </c>
    </row>
    <row r="118" spans="2:11" ht="17.649999999999999">
      <c r="B118" s="30">
        <f t="shared" si="7"/>
        <v>798</v>
      </c>
      <c r="C118" s="31">
        <v>31.686</v>
      </c>
      <c r="D118" s="33">
        <v>0.20100000000000001</v>
      </c>
      <c r="E118" s="34">
        <v>0.12130000000000001</v>
      </c>
      <c r="F118" s="34">
        <v>1.6300000000000002E-2</v>
      </c>
      <c r="G118" s="32">
        <v>7.01</v>
      </c>
      <c r="H118" s="32">
        <f t="shared" si="8"/>
        <v>7.01</v>
      </c>
      <c r="I118" s="32">
        <v>1.1200000000000001</v>
      </c>
      <c r="J118" s="30">
        <v>2.65</v>
      </c>
      <c r="K118" s="31">
        <v>105.86691683305408</v>
      </c>
    </row>
    <row r="119" spans="2:11" ht="17.649999999999999">
      <c r="B119" s="30">
        <f t="shared" si="7"/>
        <v>799</v>
      </c>
      <c r="C119" s="31">
        <v>31.686</v>
      </c>
      <c r="D119" s="33">
        <v>0.20100000000000001</v>
      </c>
      <c r="E119" s="34">
        <v>0.1195</v>
      </c>
      <c r="F119" s="34">
        <v>1.6199999999999999E-2</v>
      </c>
      <c r="G119" s="32">
        <v>7.01</v>
      </c>
      <c r="H119" s="32">
        <f t="shared" si="8"/>
        <v>7.01</v>
      </c>
      <c r="I119" s="32">
        <v>1.1200000000000001</v>
      </c>
      <c r="J119" s="30">
        <v>2.65</v>
      </c>
      <c r="K119" s="31">
        <v>109.37609376254315</v>
      </c>
    </row>
    <row r="120" spans="2:11" ht="17.649999999999999">
      <c r="B120" s="30">
        <f t="shared" si="7"/>
        <v>800</v>
      </c>
      <c r="C120" s="31">
        <v>31.686</v>
      </c>
      <c r="D120" s="33">
        <v>0.20100000000000001</v>
      </c>
      <c r="E120" s="34">
        <v>0.1036</v>
      </c>
      <c r="F120" s="34">
        <v>2.3100000000000002E-2</v>
      </c>
      <c r="G120" s="32">
        <v>7.01</v>
      </c>
      <c r="H120" s="32">
        <f t="shared" si="8"/>
        <v>7.01</v>
      </c>
      <c r="I120" s="32">
        <v>1.1200000000000001</v>
      </c>
      <c r="J120" s="30">
        <v>2.65</v>
      </c>
      <c r="K120" s="31">
        <v>210.51701228105497</v>
      </c>
    </row>
    <row r="121" spans="2:11" ht="17.649999999999999">
      <c r="B121" s="30">
        <f t="shared" si="7"/>
        <v>801</v>
      </c>
      <c r="C121" s="31">
        <v>31.686</v>
      </c>
      <c r="D121" s="33">
        <v>0.20100000000000001</v>
      </c>
      <c r="E121" s="34">
        <v>0.1018</v>
      </c>
      <c r="F121" s="34">
        <v>2.3800000000000002E-2</v>
      </c>
      <c r="G121" s="32">
        <v>7.01</v>
      </c>
      <c r="H121" s="32">
        <f t="shared" si="8"/>
        <v>7.01</v>
      </c>
      <c r="I121" s="32">
        <v>1.1200000000000001</v>
      </c>
      <c r="J121" s="30">
        <v>2.65</v>
      </c>
      <c r="K121" s="31">
        <v>210.51701228105497</v>
      </c>
    </row>
    <row r="122" spans="2:11" ht="17.649999999999999">
      <c r="B122" s="1"/>
      <c r="C122" s="2"/>
      <c r="D122" s="3"/>
      <c r="E122" s="4"/>
      <c r="F122" s="4"/>
      <c r="G122" s="7"/>
      <c r="H122" s="7"/>
      <c r="I122" s="7"/>
      <c r="J122" s="1"/>
      <c r="K122" s="2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MPM</vt:lpstr>
      <vt:lpstr>Sheet1</vt:lpstr>
      <vt:lpstr>Gilbert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Viparelli, Enrica</dc:creator>
  <cp:lastModifiedBy>Viparelli, Enrica</cp:lastModifiedBy>
  <dcterms:created xsi:type="dcterms:W3CDTF">2026-07-28T00:41:20Z</dcterms:created>
  <dcterms:modified xsi:type="dcterms:W3CDTF">2026-07-30T04:05:27Z</dcterms:modified>
</cp:coreProperties>
</file>