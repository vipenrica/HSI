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viparell_cec_sc_edu/Documents/corsi/Hokkaido/2026/"/>
    </mc:Choice>
  </mc:AlternateContent>
  <xr:revisionPtr revIDLastSave="433" documentId="8_{A8B33978-62C6-4A29-A83F-3F909AD3021E}" xr6:coauthVersionLast="47" xr6:coauthVersionMax="47" xr10:uidLastSave="{27BA280B-0732-4C68-98ED-ABE32B2C2F7B}"/>
  <bookViews>
    <workbookView xWindow="735" yWindow="735" windowWidth="17790" windowHeight="10253" activeTab="1" xr2:uid="{EF3BB8C8-8906-43EC-9541-F31AE6A88584}"/>
  </bookViews>
  <sheets>
    <sheet name="field data" sheetId="1" r:id="rId1"/>
    <sheet name="stage-discharge" sheetId="2" r:id="rId2"/>
    <sheet name="grain_size_calc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2" l="1"/>
  <c r="F25" i="2"/>
  <c r="F26" i="2" s="1"/>
  <c r="A9" i="1"/>
  <c r="L22" i="2"/>
  <c r="F22" i="2"/>
  <c r="M22" i="2"/>
  <c r="D22" i="2"/>
  <c r="E22" i="2" s="1"/>
  <c r="B22" i="2"/>
  <c r="J2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U6" i="2"/>
  <c r="G20" i="3"/>
  <c r="F20" i="2"/>
  <c r="F8" i="2"/>
  <c r="F9" i="2"/>
  <c r="F10" i="2"/>
  <c r="F11" i="2"/>
  <c r="F12" i="2"/>
  <c r="F13" i="2"/>
  <c r="F14" i="2"/>
  <c r="F15" i="2"/>
  <c r="F16" i="2"/>
  <c r="F17" i="2"/>
  <c r="F18" i="2"/>
  <c r="F19" i="2"/>
  <c r="G18" i="3"/>
  <c r="G17" i="3"/>
  <c r="G16" i="3"/>
  <c r="G6" i="3"/>
  <c r="G7" i="3"/>
  <c r="G8" i="3"/>
  <c r="G9" i="3"/>
  <c r="G10" i="3"/>
  <c r="G11" i="3"/>
  <c r="G12" i="3"/>
  <c r="G13" i="3"/>
  <c r="G14" i="3"/>
  <c r="G5" i="3"/>
  <c r="F6" i="3"/>
  <c r="F7" i="3"/>
  <c r="F8" i="3"/>
  <c r="F9" i="3"/>
  <c r="F10" i="3"/>
  <c r="F11" i="3"/>
  <c r="F12" i="3"/>
  <c r="F13" i="3"/>
  <c r="F14" i="3"/>
  <c r="F5" i="3"/>
  <c r="E16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E5" i="3"/>
  <c r="D5" i="3"/>
  <c r="E32" i="1"/>
  <c r="C32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18" i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C7" i="2"/>
  <c r="M7" i="2" s="1"/>
  <c r="C11" i="1"/>
  <c r="C9" i="1"/>
  <c r="G22" i="2" l="1"/>
  <c r="V6" i="2"/>
  <c r="G20" i="2"/>
  <c r="L20" i="2"/>
  <c r="G8" i="2"/>
  <c r="L8" i="2"/>
  <c r="G9" i="2"/>
  <c r="L9" i="2"/>
  <c r="G10" i="2"/>
  <c r="L10" i="2"/>
  <c r="G11" i="2"/>
  <c r="L11" i="2"/>
  <c r="G12" i="2"/>
  <c r="L12" i="2"/>
  <c r="G13" i="2"/>
  <c r="L13" i="2"/>
  <c r="G14" i="2"/>
  <c r="L14" i="2"/>
  <c r="G15" i="2"/>
  <c r="L15" i="2"/>
  <c r="G16" i="2"/>
  <c r="L16" i="2"/>
  <c r="G17" i="2"/>
  <c r="L17" i="2"/>
  <c r="G18" i="2"/>
  <c r="L18" i="2"/>
  <c r="G19" i="2"/>
  <c r="L19" i="2"/>
  <c r="H20" i="2"/>
  <c r="I20" i="2"/>
  <c r="J20" i="2" s="1"/>
  <c r="K20" i="2" s="1"/>
  <c r="H8" i="2"/>
  <c r="I8" i="2"/>
  <c r="J8" i="2" s="1"/>
  <c r="K8" i="2" s="1"/>
  <c r="H9" i="2"/>
  <c r="I9" i="2"/>
  <c r="J9" i="2" s="1"/>
  <c r="K9" i="2" s="1"/>
  <c r="H10" i="2"/>
  <c r="I10" i="2"/>
  <c r="J10" i="2" s="1"/>
  <c r="K10" i="2" s="1"/>
  <c r="H11" i="2"/>
  <c r="I11" i="2"/>
  <c r="J11" i="2" s="1"/>
  <c r="K11" i="2" s="1"/>
  <c r="H12" i="2"/>
  <c r="I12" i="2"/>
  <c r="J12" i="2" s="1"/>
  <c r="K12" i="2" s="1"/>
  <c r="H13" i="2"/>
  <c r="I13" i="2"/>
  <c r="J13" i="2" s="1"/>
  <c r="K13" i="2" s="1"/>
  <c r="H14" i="2"/>
  <c r="I14" i="2"/>
  <c r="J14" i="2" s="1"/>
  <c r="K14" i="2" s="1"/>
  <c r="H15" i="2"/>
  <c r="I15" i="2"/>
  <c r="J15" i="2" s="1"/>
  <c r="K15" i="2" s="1"/>
  <c r="H16" i="2"/>
  <c r="I16" i="2"/>
  <c r="J16" i="2" s="1"/>
  <c r="K16" i="2" s="1"/>
  <c r="H17" i="2"/>
  <c r="I17" i="2"/>
  <c r="J17" i="2" s="1"/>
  <c r="K17" i="2" s="1"/>
  <c r="H18" i="2"/>
  <c r="I18" i="2"/>
  <c r="J18" i="2" s="1"/>
  <c r="K18" i="2" s="1"/>
  <c r="H19" i="2"/>
  <c r="I19" i="2"/>
  <c r="J19" i="2" s="1"/>
  <c r="K19" i="2" s="1"/>
  <c r="F7" i="2"/>
  <c r="D7" i="2"/>
  <c r="E7" i="2"/>
  <c r="T22" i="2" l="1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H22" i="2"/>
  <c r="I22" i="2"/>
  <c r="J22" i="2" s="1"/>
  <c r="K22" i="2" s="1"/>
  <c r="T11" i="2"/>
  <c r="U11" i="2"/>
  <c r="T14" i="2"/>
  <c r="U14" i="2"/>
  <c r="T8" i="2"/>
  <c r="U8" i="2"/>
  <c r="T9" i="2"/>
  <c r="U9" i="2"/>
  <c r="T10" i="2"/>
  <c r="U10" i="2"/>
  <c r="T13" i="2"/>
  <c r="U13" i="2"/>
  <c r="T15" i="2"/>
  <c r="U15" i="2"/>
  <c r="T16" i="2"/>
  <c r="U16" i="2"/>
  <c r="T17" i="2"/>
  <c r="U17" i="2"/>
  <c r="T19" i="2"/>
  <c r="U19" i="2"/>
  <c r="V16" i="2"/>
  <c r="V18" i="2"/>
  <c r="V9" i="2"/>
  <c r="V17" i="2"/>
  <c r="V11" i="2"/>
  <c r="V20" i="2"/>
  <c r="V19" i="2"/>
  <c r="V13" i="2"/>
  <c r="V14" i="2"/>
  <c r="V10" i="2"/>
  <c r="V15" i="2"/>
  <c r="V8" i="2"/>
  <c r="W6" i="2"/>
  <c r="W12" i="2" s="1"/>
  <c r="T12" i="2"/>
  <c r="V12" i="2"/>
  <c r="U12" i="2"/>
  <c r="T20" i="2"/>
  <c r="U20" i="2"/>
  <c r="T18" i="2"/>
  <c r="U18" i="2"/>
  <c r="G7" i="2"/>
  <c r="L7" i="2"/>
  <c r="V7" i="2" s="1"/>
  <c r="H7" i="2"/>
  <c r="I7" i="2"/>
  <c r="J7" i="2" s="1"/>
  <c r="K7" i="2" s="1"/>
  <c r="S22" i="2" l="1"/>
  <c r="N22" i="2" s="1"/>
  <c r="O22" i="2" s="1"/>
  <c r="W9" i="2"/>
  <c r="W17" i="2"/>
  <c r="W16" i="2"/>
  <c r="W7" i="2"/>
  <c r="W11" i="2"/>
  <c r="W15" i="2"/>
  <c r="W10" i="2"/>
  <c r="W14" i="2"/>
  <c r="W13" i="2"/>
  <c r="W19" i="2"/>
  <c r="W20" i="2"/>
  <c r="W18" i="2"/>
  <c r="W8" i="2"/>
  <c r="X6" i="2"/>
  <c r="X12" i="2" s="1"/>
  <c r="U7" i="2"/>
  <c r="T7" i="2"/>
  <c r="P22" i="2" l="1"/>
  <c r="E33" i="1"/>
  <c r="X11" i="2"/>
  <c r="X20" i="2"/>
  <c r="X9" i="2"/>
  <c r="X10" i="2"/>
  <c r="X16" i="2"/>
  <c r="X15" i="2"/>
  <c r="X13" i="2"/>
  <c r="X19" i="2"/>
  <c r="X7" i="2"/>
  <c r="X14" i="2"/>
  <c r="X18" i="2"/>
  <c r="X17" i="2"/>
  <c r="X8" i="2"/>
  <c r="Y6" i="2"/>
  <c r="Y12" i="2" s="1"/>
  <c r="Y7" i="2" l="1"/>
  <c r="Y11" i="2"/>
  <c r="Y10" i="2"/>
  <c r="Y20" i="2"/>
  <c r="Y17" i="2"/>
  <c r="Y9" i="2"/>
  <c r="Y8" i="2"/>
  <c r="Y16" i="2"/>
  <c r="Y14" i="2"/>
  <c r="Y18" i="2"/>
  <c r="Y13" i="2"/>
  <c r="Y19" i="2"/>
  <c r="Y15" i="2"/>
  <c r="Z6" i="2"/>
  <c r="Z12" i="2" s="1"/>
  <c r="Z11" i="2" l="1"/>
  <c r="Z15" i="2"/>
  <c r="Z10" i="2"/>
  <c r="Z9" i="2"/>
  <c r="Z7" i="2"/>
  <c r="Z18" i="2"/>
  <c r="Z16" i="2"/>
  <c r="Z20" i="2"/>
  <c r="Z17" i="2"/>
  <c r="Z19" i="2"/>
  <c r="Z14" i="2"/>
  <c r="Z8" i="2"/>
  <c r="Z13" i="2"/>
  <c r="AA6" i="2"/>
  <c r="AA12" i="2" s="1"/>
  <c r="AA14" i="2" l="1"/>
  <c r="AA15" i="2"/>
  <c r="AA20" i="2"/>
  <c r="AA19" i="2"/>
  <c r="AA8" i="2"/>
  <c r="AA16" i="2"/>
  <c r="AA11" i="2"/>
  <c r="AA9" i="2"/>
  <c r="AA10" i="2"/>
  <c r="AA18" i="2"/>
  <c r="AA17" i="2"/>
  <c r="AA7" i="2"/>
  <c r="AA13" i="2"/>
  <c r="AB6" i="2"/>
  <c r="AB12" i="2" s="1"/>
  <c r="AB9" i="2" l="1"/>
  <c r="AB7" i="2"/>
  <c r="AB10" i="2"/>
  <c r="AB8" i="2"/>
  <c r="AB20" i="2"/>
  <c r="AB19" i="2"/>
  <c r="AB18" i="2"/>
  <c r="AB15" i="2"/>
  <c r="AB17" i="2"/>
  <c r="AB14" i="2"/>
  <c r="AB16" i="2"/>
  <c r="AB11" i="2"/>
  <c r="AB13" i="2"/>
  <c r="AC6" i="2"/>
  <c r="AC12" i="2" s="1"/>
  <c r="AC7" i="2" l="1"/>
  <c r="AC15" i="2"/>
  <c r="AC14" i="2"/>
  <c r="AC19" i="2"/>
  <c r="AC11" i="2"/>
  <c r="AC20" i="2"/>
  <c r="AC17" i="2"/>
  <c r="AC13" i="2"/>
  <c r="AC10" i="2"/>
  <c r="AC9" i="2"/>
  <c r="AC8" i="2"/>
  <c r="AC18" i="2"/>
  <c r="AC16" i="2"/>
  <c r="AD6" i="2"/>
  <c r="AD12" i="2" s="1"/>
  <c r="AD9" i="2" l="1"/>
  <c r="AD8" i="2"/>
  <c r="AD18" i="2"/>
  <c r="AD20" i="2"/>
  <c r="AD13" i="2"/>
  <c r="AD10" i="2"/>
  <c r="AD11" i="2"/>
  <c r="AD17" i="2"/>
  <c r="AD15" i="2"/>
  <c r="AD7" i="2"/>
  <c r="AD14" i="2"/>
  <c r="AD16" i="2"/>
  <c r="AD19" i="2"/>
  <c r="AE6" i="2"/>
  <c r="AE9" i="2" l="1"/>
  <c r="AE20" i="2"/>
  <c r="AE8" i="2"/>
  <c r="AE13" i="2"/>
  <c r="AE7" i="2"/>
  <c r="AE15" i="2"/>
  <c r="AE16" i="2"/>
  <c r="AE10" i="2"/>
  <c r="AE17" i="2"/>
  <c r="AE11" i="2"/>
  <c r="AE12" i="2"/>
  <c r="AE14" i="2"/>
  <c r="AE18" i="2"/>
  <c r="AE19" i="2"/>
  <c r="AF6" i="2"/>
  <c r="AF9" i="2" l="1"/>
  <c r="AF11" i="2"/>
  <c r="AF14" i="2"/>
  <c r="AF17" i="2"/>
  <c r="AF20" i="2"/>
  <c r="AF18" i="2"/>
  <c r="AF13" i="2"/>
  <c r="AF19" i="2"/>
  <c r="AF16" i="2"/>
  <c r="AF7" i="2"/>
  <c r="AF12" i="2"/>
  <c r="AF15" i="2"/>
  <c r="AF8" i="2"/>
  <c r="AF10" i="2"/>
  <c r="AG6" i="2"/>
  <c r="AG15" i="2" l="1"/>
  <c r="AG8" i="2"/>
  <c r="AG17" i="2"/>
  <c r="AG16" i="2"/>
  <c r="AG9" i="2"/>
  <c r="AG20" i="2"/>
  <c r="AG12" i="2"/>
  <c r="AG10" i="2"/>
  <c r="AG14" i="2"/>
  <c r="AG13" i="2"/>
  <c r="AG7" i="2"/>
  <c r="AG18" i="2"/>
  <c r="AG11" i="2"/>
  <c r="AG19" i="2"/>
  <c r="AH6" i="2"/>
  <c r="AH7" i="2" l="1"/>
  <c r="AH12" i="2"/>
  <c r="AH18" i="2"/>
  <c r="AH10" i="2"/>
  <c r="AH15" i="2"/>
  <c r="AH9" i="2"/>
  <c r="AH13" i="2"/>
  <c r="AH11" i="2"/>
  <c r="AH8" i="2"/>
  <c r="AH14" i="2"/>
  <c r="AH16" i="2"/>
  <c r="AH17" i="2"/>
  <c r="AI6" i="2"/>
  <c r="AH20" i="2"/>
  <c r="AH19" i="2"/>
  <c r="AJ6" i="2" l="1"/>
  <c r="AI7" i="2"/>
  <c r="AI17" i="2"/>
  <c r="AI13" i="2"/>
  <c r="AI12" i="2"/>
  <c r="AI11" i="2"/>
  <c r="AI10" i="2"/>
  <c r="AI9" i="2"/>
  <c r="AI8" i="2"/>
  <c r="AI20" i="2"/>
  <c r="AI19" i="2"/>
  <c r="AI18" i="2"/>
  <c r="AI16" i="2"/>
  <c r="AI15" i="2"/>
  <c r="AI14" i="2"/>
  <c r="AJ20" i="2" l="1"/>
  <c r="AJ19" i="2"/>
  <c r="AJ18" i="2"/>
  <c r="AJ15" i="2"/>
  <c r="AJ13" i="2"/>
  <c r="AJ12" i="2"/>
  <c r="AJ11" i="2"/>
  <c r="AJ10" i="2"/>
  <c r="AJ9" i="2"/>
  <c r="AJ8" i="2"/>
  <c r="AK6" i="2"/>
  <c r="AJ7" i="2"/>
  <c r="AJ17" i="2"/>
  <c r="AJ16" i="2"/>
  <c r="AJ14" i="2"/>
  <c r="AL6" i="2" l="1"/>
  <c r="AK20" i="2"/>
  <c r="AK19" i="2"/>
  <c r="AK16" i="2"/>
  <c r="AK15" i="2"/>
  <c r="AK14" i="2"/>
  <c r="AK7" i="2"/>
  <c r="AK18" i="2"/>
  <c r="AK17" i="2"/>
  <c r="AK13" i="2"/>
  <c r="AK12" i="2"/>
  <c r="AK11" i="2"/>
  <c r="AK10" i="2"/>
  <c r="AK9" i="2"/>
  <c r="AK8" i="2"/>
  <c r="AL7" i="2" l="1"/>
  <c r="S7" i="2" s="1"/>
  <c r="N7" i="2" s="1"/>
  <c r="O7" i="2" s="1"/>
  <c r="P7" i="2" s="1"/>
  <c r="AL18" i="2"/>
  <c r="S18" i="2" s="1"/>
  <c r="N18" i="2" s="1"/>
  <c r="O18" i="2" s="1"/>
  <c r="P18" i="2" s="1"/>
  <c r="AL14" i="2"/>
  <c r="S14" i="2" s="1"/>
  <c r="N14" i="2" s="1"/>
  <c r="O14" i="2" s="1"/>
  <c r="P14" i="2" s="1"/>
  <c r="AL20" i="2"/>
  <c r="S20" i="2" s="1"/>
  <c r="N20" i="2" s="1"/>
  <c r="O20" i="2" s="1"/>
  <c r="P20" i="2" s="1"/>
  <c r="AL19" i="2"/>
  <c r="S19" i="2" s="1"/>
  <c r="N19" i="2" s="1"/>
  <c r="O19" i="2" s="1"/>
  <c r="P19" i="2" s="1"/>
  <c r="AL17" i="2"/>
  <c r="S17" i="2" s="1"/>
  <c r="N17" i="2" s="1"/>
  <c r="O17" i="2" s="1"/>
  <c r="P17" i="2" s="1"/>
  <c r="AL16" i="2"/>
  <c r="S16" i="2" s="1"/>
  <c r="N16" i="2" s="1"/>
  <c r="O16" i="2" s="1"/>
  <c r="P16" i="2" s="1"/>
  <c r="AL15" i="2"/>
  <c r="S15" i="2" s="1"/>
  <c r="N15" i="2" s="1"/>
  <c r="O15" i="2" s="1"/>
  <c r="P15" i="2" s="1"/>
  <c r="AL13" i="2"/>
  <c r="S13" i="2" s="1"/>
  <c r="N13" i="2" s="1"/>
  <c r="O13" i="2" s="1"/>
  <c r="P13" i="2" s="1"/>
  <c r="AL12" i="2"/>
  <c r="S12" i="2" s="1"/>
  <c r="N12" i="2" s="1"/>
  <c r="O12" i="2" s="1"/>
  <c r="P12" i="2" s="1"/>
  <c r="AL11" i="2"/>
  <c r="S11" i="2" s="1"/>
  <c r="N11" i="2" s="1"/>
  <c r="O11" i="2" s="1"/>
  <c r="P11" i="2" s="1"/>
  <c r="AL10" i="2"/>
  <c r="S10" i="2" s="1"/>
  <c r="N10" i="2" s="1"/>
  <c r="O10" i="2" s="1"/>
  <c r="P10" i="2" s="1"/>
  <c r="AL9" i="2"/>
  <c r="S9" i="2" s="1"/>
  <c r="N9" i="2" s="1"/>
  <c r="O9" i="2" s="1"/>
  <c r="P9" i="2" s="1"/>
  <c r="AL8" i="2"/>
  <c r="S8" i="2" s="1"/>
  <c r="N8" i="2" s="1"/>
  <c r="O8" i="2" s="1"/>
  <c r="P8" i="2" s="1"/>
  <c r="P26" i="2" l="1"/>
  <c r="P27" i="2" s="1"/>
</calcChain>
</file>

<file path=xl/sharedStrings.xml><?xml version="1.0" encoding="utf-8"?>
<sst xmlns="http://schemas.openxmlformats.org/spreadsheetml/2006/main" count="105" uniqueCount="76">
  <si>
    <t>Bbf</t>
  </si>
  <si>
    <t>Hbf</t>
  </si>
  <si>
    <t>S</t>
  </si>
  <si>
    <t>Qbf</t>
  </si>
  <si>
    <t>m</t>
  </si>
  <si>
    <t>m/m</t>
  </si>
  <si>
    <t>m3/s</t>
  </si>
  <si>
    <t xml:space="preserve">bankfull depth </t>
  </si>
  <si>
    <t>bed slope</t>
  </si>
  <si>
    <t>bankfull discharge</t>
  </si>
  <si>
    <t>bankfull width for sediment transport calculations (~75% of the measured top bankfull channel width)</t>
  </si>
  <si>
    <t>Input data in yellow cells</t>
  </si>
  <si>
    <t>Cz_bf</t>
  </si>
  <si>
    <t>non-dimensional Chezy coefficient at bankfull flow</t>
  </si>
  <si>
    <t>-</t>
  </si>
  <si>
    <t>W</t>
  </si>
  <si>
    <t>channel sinuosity</t>
  </si>
  <si>
    <t>Sv</t>
  </si>
  <si>
    <t>valley slope</t>
  </si>
  <si>
    <t>Flow duration curve at Columbia</t>
  </si>
  <si>
    <t>Qi</t>
  </si>
  <si>
    <t>Bv</t>
  </si>
  <si>
    <t xml:space="preserve">floodplain width </t>
  </si>
  <si>
    <t xml:space="preserve">Bed surface grain size distribution </t>
  </si>
  <si>
    <t>Fj</t>
  </si>
  <si>
    <t>Dj</t>
  </si>
  <si>
    <t>mm</t>
  </si>
  <si>
    <t>pi</t>
  </si>
  <si>
    <t>Cff</t>
  </si>
  <si>
    <t>non-dimensional floodplain Chezy coefficient</t>
  </si>
  <si>
    <t>Site-specific relation for suspended sand load</t>
  </si>
  <si>
    <t>Q is in m3/s</t>
  </si>
  <si>
    <t>Qsusp sand is in tons/day</t>
  </si>
  <si>
    <t>Hc1</t>
  </si>
  <si>
    <t>Hf</t>
  </si>
  <si>
    <t>obj.</t>
  </si>
  <si>
    <t>Qsusp sand</t>
  </si>
  <si>
    <t>tons/day</t>
  </si>
  <si>
    <t>pi*Qsusp</t>
  </si>
  <si>
    <t>Gasusp</t>
  </si>
  <si>
    <t>tons/yr</t>
  </si>
  <si>
    <t>Dbj</t>
  </si>
  <si>
    <t>Ffj</t>
  </si>
  <si>
    <t>psi</t>
  </si>
  <si>
    <t>Dsg</t>
  </si>
  <si>
    <t>Rep</t>
  </si>
  <si>
    <t>tau_star</t>
  </si>
  <si>
    <t>taustars</t>
  </si>
  <si>
    <t>taustars/taustar</t>
  </si>
  <si>
    <t>ustar</t>
  </si>
  <si>
    <t>m/s</t>
  </si>
  <si>
    <t>ustars</t>
  </si>
  <si>
    <t>vs</t>
  </si>
  <si>
    <t>cm/s</t>
  </si>
  <si>
    <t>Zu</t>
  </si>
  <si>
    <t>E</t>
  </si>
  <si>
    <t>A</t>
  </si>
  <si>
    <t>z/H</t>
  </si>
  <si>
    <t>Dz/H</t>
  </si>
  <si>
    <t>sum</t>
  </si>
  <si>
    <t>m2/s</t>
  </si>
  <si>
    <t>kc</t>
  </si>
  <si>
    <t>zetab</t>
  </si>
  <si>
    <t>I</t>
  </si>
  <si>
    <t>qs</t>
  </si>
  <si>
    <t>Gs</t>
  </si>
  <si>
    <t>Gs*pi</t>
  </si>
  <si>
    <t>Gsa</t>
  </si>
  <si>
    <t>alpha n</t>
  </si>
  <si>
    <t>If</t>
  </si>
  <si>
    <t>N*</t>
  </si>
  <si>
    <t>qT</t>
  </si>
  <si>
    <t>GT</t>
  </si>
  <si>
    <t>annual load</t>
  </si>
  <si>
    <t>site specific correction coefficient of the entrainment model</t>
  </si>
  <si>
    <t xml:space="preserve">transport capacity of the bankfull 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</si>
</sst>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E+00"/>
    <numFmt numFmtId="166" formatCode="0.0"/>
    <numFmt numFmtId="167" formatCode="0.0000"/>
    <numFmt numFmtId="168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2" borderId="1" xfId="0" applyNumberFormat="1" applyFill="1" applyBorder="1"/>
    <xf numFmtId="0" fontId="1" fillId="0" borderId="0" xfId="0" applyFont="1"/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'stage-discharge'!$B$7:$B$20</c:f>
              <c:numCache>
                <c:formatCode>General</c:formatCode>
                <c:ptCount val="14"/>
                <c:pt idx="0">
                  <c:v>110</c:v>
                </c:pt>
                <c:pt idx="1">
                  <c:v>325</c:v>
                </c:pt>
                <c:pt idx="2">
                  <c:v>575</c:v>
                </c:pt>
                <c:pt idx="3">
                  <c:v>825</c:v>
                </c:pt>
                <c:pt idx="4">
                  <c:v>1075</c:v>
                </c:pt>
                <c:pt idx="5">
                  <c:v>1325</c:v>
                </c:pt>
                <c:pt idx="6">
                  <c:v>1575</c:v>
                </c:pt>
                <c:pt idx="7">
                  <c:v>1825</c:v>
                </c:pt>
                <c:pt idx="8">
                  <c:v>2075</c:v>
                </c:pt>
                <c:pt idx="9">
                  <c:v>2450</c:v>
                </c:pt>
                <c:pt idx="10">
                  <c:v>2950</c:v>
                </c:pt>
                <c:pt idx="11">
                  <c:v>3450</c:v>
                </c:pt>
                <c:pt idx="12">
                  <c:v>3950</c:v>
                </c:pt>
                <c:pt idx="13">
                  <c:v>4450</c:v>
                </c:pt>
              </c:numCache>
            </c:numRef>
          </c:xVal>
          <c:yVal>
            <c:numRef>
              <c:f>'stage-discharge'!$C$7:$C$20</c:f>
              <c:numCache>
                <c:formatCode>0.00</c:formatCode>
                <c:ptCount val="14"/>
                <c:pt idx="0">
                  <c:v>2.4429758549354159</c:v>
                </c:pt>
                <c:pt idx="1">
                  <c:v>4.6479268350009155</c:v>
                </c:pt>
                <c:pt idx="2">
                  <c:v>5.0345702051562053</c:v>
                </c:pt>
                <c:pt idx="3">
                  <c:v>5.3172751487944332</c:v>
                </c:pt>
                <c:pt idx="4">
                  <c:v>5.5604231027299775</c:v>
                </c:pt>
                <c:pt idx="5">
                  <c:v>5.7799855900434043</c:v>
                </c:pt>
                <c:pt idx="6">
                  <c:v>5.9831792597890008</c:v>
                </c:pt>
                <c:pt idx="7">
                  <c:v>6.1740527859541672</c:v>
                </c:pt>
                <c:pt idx="8">
                  <c:v>6.3551664076637033</c:v>
                </c:pt>
                <c:pt idx="9">
                  <c:v>6.612226927285402</c:v>
                </c:pt>
                <c:pt idx="10">
                  <c:v>6.9335333027183781</c:v>
                </c:pt>
                <c:pt idx="11">
                  <c:v>7.2357148113814267</c:v>
                </c:pt>
                <c:pt idx="12">
                  <c:v>7.5226699525320484</c:v>
                </c:pt>
                <c:pt idx="13">
                  <c:v>7.7970849989590612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5-47B0-B3D5-2C6C57777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38111"/>
        <c:axId val="1687482383"/>
      </c:scatterChart>
      <c:valAx>
        <c:axId val="31723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waetr discharge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82383"/>
        <c:crosses val="autoZero"/>
        <c:crossBetween val="midCat"/>
      </c:valAx>
      <c:valAx>
        <c:axId val="16874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depth in the channel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3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140494</xdr:colOff>
      <xdr:row>14</xdr:row>
      <xdr:rowOff>142875</xdr:rowOff>
    </xdr:from>
    <xdr:ext cx="1668662" cy="1881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8D70AB-358C-153C-0DEA-F852B6E70ED7}"/>
                </a:ext>
              </a:extLst>
            </xdr:cNvPr>
            <xdr:cNvSpPr txBox="1"/>
          </xdr:nvSpPr>
          <xdr:spPr>
            <a:xfrm>
              <a:off x="7265194" y="2681288"/>
              <a:ext cx="1668662" cy="18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𝑠𝑢𝑠𝑝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𝑠𝑎𝑛𝑑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=0.00145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1.965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8D70AB-358C-153C-0DEA-F852B6E70ED7}"/>
                </a:ext>
              </a:extLst>
            </xdr:cNvPr>
            <xdr:cNvSpPr txBox="1"/>
          </xdr:nvSpPr>
          <xdr:spPr>
            <a:xfrm>
              <a:off x="7265194" y="2681288"/>
              <a:ext cx="1668662" cy="18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𝑄_(𝑠𝑢𝑠𝑝 𝑠𝑎𝑛𝑑)=0.00145𝑄^1.965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488158</xdr:colOff>
      <xdr:row>27</xdr:row>
      <xdr:rowOff>142876</xdr:rowOff>
    </xdr:from>
    <xdr:to>
      <xdr:col>11</xdr:col>
      <xdr:colOff>526258</xdr:colOff>
      <xdr:row>42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CF9A2-26BF-25EC-B662-37D28CA1C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2581-2BF3-4962-BFD7-AB5DF350DE26}">
  <dimension ref="A2:L33"/>
  <sheetViews>
    <sheetView workbookViewId="0">
      <selection activeCell="A9" sqref="A9"/>
    </sheetView>
  </sheetViews>
  <sheetFormatPr defaultRowHeight="14.25" x14ac:dyDescent="0.45"/>
  <cols>
    <col min="4" max="4" width="10.265625" bestFit="1" customWidth="1"/>
  </cols>
  <sheetData>
    <row r="2" spans="1:12" x14ac:dyDescent="0.45">
      <c r="B2" s="7" t="s">
        <v>11</v>
      </c>
    </row>
    <row r="4" spans="1:12" x14ac:dyDescent="0.45">
      <c r="B4" t="s">
        <v>21</v>
      </c>
      <c r="C4" s="1">
        <v>2500</v>
      </c>
      <c r="D4" t="s">
        <v>4</v>
      </c>
      <c r="E4" t="s">
        <v>22</v>
      </c>
    </row>
    <row r="5" spans="1:12" x14ac:dyDescent="0.45">
      <c r="B5" t="s">
        <v>0</v>
      </c>
      <c r="C5" s="1">
        <v>75</v>
      </c>
      <c r="D5" t="s">
        <v>4</v>
      </c>
      <c r="E5" t="s">
        <v>10</v>
      </c>
    </row>
    <row r="6" spans="1:12" x14ac:dyDescent="0.45">
      <c r="B6" t="s">
        <v>1</v>
      </c>
      <c r="C6" s="1">
        <v>4.5</v>
      </c>
      <c r="D6" t="s">
        <v>4</v>
      </c>
      <c r="E6" t="s">
        <v>7</v>
      </c>
    </row>
    <row r="7" spans="1:12" x14ac:dyDescent="0.45">
      <c r="B7" t="s">
        <v>2</v>
      </c>
      <c r="C7" s="1">
        <v>1.3999999999999999E-4</v>
      </c>
      <c r="D7" t="s">
        <v>5</v>
      </c>
      <c r="E7" t="s">
        <v>8</v>
      </c>
    </row>
    <row r="8" spans="1:12" x14ac:dyDescent="0.45">
      <c r="B8" t="s">
        <v>3</v>
      </c>
      <c r="C8" s="1">
        <v>275</v>
      </c>
      <c r="D8" t="s">
        <v>6</v>
      </c>
      <c r="E8" t="s">
        <v>9</v>
      </c>
    </row>
    <row r="9" spans="1:12" x14ac:dyDescent="0.45">
      <c r="A9">
        <f>1/C9^2</f>
        <v>9.3087576446281E-3</v>
      </c>
      <c r="B9" t="s">
        <v>12</v>
      </c>
      <c r="C9" s="4">
        <f>C8/(C5*C6*((9.81*C7*C6)^0.5))</f>
        <v>10.364637997989181</v>
      </c>
      <c r="D9" t="s">
        <v>14</v>
      </c>
      <c r="E9" t="s">
        <v>13</v>
      </c>
    </row>
    <row r="10" spans="1:12" ht="14.65" x14ac:dyDescent="0.45">
      <c r="B10" s="8" t="s">
        <v>15</v>
      </c>
      <c r="C10" s="1">
        <v>1.9</v>
      </c>
      <c r="E10" t="s">
        <v>16</v>
      </c>
    </row>
    <row r="11" spans="1:12" x14ac:dyDescent="0.45">
      <c r="B11" t="s">
        <v>17</v>
      </c>
      <c r="C11" s="2">
        <f>C10*C7</f>
        <v>2.6599999999999996E-4</v>
      </c>
      <c r="D11" t="s">
        <v>5</v>
      </c>
      <c r="E11" t="s">
        <v>18</v>
      </c>
    </row>
    <row r="12" spans="1:12" x14ac:dyDescent="0.45">
      <c r="B12" t="s">
        <v>28</v>
      </c>
      <c r="C12" s="1">
        <v>5</v>
      </c>
      <c r="E12" t="s">
        <v>29</v>
      </c>
    </row>
    <row r="14" spans="1:12" x14ac:dyDescent="0.45">
      <c r="B14" s="7" t="s">
        <v>19</v>
      </c>
      <c r="G14" s="7" t="s">
        <v>23</v>
      </c>
      <c r="L14" s="7" t="s">
        <v>30</v>
      </c>
    </row>
    <row r="16" spans="1:12" x14ac:dyDescent="0.45">
      <c r="B16" t="s">
        <v>20</v>
      </c>
      <c r="C16" t="s">
        <v>27</v>
      </c>
      <c r="D16" t="s">
        <v>36</v>
      </c>
      <c r="E16" t="s">
        <v>38</v>
      </c>
      <c r="G16" t="s">
        <v>41</v>
      </c>
      <c r="H16" t="s">
        <v>42</v>
      </c>
    </row>
    <row r="17" spans="2:12" x14ac:dyDescent="0.45">
      <c r="B17" t="s">
        <v>6</v>
      </c>
      <c r="C17" t="s">
        <v>14</v>
      </c>
      <c r="D17" t="s">
        <v>37</v>
      </c>
      <c r="E17" t="s">
        <v>37</v>
      </c>
      <c r="G17" t="s">
        <v>26</v>
      </c>
      <c r="H17" t="s">
        <v>14</v>
      </c>
    </row>
    <row r="18" spans="2:12" x14ac:dyDescent="0.45">
      <c r="B18" s="1">
        <v>110</v>
      </c>
      <c r="C18" s="6">
        <v>0.58248479130745956</v>
      </c>
      <c r="D18" s="4">
        <f>0.00145*(B18^1.965)</f>
        <v>14.883484810390756</v>
      </c>
      <c r="E18" s="5">
        <f>D18*C18</f>
        <v>8.6694035437082047</v>
      </c>
      <c r="G18" s="1">
        <v>3.7100000000000084</v>
      </c>
      <c r="H18" s="1">
        <v>0.99999999999999978</v>
      </c>
      <c r="L18" t="s">
        <v>31</v>
      </c>
    </row>
    <row r="19" spans="2:12" x14ac:dyDescent="0.45">
      <c r="B19" s="1">
        <v>325</v>
      </c>
      <c r="C19" s="6">
        <v>0.31936627736751361</v>
      </c>
      <c r="D19" s="4">
        <f t="shared" ref="D19:D31" si="0">0.00145*(B19^1.965)</f>
        <v>125.0889095328819</v>
      </c>
      <c r="E19" s="5">
        <f t="shared" ref="E19:E31" si="1">D19*C19</f>
        <v>39.949179377478181</v>
      </c>
      <c r="G19" s="1">
        <v>1.9999999999999956</v>
      </c>
      <c r="H19" s="1">
        <v>0.91</v>
      </c>
      <c r="L19" t="s">
        <v>32</v>
      </c>
    </row>
    <row r="20" spans="2:12" x14ac:dyDescent="0.45">
      <c r="B20" s="1">
        <v>575</v>
      </c>
      <c r="C20" s="6">
        <v>5.2604183610397218E-2</v>
      </c>
      <c r="D20" s="4">
        <f t="shared" si="0"/>
        <v>383.80914377683172</v>
      </c>
      <c r="E20" s="5">
        <f t="shared" si="1"/>
        <v>20.1899666705858</v>
      </c>
      <c r="G20" s="1">
        <v>1.4000000000000032</v>
      </c>
      <c r="H20" s="1">
        <v>0.74</v>
      </c>
    </row>
    <row r="21" spans="2:12" x14ac:dyDescent="0.45">
      <c r="B21" s="1">
        <v>825</v>
      </c>
      <c r="C21" s="6">
        <v>2.0039688994437033E-2</v>
      </c>
      <c r="D21" s="4">
        <f t="shared" si="0"/>
        <v>780.18933826959619</v>
      </c>
      <c r="E21" s="5">
        <f t="shared" si="1"/>
        <v>15.634751695698338</v>
      </c>
      <c r="G21" s="1">
        <v>0.84999999999999798</v>
      </c>
      <c r="H21" s="1">
        <v>0.55000000000000004</v>
      </c>
    </row>
    <row r="22" spans="2:12" x14ac:dyDescent="0.45">
      <c r="B22" s="1">
        <v>1075</v>
      </c>
      <c r="C22" s="6">
        <v>1.1678974592537169E-2</v>
      </c>
      <c r="D22" s="4">
        <f t="shared" si="0"/>
        <v>1312.4586650232181</v>
      </c>
      <c r="E22" s="5">
        <f t="shared" si="1"/>
        <v>15.328171402561415</v>
      </c>
      <c r="G22" s="1">
        <v>0.71000000000000174</v>
      </c>
      <c r="H22" s="1">
        <v>0.42</v>
      </c>
    </row>
    <row r="23" spans="2:12" x14ac:dyDescent="0.45">
      <c r="B23" s="1">
        <v>1325</v>
      </c>
      <c r="C23" s="6">
        <v>5.6280295390220888E-3</v>
      </c>
      <c r="D23" s="4">
        <f t="shared" si="0"/>
        <v>1979.3482116236132</v>
      </c>
      <c r="E23" s="5">
        <f t="shared" si="1"/>
        <v>11.139830203028239</v>
      </c>
      <c r="G23" s="1">
        <v>0.59999999999999853</v>
      </c>
      <c r="H23" s="1">
        <v>0.3</v>
      </c>
    </row>
    <row r="24" spans="2:12" x14ac:dyDescent="0.45">
      <c r="B24" s="1">
        <v>1575</v>
      </c>
      <c r="C24" s="6">
        <v>3.4483880412505287E-3</v>
      </c>
      <c r="D24" s="4">
        <f t="shared" si="0"/>
        <v>2779.8687981912185</v>
      </c>
      <c r="E24" s="5">
        <f t="shared" si="1"/>
        <v>9.5860663199280776</v>
      </c>
      <c r="G24" s="1">
        <v>0.50000000000000111</v>
      </c>
      <c r="H24" s="1">
        <v>0.18</v>
      </c>
    </row>
    <row r="25" spans="2:12" x14ac:dyDescent="0.45">
      <c r="B25" s="1">
        <v>1825</v>
      </c>
      <c r="C25" s="6">
        <v>1.6265981326653437E-3</v>
      </c>
      <c r="D25" s="4">
        <f t="shared" si="0"/>
        <v>3713.2102397095964</v>
      </c>
      <c r="E25" s="5">
        <f t="shared" si="1"/>
        <v>6.039900842105463</v>
      </c>
      <c r="G25" s="1">
        <v>0.4249999999999991</v>
      </c>
      <c r="H25" s="1">
        <v>0.1</v>
      </c>
    </row>
    <row r="26" spans="2:12" x14ac:dyDescent="0.45">
      <c r="B26" s="1">
        <v>2075</v>
      </c>
      <c r="C26" s="6">
        <v>1.1711506555190474E-3</v>
      </c>
      <c r="D26" s="4">
        <f t="shared" si="0"/>
        <v>4778.6868378916688</v>
      </c>
      <c r="E26" s="5">
        <f t="shared" si="1"/>
        <v>5.5965622227170719</v>
      </c>
      <c r="G26" s="1">
        <v>0.30000000000000066</v>
      </c>
      <c r="H26" s="1">
        <v>2.5000000000000001E-2</v>
      </c>
    </row>
    <row r="27" spans="2:12" x14ac:dyDescent="0.45">
      <c r="B27" s="1">
        <v>2450</v>
      </c>
      <c r="C27" s="6">
        <v>1.1060867302124338E-3</v>
      </c>
      <c r="D27" s="4">
        <f t="shared" si="0"/>
        <v>6623.3752063530937</v>
      </c>
      <c r="E27" s="5">
        <f t="shared" si="1"/>
        <v>7.3260274249651971</v>
      </c>
      <c r="G27" s="1">
        <v>0.14999999999999966</v>
      </c>
      <c r="H27" s="1">
        <v>4.0000000000000001E-3</v>
      </c>
    </row>
    <row r="28" spans="2:12" x14ac:dyDescent="0.45">
      <c r="B28" s="1">
        <v>2950</v>
      </c>
      <c r="C28" s="6">
        <v>5.2051140245290995E-4</v>
      </c>
      <c r="D28" s="4">
        <f t="shared" si="0"/>
        <v>9540.4369033581479</v>
      </c>
      <c r="E28" s="5">
        <f t="shared" si="1"/>
        <v>4.9659061925804471</v>
      </c>
      <c r="G28" s="1">
        <v>7.4999999999999997E-2</v>
      </c>
      <c r="H28" s="1">
        <v>0</v>
      </c>
    </row>
    <row r="29" spans="2:12" x14ac:dyDescent="0.45">
      <c r="B29" s="1">
        <v>3450</v>
      </c>
      <c r="C29" s="6">
        <v>2.2772373857314813E-4</v>
      </c>
      <c r="D29" s="4">
        <f t="shared" si="0"/>
        <v>12977.245603897634</v>
      </c>
      <c r="E29" s="5">
        <f t="shared" si="1"/>
        <v>2.9552268853015207</v>
      </c>
    </row>
    <row r="30" spans="2:12" x14ac:dyDescent="0.45">
      <c r="B30" s="1">
        <v>3950</v>
      </c>
      <c r="C30" s="6">
        <v>6.5063925306613744E-5</v>
      </c>
      <c r="D30" s="4">
        <f t="shared" si="0"/>
        <v>16930.948751398653</v>
      </c>
      <c r="E30" s="5">
        <f t="shared" si="1"/>
        <v>1.1015939849311072</v>
      </c>
    </row>
    <row r="31" spans="2:12" x14ac:dyDescent="0.45">
      <c r="B31" s="1">
        <v>4450</v>
      </c>
      <c r="C31" s="6">
        <v>3.2531962653306872E-5</v>
      </c>
      <c r="D31" s="4">
        <f t="shared" si="0"/>
        <v>21399.095839790938</v>
      </c>
      <c r="E31" s="5">
        <f t="shared" si="1"/>
        <v>0.69615458667461327</v>
      </c>
    </row>
    <row r="32" spans="2:12" x14ac:dyDescent="0.45">
      <c r="C32" s="5">
        <f>SUM(C18:C31)</f>
        <v>1</v>
      </c>
      <c r="D32" s="4" t="s">
        <v>39</v>
      </c>
      <c r="E32" s="4">
        <f>SUM(E18:E31)*365.25</f>
        <v>54487.535278914307</v>
      </c>
      <c r="F32" t="s">
        <v>40</v>
      </c>
    </row>
    <row r="33" spans="4:5" x14ac:dyDescent="0.45">
      <c r="D33" t="s">
        <v>69</v>
      </c>
      <c r="E33" s="3">
        <f>E32/'stage-discharge'!O22</f>
        <v>0.682394526194392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D281-E245-4DD4-BF85-4DA1A4975979}">
  <dimension ref="B2:AL27"/>
  <sheetViews>
    <sheetView tabSelected="1" topLeftCell="B6" workbookViewId="0">
      <selection activeCell="F25" sqref="F25"/>
    </sheetView>
  </sheetViews>
  <sheetFormatPr defaultRowHeight="14.25" x14ac:dyDescent="0.45"/>
  <cols>
    <col min="6" max="6" width="11.73046875" bestFit="1" customWidth="1"/>
    <col min="10" max="10" width="10.73046875" bestFit="1" customWidth="1"/>
    <col min="11" max="11" width="10.46484375" customWidth="1"/>
  </cols>
  <sheetData>
    <row r="2" spans="2:38" x14ac:dyDescent="0.45">
      <c r="I2" t="s">
        <v>56</v>
      </c>
      <c r="J2">
        <f>3.88*0.00000013</f>
        <v>5.0439999999999999E-7</v>
      </c>
      <c r="T2" t="s">
        <v>62</v>
      </c>
      <c r="U2">
        <v>0.05</v>
      </c>
    </row>
    <row r="3" spans="2:38" x14ac:dyDescent="0.45">
      <c r="T3" t="s">
        <v>58</v>
      </c>
      <c r="U3">
        <v>0.05</v>
      </c>
    </row>
    <row r="5" spans="2:38" x14ac:dyDescent="0.45">
      <c r="B5" t="s">
        <v>20</v>
      </c>
      <c r="C5" t="s">
        <v>33</v>
      </c>
      <c r="D5" t="s">
        <v>34</v>
      </c>
      <c r="E5" t="s">
        <v>35</v>
      </c>
      <c r="F5" t="s">
        <v>46</v>
      </c>
      <c r="G5" t="s">
        <v>47</v>
      </c>
      <c r="H5" t="s">
        <v>48</v>
      </c>
      <c r="I5" t="s">
        <v>51</v>
      </c>
      <c r="J5" t="s">
        <v>54</v>
      </c>
      <c r="K5" t="s">
        <v>55</v>
      </c>
      <c r="L5" t="s">
        <v>49</v>
      </c>
      <c r="M5" t="s">
        <v>61</v>
      </c>
      <c r="N5" t="s">
        <v>64</v>
      </c>
      <c r="O5" t="s">
        <v>65</v>
      </c>
      <c r="P5" t="s">
        <v>66</v>
      </c>
      <c r="S5" t="s">
        <v>59</v>
      </c>
      <c r="T5" t="s">
        <v>57</v>
      </c>
    </row>
    <row r="6" spans="2:38" x14ac:dyDescent="0.45">
      <c r="B6" t="s">
        <v>6</v>
      </c>
      <c r="C6" t="s">
        <v>4</v>
      </c>
      <c r="D6" t="s">
        <v>4</v>
      </c>
      <c r="I6" t="s">
        <v>50</v>
      </c>
      <c r="K6" t="s">
        <v>14</v>
      </c>
      <c r="L6" t="s">
        <v>50</v>
      </c>
      <c r="M6" t="s">
        <v>4</v>
      </c>
      <c r="N6" t="s">
        <v>60</v>
      </c>
      <c r="O6" t="s">
        <v>40</v>
      </c>
      <c r="P6" t="s">
        <v>40</v>
      </c>
      <c r="S6" t="s">
        <v>63</v>
      </c>
      <c r="T6">
        <v>7.4999999999999997E-2</v>
      </c>
      <c r="U6">
        <f t="shared" ref="U6:AL6" si="0">T6+0.05</f>
        <v>0.125</v>
      </c>
      <c r="V6">
        <f t="shared" si="0"/>
        <v>0.17499999999999999</v>
      </c>
      <c r="W6">
        <f t="shared" si="0"/>
        <v>0.22499999999999998</v>
      </c>
      <c r="X6">
        <f t="shared" si="0"/>
        <v>0.27499999999999997</v>
      </c>
      <c r="Y6">
        <f t="shared" si="0"/>
        <v>0.32499999999999996</v>
      </c>
      <c r="Z6">
        <f t="shared" si="0"/>
        <v>0.37499999999999994</v>
      </c>
      <c r="AA6">
        <f t="shared" si="0"/>
        <v>0.42499999999999993</v>
      </c>
      <c r="AB6">
        <f t="shared" si="0"/>
        <v>0.47499999999999992</v>
      </c>
      <c r="AC6">
        <f t="shared" si="0"/>
        <v>0.52499999999999991</v>
      </c>
      <c r="AD6">
        <f t="shared" si="0"/>
        <v>0.57499999999999996</v>
      </c>
      <c r="AE6">
        <f t="shared" si="0"/>
        <v>0.625</v>
      </c>
      <c r="AF6">
        <f t="shared" si="0"/>
        <v>0.67500000000000004</v>
      </c>
      <c r="AG6">
        <f t="shared" si="0"/>
        <v>0.72500000000000009</v>
      </c>
      <c r="AH6">
        <f t="shared" si="0"/>
        <v>0.77500000000000013</v>
      </c>
      <c r="AI6">
        <f t="shared" si="0"/>
        <v>0.82500000000000018</v>
      </c>
      <c r="AJ6">
        <f t="shared" si="0"/>
        <v>0.87500000000000022</v>
      </c>
      <c r="AK6">
        <f t="shared" si="0"/>
        <v>0.92500000000000027</v>
      </c>
      <c r="AL6">
        <f t="shared" si="0"/>
        <v>0.97500000000000031</v>
      </c>
    </row>
    <row r="7" spans="2:38" x14ac:dyDescent="0.45">
      <c r="B7" s="1">
        <v>110</v>
      </c>
      <c r="C7" s="3">
        <f>(((B7/('field data'!$C$5*'field data'!$C$9))^2)/(9.81*'field data'!$C$7))^(1/3)</f>
        <v>2.4429758549354159</v>
      </c>
      <c r="D7" s="3">
        <f>IF(C7&gt;'field data'!$C$6,'stage-discharge'!C7-'field data'!$C$6,0)</f>
        <v>0</v>
      </c>
      <c r="E7">
        <f>(C7*'field data'!$C$5*'field data'!$C$9*((9.81*'field data'!$C$7*'stage-discharge'!C7)^0.5))+'stage-discharge'!D7*'field data'!$C$4*'field data'!$C$12*((9.81*'field data'!$C$11*'stage-discharge'!D7)^0.5)-B7</f>
        <v>0</v>
      </c>
      <c r="F7" s="3">
        <f>C7*'field data'!$C$7/(1.65*grain_size_calculator!$G$17/1000)</f>
        <v>0.2390902117106187</v>
      </c>
      <c r="G7" s="11">
        <f>IF(F7&gt;0.06+0.4*(F7^2),0.06+0.4*(F7^2),F7)</f>
        <v>8.2865651734331386E-2</v>
      </c>
      <c r="H7" s="3">
        <f>G7/F7</f>
        <v>0.34658738700113451</v>
      </c>
      <c r="I7" s="11">
        <f>(G7*1.65*9.81*(grain_size_calculator!$G$17/1000))^0.5</f>
        <v>3.4100793575162831E-2</v>
      </c>
      <c r="J7" s="3">
        <f>I7*(grain_size_calculator!$G$18^0.6)/grain_size_calculator!$G$20</f>
        <v>4.0619540126557325</v>
      </c>
      <c r="K7" s="5">
        <f>$J$2*(J7^5)/((1+$J$2*J7^5)/0.3)</f>
        <v>1.6723577138735062E-4</v>
      </c>
      <c r="L7" s="11">
        <f>(F7*1.65*9.81*(grain_size_calculator!$G$17/1000))^0.5</f>
        <v>5.7923941847635857E-2</v>
      </c>
      <c r="M7" s="3">
        <f>11*C7/(EXP(0.41*'field data'!$C$9))</f>
        <v>0.3835100710945038</v>
      </c>
      <c r="N7" s="3">
        <f>K7*L7*C7*S7/0.41</f>
        <v>6.9202349635816333E-7</v>
      </c>
      <c r="O7" s="4">
        <f>N7*'field data'!$C$5*(1.65+1)*60*60*24*365.25</f>
        <v>4340.4218868736343</v>
      </c>
      <c r="P7" s="4">
        <f>O7*'field data'!C18</f>
        <v>2528.2297369619187</v>
      </c>
      <c r="Q7" s="4"/>
      <c r="S7" s="11">
        <f>SUM(T7:AL7)*$U$3</f>
        <v>1.1989421701706589E-2</v>
      </c>
      <c r="T7" s="10">
        <f>(((1-T$6)*$U$2/(T$6*(1-$U$2)))^(grain_size_calculator!$G$20/(0.41*'stage-discharge'!$L7)))*LN(30*$C7*T$6/'stage-discharge'!$M7)</f>
        <v>0.22745124715010237</v>
      </c>
      <c r="U7" s="10">
        <f>(((1-U$6)*$U$2/(U$6*(1-$U$2)))^(grain_size_calculator!$G$20/(0.41*'stage-discharge'!$L7)))*LN(30*$C7*U$6/'stage-discharge'!$M7)</f>
        <v>1.0783388157814098E-2</v>
      </c>
      <c r="V7" s="10">
        <f>(((1-V$6)*$U$2/(V$6*(1-$U$2)))^(grain_size_calculator!$G$20/(0.41*'stage-discharge'!$L7)))*LN(30*$C7*V$6/'stage-discharge'!$M7)</f>
        <v>1.2564648247119388E-3</v>
      </c>
      <c r="W7" s="10">
        <f>(((1-W$6)*$U$2/(W$6*(1-$U$2)))^(grain_size_calculator!$G$20/(0.41*'stage-discharge'!$L7)))*LN(30*$C7*W$6/'stage-discharge'!$M7)</f>
        <v>2.255581709089681E-4</v>
      </c>
      <c r="X7" s="10">
        <f>(((1-X$6)*$U$2/(X$6*(1-$U$2)))^(grain_size_calculator!$G$20/(0.41*'stage-discharge'!$L7)))*LN(30*$C7*X$6/'stage-discharge'!$M7)</f>
        <v>5.1856868975624082E-5</v>
      </c>
      <c r="Y7" s="10">
        <f>(((1-Y$6)*$U$2/(Y$6*(1-$U$2)))^(grain_size_calculator!$G$20/(0.41*'stage-discharge'!$L7)))*LN(30*$C7*Y$6/'stage-discharge'!$M7)</f>
        <v>1.3900906431037786E-5</v>
      </c>
      <c r="Z7" s="10">
        <f>(((1-Z$6)*$U$2/(Z$6*(1-$U$2)))^(grain_size_calculator!$G$20/(0.41*'stage-discharge'!$L7)))*LN(30*$C7*Z$6/'stage-discharge'!$M7)</f>
        <v>4.1092143447534942E-6</v>
      </c>
      <c r="AA7" s="10">
        <f>(((1-AA$6)*$U$2/(AA$6*(1-$U$2)))^(grain_size_calculator!$G$20/(0.41*'stage-discharge'!$L7)))*LN(30*$C7*AA$6/'stage-discharge'!$M7)</f>
        <v>1.2903092210388147E-6</v>
      </c>
      <c r="AB7" s="10">
        <f>(((1-AB$6)*$U$2/(AB$6*(1-$U$2)))^(grain_size_calculator!$G$20/(0.41*'stage-discharge'!$L7)))*LN(30*$C7*AB$6/'stage-discharge'!$M7)</f>
        <v>4.184363561334368E-7</v>
      </c>
      <c r="AC7" s="10">
        <f>(((1-AC$6)*$U$2/(AC$6*(1-$U$2)))^(grain_size_calculator!$G$20/(0.41*'stage-discharge'!$L7)))*LN(30*$C7*AC$6/'stage-discharge'!$M7)</f>
        <v>1.3685858638420851E-7</v>
      </c>
      <c r="AD7" s="10">
        <f>(((1-AD$6)*$U$2/(AD$6*(1-$U$2)))^(grain_size_calculator!$G$20/(0.41*'stage-discharge'!$L7)))*LN(30*$C7*AD$6/'stage-discharge'!$M7)</f>
        <v>4.4141630229390187E-8</v>
      </c>
      <c r="AE7" s="10">
        <f>(((1-AE$6)*$U$2/(AE$6*(1-$U$2)))^(grain_size_calculator!$G$20/(0.41*'stage-discharge'!$L7)))*LN(30*$C7*AE$6/'stage-discharge'!$M7)</f>
        <v>1.3705032605849316E-8</v>
      </c>
      <c r="AF7" s="10">
        <f>(((1-AF$6)*$U$2/(AF$6*(1-$U$2)))^(grain_size_calculator!$G$20/(0.41*'stage-discharge'!$L7)))*LN(30*$C7*AF$6/'stage-discharge'!$M7)</f>
        <v>3.9786101368956362E-9</v>
      </c>
      <c r="AG7" s="10">
        <f>(((1-AG$6)*$U$2/(AG$6*(1-$U$2)))^(grain_size_calculator!$G$20/(0.41*'stage-discharge'!$L7)))*LN(30*$C7*AG$6/'stage-discharge'!$M7)</f>
        <v>1.0384145779578096E-9</v>
      </c>
      <c r="AH7" s="10">
        <f>(((1-AH$6)*$U$2/(AH$6*(1-$U$2)))^(grain_size_calculator!$G$20/(0.41*'stage-discharge'!$L7)))*LN(30*$C7*AH$6/'stage-discharge'!$M7)</f>
        <v>2.2970926201577612E-10</v>
      </c>
      <c r="AI7" s="10">
        <f>(((1-AI$6)*$U$2/(AI$6*(1-$U$2)))^(grain_size_calculator!$G$20/(0.41*'stage-discharge'!$L7)))*LN(30*$C7*AI$6/'stage-discharge'!$M7)</f>
        <v>3.8962952829778398E-11</v>
      </c>
      <c r="AJ7" s="10">
        <f>(((1-AJ$6)*$U$2/(AJ$6*(1-$U$2)))^(grain_size_calculator!$G$20/(0.41*'stage-discharge'!$L7)))*LN(30*$C7*AJ$6/'stage-discharge'!$M7)</f>
        <v>4.1524138093082366E-12</v>
      </c>
      <c r="AK7" s="10">
        <f>(((1-AK$6)*$U$2/(AK$6*(1-$U$2)))^(grain_size_calculator!$G$20/(0.41*'stage-discharge'!$L7)))*LN(30*$C7*AK$6/'stage-discharge'!$M7)</f>
        <v>1.6696765803171198E-13</v>
      </c>
      <c r="AL7" s="10">
        <f>(((1-AL$6)*$U$2/(AL$6*(1-$U$2)))^(grain_size_calculator!$G$20/(0.41*'stage-discharge'!$L7)))*LN(30*$C7*AL$6/'stage-discharge'!$M7)</f>
        <v>2.4024853398420124E-16</v>
      </c>
    </row>
    <row r="8" spans="2:38" x14ac:dyDescent="0.45">
      <c r="B8" s="1">
        <v>325</v>
      </c>
      <c r="C8" s="3">
        <v>4.6479268350009155</v>
      </c>
      <c r="D8" s="3">
        <f>IF(C8&gt;'field data'!$C$6,'stage-discharge'!C8-'field data'!$C$6,0)</f>
        <v>0.14792683500091552</v>
      </c>
      <c r="E8" s="3">
        <f>(C8*'field data'!$C$5*'field data'!$C$9*((9.81*'field data'!$C$7*'stage-discharge'!C8)^0.5))+'stage-discharge'!D8*'field data'!$C$4*'field data'!$C$12*((9.81*'field data'!$C$11*'stage-discharge'!D8)^0.5)-B8</f>
        <v>-9.6805840144043032E-6</v>
      </c>
      <c r="F8" s="3">
        <f>C8*'field data'!$C$7/(1.65*grain_size_calculator!$G$17/1000)</f>
        <v>0.45488530259142212</v>
      </c>
      <c r="G8" s="11">
        <f>IF(F8&gt;0.06+0.4*(F8^2),0.06+0.4*(F8^2),F8)</f>
        <v>0.14276825540547589</v>
      </c>
      <c r="H8" s="3">
        <f t="shared" ref="H8:H20" si="1">G8/F8</f>
        <v>0.31385550289742004</v>
      </c>
      <c r="I8" s="11">
        <f>(G8*1.65*9.81*(grain_size_calculator!$G$17/1000))^0.5</f>
        <v>4.4760304966599253E-2</v>
      </c>
      <c r="J8" s="3">
        <f>I8*(grain_size_calculator!$G$18^0.6)/grain_size_calculator!$G$20</f>
        <v>5.331673586012843</v>
      </c>
      <c r="K8" s="5">
        <f t="shared" ref="K8:K22" si="2">$J$2*(J8^5)/((1+$J$2*J8^5)/0.3)</f>
        <v>6.505359916014297E-4</v>
      </c>
      <c r="L8" s="11">
        <f>(F8*1.65*9.81*(grain_size_calculator!$G$17/1000))^0.5</f>
        <v>7.9896575115522062E-2</v>
      </c>
      <c r="M8" s="3">
        <f>11*C8/(EXP(0.41*'field data'!$C$9))</f>
        <v>0.72965385528969029</v>
      </c>
      <c r="N8" s="3">
        <f t="shared" ref="N8:N20" si="3">K8*L8*C8*S8/0.41</f>
        <v>1.5179175951784187E-5</v>
      </c>
      <c r="O8" s="4">
        <f>N8*'field data'!$C$5*(1.65+1)*60*60*24*365.25</f>
        <v>95204.899649434883</v>
      </c>
      <c r="P8" s="4">
        <f>O8*'field data'!C19</f>
        <v>30405.23438818772</v>
      </c>
      <c r="Q8" s="4"/>
      <c r="S8" s="11">
        <f t="shared" ref="S8:S20" si="4">SUM(T8:AL8)*$U$3</f>
        <v>2.5761626326320331E-2</v>
      </c>
      <c r="T8" s="10">
        <f>(((1-T$6)*$U$2/(T$6*(1-$U$2)))^(grain_size_calculator!$G$20/(0.41*'stage-discharge'!$L8)))*LN(30*$C8*T$6/'stage-discharge'!$M8)</f>
        <v>0.44741927875046106</v>
      </c>
      <c r="U8" s="10">
        <f>(((1-U$6)*$U$2/(U$6*(1-$U$2)))^(grain_size_calculator!$G$20/(0.41*'stage-discharge'!$L8)))*LN(30*$C8*U$6/'stage-discharge'!$M8)</f>
        <v>5.1487128139725766E-2</v>
      </c>
      <c r="V8" s="10">
        <f>(((1-V$6)*$U$2/(V$6*(1-$U$2)))^(grain_size_calculator!$G$20/(0.41*'stage-discharge'!$L8)))*LN(30*$C8*V$6/'stage-discharge'!$M8)</f>
        <v>1.1139974239782018E-2</v>
      </c>
      <c r="W8" s="10">
        <f>(((1-W$6)*$U$2/(W$6*(1-$U$2)))^(grain_size_calculator!$G$20/(0.41*'stage-discharge'!$L8)))*LN(30*$C8*W$6/'stage-discharge'!$M8)</f>
        <v>3.2687553302604981E-3</v>
      </c>
      <c r="X8" s="10">
        <f>(((1-X$6)*$U$2/(X$6*(1-$U$2)))^(grain_size_calculator!$G$20/(0.41*'stage-discharge'!$L8)))*LN(30*$C8*X$6/'stage-discharge'!$M8)</f>
        <v>1.1421451714583284E-3</v>
      </c>
      <c r="Y8" s="10">
        <f>(((1-Y$6)*$U$2/(Y$6*(1-$U$2)))^(grain_size_calculator!$G$20/(0.41*'stage-discharge'!$L8)))*LN(30*$C8*Y$6/'stage-discharge'!$M8)</f>
        <v>4.4476805998558297E-4</v>
      </c>
      <c r="Z8" s="10">
        <f>(((1-Z$6)*$U$2/(Z$6*(1-$U$2)))^(grain_size_calculator!$G$20/(0.41*'stage-discharge'!$L8)))*LN(30*$C8*Z$6/'stage-discharge'!$M8)</f>
        <v>1.8555769490908092E-4</v>
      </c>
      <c r="AA8" s="10">
        <f>(((1-AA$6)*$U$2/(AA$6*(1-$U$2)))^(grain_size_calculator!$G$20/(0.41*'stage-discharge'!$L8)))*LN(30*$C8*AA$6/'stage-discharge'!$M8)</f>
        <v>8.0763042891866788E-5</v>
      </c>
      <c r="AB8" s="10">
        <f>(((1-AB$6)*$U$2/(AB$6*(1-$U$2)))^(grain_size_calculator!$G$20/(0.41*'stage-discharge'!$L8)))*LN(30*$C8*AB$6/'stage-discharge'!$M8)</f>
        <v>3.5944392665201014E-5</v>
      </c>
      <c r="AC8" s="10">
        <f>(((1-AC$6)*$U$2/(AC$6*(1-$U$2)))^(grain_size_calculator!$G$20/(0.41*'stage-discharge'!$L8)))*LN(30*$C8*AC$6/'stage-discharge'!$M8)</f>
        <v>1.6083332154171824E-5</v>
      </c>
      <c r="AD8" s="10">
        <f>(((1-AD$6)*$U$2/(AD$6*(1-$U$2)))^(grain_size_calculator!$G$20/(0.41*'stage-discharge'!$L8)))*LN(30*$C8*AD$6/'stage-discharge'!$M8)</f>
        <v>7.1192659294977641E-6</v>
      </c>
      <c r="AE8" s="10">
        <f>(((1-AE$6)*$U$2/(AE$6*(1-$U$2)))^(grain_size_calculator!$G$20/(0.41*'stage-discharge'!$L8)))*LN(30*$C8*AE$6/'stage-discharge'!$M8)</f>
        <v>3.0638367386689547E-6</v>
      </c>
      <c r="AF8" s="10">
        <f>(((1-AF$6)*$U$2/(AF$6*(1-$U$2)))^(grain_size_calculator!$G$20/(0.41*'stage-discharge'!$L8)))*LN(30*$C8*AF$6/'stage-discharge'!$M8)</f>
        <v>1.2552974100856687E-6</v>
      </c>
      <c r="AG8" s="10">
        <f>(((1-AG$6)*$U$2/(AG$6*(1-$U$2)))^(grain_size_calculator!$G$20/(0.41*'stage-discharge'!$L8)))*LN(30*$C8*AG$6/'stage-discharge'!$M8)</f>
        <v>4.7595016245559523E-7</v>
      </c>
      <c r="AH8" s="10">
        <f>(((1-AH$6)*$U$2/(AH$6*(1-$U$2)))^(grain_size_calculator!$G$20/(0.41*'stage-discharge'!$L8)))*LN(30*$C8*AH$6/'stage-discharge'!$M8)</f>
        <v>1.6001488217470011E-7</v>
      </c>
      <c r="AI8" s="10">
        <f>(((1-AI$6)*$U$2/(AI$6*(1-$U$2)))^(grain_size_calculator!$G$20/(0.41*'stage-discharge'!$L8)))*LN(30*$C8*AI$6/'stage-discharge'!$M8)</f>
        <v>4.4363288425778234E-8</v>
      </c>
      <c r="AJ8" s="10">
        <f>(((1-AJ$6)*$U$2/(AJ$6*(1-$U$2)))^(grain_size_calculator!$G$20/(0.41*'stage-discharge'!$L8)))*LN(30*$C8*AJ$6/'stage-discharge'!$M8)</f>
        <v>8.7793611855392233E-9</v>
      </c>
      <c r="AK8" s="10">
        <f>(((1-AK$6)*$U$2/(AK$6*(1-$U$2)))^(grain_size_calculator!$G$20/(0.41*'stage-discharge'!$L8)))*LN(30*$C8*AK$6/'stage-discharge'!$M8)</f>
        <v>8.5686362023075565E-10</v>
      </c>
      <c r="AL8" s="10">
        <f>(((1-AL$6)*$U$2/(AL$6*(1-$U$2)))^(grain_size_calculator!$G$20/(0.41*'stage-discharge'!$L8)))*LN(30*$C8*AL$6/'stage-discharge'!$M8)</f>
        <v>7.477035173934588E-12</v>
      </c>
    </row>
    <row r="9" spans="2:38" x14ac:dyDescent="0.45">
      <c r="B9" s="1">
        <v>575</v>
      </c>
      <c r="C9" s="3">
        <v>5.0345702051562053</v>
      </c>
      <c r="D9" s="3">
        <f>IF(C9&gt;'field data'!$C$6,'stage-discharge'!C9-'field data'!$C$6,0)</f>
        <v>0.53457020515620535</v>
      </c>
      <c r="E9" s="3">
        <f>(C9*'field data'!$C$5*'field data'!$C$9*((9.81*'field data'!$C$7*'stage-discharge'!C9)^0.5))+'stage-discharge'!D9*'field data'!$C$4*'field data'!$C$12*((9.81*'field data'!$C$11*'stage-discharge'!D9)^0.5)-B9</f>
        <v>1.1514202924445271E-7</v>
      </c>
      <c r="F9" s="3">
        <f>C9*'field data'!$C$7/(1.65*grain_size_calculator!$G$17/1000)</f>
        <v>0.49272548223960738</v>
      </c>
      <c r="G9" s="11">
        <f t="shared" ref="G9:G22" si="5">IF(F9&gt;0.06+0.4*(F9^2),0.06+0.4*(F9^2),F9)</f>
        <v>0.15711136033930145</v>
      </c>
      <c r="H9" s="3">
        <f t="shared" si="1"/>
        <v>0.31886185310566056</v>
      </c>
      <c r="I9" s="11">
        <f>(G9*1.65*9.81*(grain_size_calculator!$G$17/1000))^0.5</f>
        <v>4.6954909198536607E-2</v>
      </c>
      <c r="J9" s="3">
        <f>I9*(grain_size_calculator!$G$18^0.6)/grain_size_calculator!$G$20</f>
        <v>5.5930863137389792</v>
      </c>
      <c r="K9" s="5">
        <f t="shared" si="2"/>
        <v>8.2595540256956955E-4</v>
      </c>
      <c r="L9" s="11">
        <f>(F9*1.65*9.81*(grain_size_calculator!$G$17/1000))^0.5</f>
        <v>8.3153344609591825E-2</v>
      </c>
      <c r="M9" s="3">
        <f>11*C9/(EXP(0.41*'field data'!$C$9))</f>
        <v>0.79035098664975179</v>
      </c>
      <c r="N9" s="3">
        <f t="shared" si="3"/>
        <v>2.3667761454816347E-5</v>
      </c>
      <c r="O9" s="4">
        <f>N9*'field data'!$C$5*(1.65+1)*60*60*24*365.25</f>
        <v>148445.92759119428</v>
      </c>
      <c r="P9" s="4">
        <f>O9*'field data'!C20</f>
        <v>7808.876831222914</v>
      </c>
      <c r="Q9" s="4"/>
      <c r="S9" s="11">
        <f t="shared" si="4"/>
        <v>2.8063531298788094E-2</v>
      </c>
      <c r="T9" s="10">
        <f>(((1-T$6)*$U$2/(T$6*(1-$U$2)))^(grain_size_calculator!$G$20/(0.41*'stage-discharge'!$L9)))*LN(30*$C9*T$6/'stage-discharge'!$M9)</f>
        <v>0.47979066510316593</v>
      </c>
      <c r="U9" s="10">
        <f>(((1-U$6)*$U$2/(U$6*(1-$U$2)))^(grain_size_calculator!$G$20/(0.41*'stage-discharge'!$L9)))*LN(30*$C9*U$6/'stage-discharge'!$M9)</f>
        <v>6.0506006042635063E-2</v>
      </c>
      <c r="V9" s="10">
        <f>(((1-V$6)*$U$2/(V$6*(1-$U$2)))^(grain_size_calculator!$G$20/(0.41*'stage-discharge'!$L9)))*LN(30*$C9*V$6/'stage-discharge'!$M9)</f>
        <v>1.3955203816100983E-2</v>
      </c>
      <c r="W9" s="10">
        <f>(((1-W$6)*$U$2/(W$6*(1-$U$2)))^(grain_size_calculator!$G$20/(0.41*'stage-discharge'!$L9)))*LN(30*$C9*W$6/'stage-discharge'!$M9)</f>
        <v>4.3079096477210846E-3</v>
      </c>
      <c r="X9" s="10">
        <f>(((1-X$6)*$U$2/(X$6*(1-$U$2)))^(grain_size_calculator!$G$20/(0.41*'stage-discharge'!$L9)))*LN(30*$C9*X$6/'stage-discharge'!$M9)</f>
        <v>1.5717198043090908E-3</v>
      </c>
      <c r="Y9" s="10">
        <f>(((1-Y$6)*$U$2/(Y$6*(1-$U$2)))^(grain_size_calculator!$G$20/(0.41*'stage-discharge'!$L9)))*LN(30*$C9*Y$6/'stage-discharge'!$M9)</f>
        <v>6.3610932823670468E-4</v>
      </c>
      <c r="Z9" s="10">
        <f>(((1-Z$6)*$U$2/(Z$6*(1-$U$2)))^(grain_size_calculator!$G$20/(0.41*'stage-discharge'!$L9)))*LN(30*$C9*Z$6/'stage-discharge'!$M9)</f>
        <v>2.7499586756066468E-4</v>
      </c>
      <c r="AA9" s="10">
        <f>(((1-AA$6)*$U$2/(AA$6*(1-$U$2)))^(grain_size_calculator!$G$20/(0.41*'stage-discharge'!$L9)))*LN(30*$C9*AA$6/'stage-discharge'!$M9)</f>
        <v>1.2379421777509626E-4</v>
      </c>
      <c r="AB9" s="10">
        <f>(((1-AB$6)*$U$2/(AB$6*(1-$U$2)))^(grain_size_calculator!$G$20/(0.41*'stage-discharge'!$L9)))*LN(30*$C9*AB$6/'stage-discharge'!$M9)</f>
        <v>5.6926400184775905E-5</v>
      </c>
      <c r="AC9" s="10">
        <f>(((1-AC$6)*$U$2/(AC$6*(1-$U$2)))^(grain_size_calculator!$G$20/(0.41*'stage-discharge'!$L9)))*LN(30*$C9*AC$6/'stage-discharge'!$M9)</f>
        <v>2.630939979679565E-5</v>
      </c>
      <c r="AD9" s="10">
        <f>(((1-AD$6)*$U$2/(AD$6*(1-$U$2)))^(grain_size_calculator!$G$20/(0.41*'stage-discharge'!$L9)))*LN(30*$C9*AD$6/'stage-discharge'!$M9)</f>
        <v>1.2032753225687574E-5</v>
      </c>
      <c r="AE9" s="10">
        <f>(((1-AE$6)*$U$2/(AE$6*(1-$U$2)))^(grain_size_calculator!$G$20/(0.41*'stage-discharge'!$L9)))*LN(30*$C9*AE$6/'stage-discharge'!$M9)</f>
        <v>5.3559424484888571E-6</v>
      </c>
      <c r="AF9" s="10">
        <f>(((1-AF$6)*$U$2/(AF$6*(1-$U$2)))^(grain_size_calculator!$G$20/(0.41*'stage-discharge'!$L9)))*LN(30*$C9*AF$6/'stage-discharge'!$M9)</f>
        <v>2.2738716195608625E-6</v>
      </c>
      <c r="AG9" s="10">
        <f>(((1-AG$6)*$U$2/(AG$6*(1-$U$2)))^(grain_size_calculator!$G$20/(0.41*'stage-discharge'!$L9)))*LN(30*$C9*AG$6/'stage-discharge'!$M9)</f>
        <v>8.9603534863641363E-7</v>
      </c>
      <c r="AH9" s="10">
        <f>(((1-AH$6)*$U$2/(AH$6*(1-$U$2)))^(grain_size_calculator!$G$20/(0.41*'stage-discharge'!$L9)))*LN(30*$C9*AH$6/'stage-discharge'!$M9)</f>
        <v>3.1455289415300632E-7</v>
      </c>
      <c r="AI9" s="10">
        <f>(((1-AI$6)*$U$2/(AI$6*(1-$U$2)))^(grain_size_calculator!$G$20/(0.41*'stage-discharge'!$L9)))*LN(30*$C9*AI$6/'stage-discharge'!$M9)</f>
        <v>9.1746438520914298E-8</v>
      </c>
      <c r="AJ9" s="10">
        <f>(((1-AJ$6)*$U$2/(AJ$6*(1-$U$2)))^(grain_size_calculator!$G$20/(0.41*'stage-discharge'!$L9)))*LN(30*$C9*AJ$6/'stage-discharge'!$M9)</f>
        <v>1.9354438630918691E-8</v>
      </c>
      <c r="AK9" s="10">
        <f>(((1-AK$6)*$U$2/(AK$6*(1-$U$2)))^(grain_size_calculator!$G$20/(0.41*'stage-discharge'!$L9)))*LN(30*$C9*AK$6/'stage-discharge'!$M9)</f>
        <v>2.0701036197879908E-9</v>
      </c>
      <c r="AL9" s="10">
        <f>(((1-AL$6)*$U$2/(AL$6*(1-$U$2)))^(grain_size_calculator!$G$20/(0.41*'stage-discharge'!$L9)))*LN(30*$C9*AL$6/'stage-discharge'!$M9)</f>
        <v>2.1758629854021342E-11</v>
      </c>
    </row>
    <row r="10" spans="2:38" x14ac:dyDescent="0.45">
      <c r="B10" s="1">
        <v>825</v>
      </c>
      <c r="C10" s="3">
        <v>5.3172751487944332</v>
      </c>
      <c r="D10" s="3">
        <f>IF(C10&gt;'field data'!$C$6,'stage-discharge'!C10-'field data'!$C$6,0)</f>
        <v>0.81727514879443319</v>
      </c>
      <c r="E10" s="3">
        <f>(C10*'field data'!$C$5*'field data'!$C$9*((9.81*'field data'!$C$7*'stage-discharge'!C10)^0.5))+'stage-discharge'!D10*'field data'!$C$4*'field data'!$C$12*((9.81*'field data'!$C$11*'stage-discharge'!D10)^0.5)-B10</f>
        <v>-6.27455165158608E-7</v>
      </c>
      <c r="F10" s="3">
        <f>C10*'field data'!$C$7/(1.65*grain_size_calculator!$G$17/1000)</f>
        <v>0.52039337125682794</v>
      </c>
      <c r="G10" s="11">
        <f t="shared" si="5"/>
        <v>0.1683237043392187</v>
      </c>
      <c r="H10" s="3">
        <f t="shared" si="1"/>
        <v>0.32345474334673352</v>
      </c>
      <c r="I10" s="11">
        <f>(G10*1.65*9.81*(grain_size_calculator!$G$17/1000))^0.5</f>
        <v>4.8601519859738457E-2</v>
      </c>
      <c r="J10" s="3">
        <f>I10*(grain_size_calculator!$G$18^0.6)/grain_size_calculator!$G$20</f>
        <v>5.7892241768596211</v>
      </c>
      <c r="K10" s="5">
        <f t="shared" si="2"/>
        <v>9.8078994177397297E-4</v>
      </c>
      <c r="L10" s="11">
        <f>(F10*1.65*9.81*(grain_size_calculator!$G$17/1000))^0.5</f>
        <v>8.5456103874177861E-2</v>
      </c>
      <c r="M10" s="3">
        <f>11*C10/(EXP(0.41*'field data'!$C$9))</f>
        <v>0.83473136511907997</v>
      </c>
      <c r="N10" s="3">
        <f t="shared" si="3"/>
        <v>3.2314151027575533E-5</v>
      </c>
      <c r="O10" s="4">
        <f>N10*'field data'!$C$5*(1.65+1)*60*60*24*365.25</f>
        <v>202676.71417797872</v>
      </c>
      <c r="P10" s="4">
        <f>O10*'field data'!C21</f>
        <v>4061.5783185411001</v>
      </c>
      <c r="Q10" s="4"/>
      <c r="S10" s="11">
        <f t="shared" si="4"/>
        <v>2.9728184060005481E-2</v>
      </c>
      <c r="T10" s="10">
        <f>(((1-T$6)*$U$2/(T$6*(1-$U$2)))^(grain_size_calculator!$G$20/(0.41*'stage-discharge'!$L10)))*LN(30*$C10*T$6/'stage-discharge'!$M10)</f>
        <v>0.50246602488254666</v>
      </c>
      <c r="U10" s="10">
        <f>(((1-U$6)*$U$2/(U$6*(1-$U$2)))^(grain_size_calculator!$G$20/(0.41*'stage-discharge'!$L10)))*LN(30*$C10*U$6/'stage-discharge'!$M10)</f>
        <v>6.7319251980760525E-2</v>
      </c>
      <c r="V10" s="10">
        <f>(((1-V$6)*$U$2/(V$6*(1-$U$2)))^(grain_size_calculator!$G$20/(0.41*'stage-discharge'!$L10)))*LN(30*$C10*V$6/'stage-discharge'!$M10)</f>
        <v>1.6196570875388422E-2</v>
      </c>
      <c r="W10" s="10">
        <f>(((1-W$6)*$U$2/(W$6*(1-$U$2)))^(grain_size_calculator!$G$20/(0.41*'stage-discharge'!$L10)))*LN(30*$C10*W$6/'stage-discharge'!$M10)</f>
        <v>5.1703299490743274E-3</v>
      </c>
      <c r="X10" s="10">
        <f>(((1-X$6)*$U$2/(X$6*(1-$U$2)))^(grain_size_calculator!$G$20/(0.41*'stage-discharge'!$L10)))*LN(30*$C10*X$6/'stage-discharge'!$M10)</f>
        <v>1.9410415123486502E-3</v>
      </c>
      <c r="Y10" s="10">
        <f>(((1-Y$6)*$U$2/(Y$6*(1-$U$2)))^(grain_size_calculator!$G$20/(0.41*'stage-discharge'!$L10)))*LN(30*$C10*Y$6/'stage-discharge'!$M10)</f>
        <v>8.0586191481196311E-4</v>
      </c>
      <c r="Z10" s="10">
        <f>(((1-Z$6)*$U$2/(Z$6*(1-$U$2)))^(grain_size_calculator!$G$20/(0.41*'stage-discharge'!$L10)))*LN(30*$C10*Z$6/'stage-discharge'!$M10)</f>
        <v>3.5667108449816408E-4</v>
      </c>
      <c r="AA10" s="10">
        <f>(((1-AA$6)*$U$2/(AA$6*(1-$U$2)))^(grain_size_calculator!$G$20/(0.41*'stage-discharge'!$L10)))*LN(30*$C10*AA$6/'stage-discharge'!$M10)</f>
        <v>1.6418007995358395E-4</v>
      </c>
      <c r="AB10" s="10">
        <f>(((1-AB$6)*$U$2/(AB$6*(1-$U$2)))^(grain_size_calculator!$G$20/(0.41*'stage-discharge'!$L10)))*LN(30*$C10*AB$6/'stage-discharge'!$M10)</f>
        <v>7.7146747050265964E-5</v>
      </c>
      <c r="AC10" s="10">
        <f>(((1-AC$6)*$U$2/(AC$6*(1-$U$2)))^(grain_size_calculator!$G$20/(0.41*'stage-discharge'!$L10)))*LN(30*$C10*AC$6/'stage-discharge'!$M10)</f>
        <v>3.6425405744912479E-5</v>
      </c>
      <c r="AD10" s="10">
        <f>(((1-AD$6)*$U$2/(AD$6*(1-$U$2)))^(grain_size_calculator!$G$20/(0.41*'stage-discharge'!$L10)))*LN(30*$C10*AD$6/'stage-discharge'!$M10)</f>
        <v>1.7023241554924039E-5</v>
      </c>
      <c r="AE10" s="10">
        <f>(((1-AE$6)*$U$2/(AE$6*(1-$U$2)))^(grain_size_calculator!$G$20/(0.41*'stage-discharge'!$L10)))*LN(30*$C10*AE$6/'stage-discharge'!$M10)</f>
        <v>7.7480340663904262E-6</v>
      </c>
      <c r="AF10" s="10">
        <f>(((1-AF$6)*$U$2/(AF$6*(1-$U$2)))^(grain_size_calculator!$G$20/(0.41*'stage-discharge'!$L10)))*LN(30*$C10*AF$6/'stage-discharge'!$M10)</f>
        <v>3.3677080006145239E-6</v>
      </c>
      <c r="AG10" s="10">
        <f>(((1-AG$6)*$U$2/(AG$6*(1-$U$2)))^(grain_size_calculator!$G$20/(0.41*'stage-discharge'!$L10)))*LN(30*$C10*AG$6/'stage-discharge'!$M10)</f>
        <v>1.361328069304461E-6</v>
      </c>
      <c r="AH10" s="10">
        <f>(((1-AH$6)*$U$2/(AH$6*(1-$U$2)))^(grain_size_calculator!$G$20/(0.41*'stage-discharge'!$L10)))*LN(30*$C10*AH$6/'stage-discharge'!$M10)</f>
        <v>4.9174433684642879E-7</v>
      </c>
      <c r="AI10" s="10">
        <f>(((1-AI$6)*$U$2/(AI$6*(1-$U$2)))^(grain_size_calculator!$G$20/(0.41*'stage-discharge'!$L10)))*LN(30*$C10*AI$6/'stage-discharge'!$M10)</f>
        <v>1.4831998639245196E-7</v>
      </c>
      <c r="AJ10" s="10">
        <f>(((1-AJ$6)*$U$2/(AJ$6*(1-$U$2)))^(grain_size_calculator!$G$20/(0.41*'stage-discharge'!$L10)))*LN(30*$C10*AJ$6/'stage-discharge'!$M10)</f>
        <v>3.2639022114342691E-8</v>
      </c>
      <c r="AK10" s="10">
        <f>(((1-AK$6)*$U$2/(AK$6*(1-$U$2)))^(grain_size_calculator!$G$20/(0.41*'stage-discharge'!$L10)))*LN(30*$C10*AK$6/'stage-discharge'!$M10)</f>
        <v>3.7088095432007677E-9</v>
      </c>
      <c r="AL10" s="10">
        <f>(((1-AL$6)*$U$2/(AL$6*(1-$U$2)))^(grain_size_calculator!$G$20/(0.41*'stage-discharge'!$L10)))*LN(30*$C10*AL$6/'stage-discharge'!$M10)</f>
        <v>4.4086204777728478E-11</v>
      </c>
    </row>
    <row r="11" spans="2:38" x14ac:dyDescent="0.45">
      <c r="B11" s="1">
        <v>1075</v>
      </c>
      <c r="C11" s="3">
        <v>5.5604231027299775</v>
      </c>
      <c r="D11" s="3">
        <f>IF(C11&gt;'field data'!$C$6,'stage-discharge'!C11-'field data'!$C$6,0)</f>
        <v>1.0604231027299775</v>
      </c>
      <c r="E11" s="3">
        <f>(C11*'field data'!$C$5*'field data'!$C$9*((9.81*'field data'!$C$7*'stage-discharge'!C11)^0.5))+'stage-discharge'!D11*'field data'!$C$4*'field data'!$C$12*((9.81*'field data'!$C$11*'stage-discharge'!D11)^0.5)-B11</f>
        <v>-2.2634516881225863E-5</v>
      </c>
      <c r="F11" s="3">
        <f>C11*'field data'!$C$7/(1.65*grain_size_calculator!$G$17/1000)</f>
        <v>0.54418987979210776</v>
      </c>
      <c r="G11" s="11">
        <f t="shared" si="5"/>
        <v>0.17845705010725949</v>
      </c>
      <c r="H11" s="3">
        <f t="shared" si="1"/>
        <v>0.32793158552568807</v>
      </c>
      <c r="I11" s="11">
        <f>(G11*1.65*9.81*(grain_size_calculator!$G$17/1000))^0.5</f>
        <v>5.0043083932657849E-2</v>
      </c>
      <c r="J11" s="3">
        <f>I11*(grain_size_calculator!$G$18^0.6)/grain_size_calculator!$G$20</f>
        <v>5.9609376872091318</v>
      </c>
      <c r="K11" s="5">
        <f t="shared" si="2"/>
        <v>1.1345501543523482E-3</v>
      </c>
      <c r="L11" s="11">
        <f>(F11*1.65*9.81*(grain_size_calculator!$G$17/1000))^0.5</f>
        <v>8.7388128995243702E-2</v>
      </c>
      <c r="M11" s="3">
        <f>11*C11/(EXP(0.41*'field data'!$C$9))</f>
        <v>0.87290189755062919</v>
      </c>
      <c r="N11" s="3">
        <f t="shared" si="3"/>
        <v>4.1882620441788464E-5</v>
      </c>
      <c r="O11" s="4">
        <f>N11*'field data'!$C$5*(1.65+1)*60*60*24*365.25</f>
        <v>262690.85284218949</v>
      </c>
      <c r="P11" s="4">
        <f>O11*'field data'!C22</f>
        <v>3067.9597960358515</v>
      </c>
      <c r="Q11" s="4"/>
      <c r="S11" s="11">
        <f t="shared" si="4"/>
        <v>3.1148255137907199E-2</v>
      </c>
      <c r="T11" s="10">
        <f>(((1-T$6)*$U$2/(T$6*(1-$U$2)))^(grain_size_calculator!$G$20/(0.41*'stage-discharge'!$L11)))*LN(30*$C11*T$6/'stage-discharge'!$M11)</f>
        <v>0.52133570523131023</v>
      </c>
      <c r="U11" s="10">
        <f>(((1-U$6)*$U$2/(U$6*(1-$U$2)))^(grain_size_calculator!$G$20/(0.41*'stage-discharge'!$L11)))*LN(30*$C11*U$6/'stage-discharge'!$M11)</f>
        <v>7.3305287385252785E-2</v>
      </c>
      <c r="V11" s="10">
        <f>(((1-V$6)*$U$2/(V$6*(1-$U$2)))^(grain_size_calculator!$G$20/(0.41*'stage-discharge'!$L11)))*LN(30*$C11*V$6/'stage-discharge'!$M11)</f>
        <v>1.8241713894973137E-2</v>
      </c>
      <c r="W11" s="10">
        <f>(((1-W$6)*$U$2/(W$6*(1-$U$2)))^(grain_size_calculator!$G$20/(0.41*'stage-discharge'!$L11)))*LN(30*$C11*W$6/'stage-discharge'!$M11)</f>
        <v>5.9812033384988392E-3</v>
      </c>
      <c r="X11" s="10">
        <f>(((1-X$6)*$U$2/(X$6*(1-$U$2)))^(grain_size_calculator!$G$20/(0.41*'stage-discharge'!$L11)))*LN(30*$C11*X$6/'stage-discharge'!$M11)</f>
        <v>2.2972646897165107E-3</v>
      </c>
      <c r="Y11" s="10">
        <f>(((1-Y$6)*$U$2/(Y$6*(1-$U$2)))^(grain_size_calculator!$G$20/(0.41*'stage-discharge'!$L11)))*LN(30*$C11*Y$6/'stage-discharge'!$M11)</f>
        <v>9.7336086092552525E-4</v>
      </c>
      <c r="Z11" s="10">
        <f>(((1-Z$6)*$U$2/(Z$6*(1-$U$2)))^(grain_size_calculator!$G$20/(0.41*'stage-discharge'!$L11)))*LN(30*$C11*Z$6/'stage-discharge'!$M11)</f>
        <v>4.3896971495348866E-4</v>
      </c>
      <c r="AA11" s="10">
        <f>(((1-AA$6)*$U$2/(AA$6*(1-$U$2)))^(grain_size_calculator!$G$20/(0.41*'stage-discharge'!$L11)))*LN(30*$C11*AA$6/'stage-discharge'!$M11)</f>
        <v>2.0569030028327602E-4</v>
      </c>
      <c r="AB11" s="10">
        <f>(((1-AB$6)*$U$2/(AB$6*(1-$U$2)))^(grain_size_calculator!$G$20/(0.41*'stage-discharge'!$L11)))*LN(30*$C11*AB$6/'stage-discharge'!$M11)</f>
        <v>9.8333724408192227E-5</v>
      </c>
      <c r="AC11" s="10">
        <f>(((1-AC$6)*$U$2/(AC$6*(1-$U$2)))^(grain_size_calculator!$G$20/(0.41*'stage-discharge'!$L11)))*LN(30*$C11*AC$6/'stage-discharge'!$M11)</f>
        <v>4.7228652837300524E-5</v>
      </c>
      <c r="AD11" s="10">
        <f>(((1-AD$6)*$U$2/(AD$6*(1-$U$2)))^(grain_size_calculator!$G$20/(0.41*'stage-discharge'!$L11)))*LN(30*$C11*AD$6/'stage-discharge'!$M11)</f>
        <v>2.2456131462361081E-5</v>
      </c>
      <c r="AE11" s="10">
        <f>(((1-AE$6)*$U$2/(AE$6*(1-$U$2)))^(grain_size_calculator!$G$20/(0.41*'stage-discharge'!$L11)))*LN(30*$C11*AE$6/'stage-discharge'!$M11)</f>
        <v>1.0404252770581822E-5</v>
      </c>
      <c r="AF11" s="10">
        <f>(((1-AF$6)*$U$2/(AF$6*(1-$U$2)))^(grain_size_calculator!$G$20/(0.41*'stage-discharge'!$L11)))*LN(30*$C11*AF$6/'stage-discharge'!$M11)</f>
        <v>4.6079441925830269E-6</v>
      </c>
      <c r="AG11" s="10">
        <f>(((1-AG$6)*$U$2/(AG$6*(1-$U$2)))^(grain_size_calculator!$G$20/(0.41*'stage-discharge'!$L11)))*LN(30*$C11*AG$6/'stage-discharge'!$M11)</f>
        <v>1.900958410522249E-6</v>
      </c>
      <c r="AH11" s="10">
        <f>(((1-AH$6)*$U$2/(AH$6*(1-$U$2)))^(grain_size_calculator!$G$20/(0.41*'stage-discharge'!$L11)))*LN(30*$C11*AH$6/'stage-discharge'!$M11)</f>
        <v>7.0251417011335143E-7</v>
      </c>
      <c r="AI11" s="10">
        <f>(((1-AI$6)*$U$2/(AI$6*(1-$U$2)))^(grain_size_calculator!$G$20/(0.41*'stage-discharge'!$L11)))*LN(30*$C11*AI$6/'stage-discharge'!$M11)</f>
        <v>2.1764221770554602E-7</v>
      </c>
      <c r="AJ11" s="10">
        <f>(((1-AJ$6)*$U$2/(AJ$6*(1-$U$2)))^(grain_size_calculator!$G$20/(0.41*'stage-discharge'!$L11)))*LN(30*$C11*AJ$6/'stage-discharge'!$M11)</f>
        <v>4.953670884563825E-8</v>
      </c>
      <c r="AK11" s="10">
        <f>(((1-AK$6)*$U$2/(AK$6*(1-$U$2)))^(grain_size_calculator!$G$20/(0.41*'stage-discharge'!$L11)))*LN(30*$C11*AK$6/'stage-discharge'!$M11)</f>
        <v>5.9075824701893148E-9</v>
      </c>
      <c r="AL11" s="10">
        <f>(((1-AL$6)*$U$2/(AL$6*(1-$U$2)))^(grain_size_calculator!$G$20/(0.41*'stage-discharge'!$L11)))*LN(30*$C11*AL$6/'stage-discharge'!$M11)</f>
        <v>7.7469832482735289E-11</v>
      </c>
    </row>
    <row r="12" spans="2:38" x14ac:dyDescent="0.45">
      <c r="B12" s="1">
        <v>1325</v>
      </c>
      <c r="C12" s="3">
        <v>5.7799855900434043</v>
      </c>
      <c r="D12" s="3">
        <f>IF(C12&gt;'field data'!$C$6,'stage-discharge'!C12-'field data'!$C$6,0)</f>
        <v>1.2799855900434043</v>
      </c>
      <c r="E12" s="3">
        <f>(C12*'field data'!$C$5*'field data'!$C$9*((9.81*'field data'!$C$7*'stage-discharge'!C12)^0.5))+'stage-discharge'!D12*'field data'!$C$4*'field data'!$C$12*((9.81*'field data'!$C$11*'stage-discharge'!D12)^0.5)-B12</f>
        <v>1.9675723319778626E-4</v>
      </c>
      <c r="F12" s="3">
        <f>C12*'field data'!$C$7/(1.65*grain_size_calculator!$G$17/1000)</f>
        <v>0.56567811573575155</v>
      </c>
      <c r="G12" s="11">
        <f t="shared" si="5"/>
        <v>0.18799669224894014</v>
      </c>
      <c r="H12" s="3">
        <f t="shared" si="1"/>
        <v>0.33233863396751961</v>
      </c>
      <c r="I12" s="11">
        <f>(G12*1.65*9.81*(grain_size_calculator!$G$17/1000))^0.5</f>
        <v>5.1363228564582399E-2</v>
      </c>
      <c r="J12" s="3">
        <f>I12*(grain_size_calculator!$G$18^0.6)/grain_size_calculator!$G$20</f>
        <v>6.1181881855915945</v>
      </c>
      <c r="K12" s="5">
        <f t="shared" si="2"/>
        <v>1.2916255626831332E-3</v>
      </c>
      <c r="L12" s="11">
        <f>(F12*1.65*9.81*(grain_size_calculator!$G$17/1000))^0.5</f>
        <v>8.9096757569316801E-2</v>
      </c>
      <c r="M12" s="3">
        <f>11*C12/(EXP(0.41*'field data'!$C$9))</f>
        <v>0.90736987026887961</v>
      </c>
      <c r="N12" s="3">
        <f t="shared" si="3"/>
        <v>5.259916326452856E-5</v>
      </c>
      <c r="O12" s="4">
        <f>N12*'field data'!$C$5*(1.65+1)*60*60*24*365.25</f>
        <v>329905.79173404147</v>
      </c>
      <c r="P12" s="4">
        <f>O12*'field data'!C23</f>
        <v>1856.7195409736546</v>
      </c>
      <c r="Q12" s="4"/>
      <c r="S12" s="11">
        <f t="shared" si="4"/>
        <v>3.2421821140597822E-2</v>
      </c>
      <c r="T12" s="10">
        <f>(((1-T$6)*$U$2/(T$6*(1-$U$2)))^(grain_size_calculator!$G$20/(0.41*'stage-discharge'!$L12)))*LN(30*$C12*T$6/'stage-discharge'!$M12)</f>
        <v>0.53789605707505728</v>
      </c>
      <c r="U12" s="10">
        <f>(((1-U$6)*$U$2/(U$6*(1-$U$2)))^(grain_size_calculator!$G$20/(0.41*'stage-discharge'!$L12)))*LN(30*$C12*U$6/'stage-discharge'!$M12)</f>
        <v>7.8798257060028923E-2</v>
      </c>
      <c r="V12" s="10">
        <f>(((1-V$6)*$U$2/(V$6*(1-$U$2)))^(grain_size_calculator!$G$20/(0.41*'stage-discharge'!$L12)))*LN(30*$C12*V$6/'stage-discharge'!$M12)</f>
        <v>2.0177653500853199E-2</v>
      </c>
      <c r="W12" s="10">
        <f>(((1-W$6)*$U$2/(W$6*(1-$U$2)))^(grain_size_calculator!$G$20/(0.41*'stage-discharge'!$L12)))*LN(30*$C12*W$6/'stage-discharge'!$M12)</f>
        <v>6.7679422481841016E-3</v>
      </c>
      <c r="X12" s="10">
        <f>(((1-X$6)*$U$2/(X$6*(1-$U$2)))^(grain_size_calculator!$G$20/(0.41*'stage-discharge'!$L12)))*LN(30*$C12*X$6/'stage-discharge'!$M12)</f>
        <v>2.6502182977699738E-3</v>
      </c>
      <c r="Y12" s="10">
        <f>(((1-Y$6)*$U$2/(Y$6*(1-$U$2)))^(grain_size_calculator!$G$20/(0.41*'stage-discharge'!$L12)))*LN(30*$C12*Y$6/'stage-discharge'!$M12)</f>
        <v>1.1424583332901987E-3</v>
      </c>
      <c r="Z12" s="10">
        <f>(((1-Z$6)*$U$2/(Z$6*(1-$U$2)))^(grain_size_calculator!$G$20/(0.41*'stage-discharge'!$L12)))*LN(30*$C12*Z$6/'stage-discharge'!$M12)</f>
        <v>5.2350044410877914E-4</v>
      </c>
      <c r="AA12" s="10">
        <f>(((1-AA$6)*$U$2/(AA$6*(1-$U$2)))^(grain_size_calculator!$G$20/(0.41*'stage-discharge'!$L12)))*LN(30*$C12*AA$6/'stage-discharge'!$M12)</f>
        <v>2.490292482950172E-4</v>
      </c>
      <c r="AB12" s="10">
        <f>(((1-AB$6)*$U$2/(AB$6*(1-$U$2)))^(grain_size_calculator!$G$20/(0.41*'stage-discharge'!$L12)))*LN(30*$C12*AB$6/'stage-discharge'!$M12)</f>
        <v>1.2080741802912217E-4</v>
      </c>
      <c r="AC12" s="10">
        <f>(((1-AC$6)*$U$2/(AC$6*(1-$U$2)))^(grain_size_calculator!$G$20/(0.41*'stage-discharge'!$L12)))*LN(30*$C12*AC$6/'stage-discharge'!$M12)</f>
        <v>5.8869104130656742E-5</v>
      </c>
      <c r="AD12" s="10">
        <f>(((1-AD$6)*$U$2/(AD$6*(1-$U$2)))^(grain_size_calculator!$G$20/(0.41*'stage-discharge'!$L12)))*LN(30*$C12*AD$6/'stage-discharge'!$M12)</f>
        <v>2.8403468645095924E-5</v>
      </c>
      <c r="AE12" s="10">
        <f>(((1-AE$6)*$U$2/(AE$6*(1-$U$2)))^(grain_size_calculator!$G$20/(0.41*'stage-discharge'!$L12)))*LN(30*$C12*AE$6/'stage-discharge'!$M12)</f>
        <v>1.3359843847468722E-5</v>
      </c>
      <c r="AF12" s="10">
        <f>(((1-AF$6)*$U$2/(AF$6*(1-$U$2)))^(grain_size_calculator!$G$20/(0.41*'stage-discharge'!$L12)))*LN(30*$C12*AF$6/'stage-discharge'!$M12)</f>
        <v>6.0119270607011776E-6</v>
      </c>
      <c r="AG12" s="10">
        <f>(((1-AG$6)*$U$2/(AG$6*(1-$U$2)))^(grain_size_calculator!$G$20/(0.41*'stage-discharge'!$L12)))*LN(30*$C12*AG$6/'stage-discharge'!$M12)</f>
        <v>2.5233354405723193E-6</v>
      </c>
      <c r="AH12" s="10">
        <f>(((1-AH$6)*$U$2/(AH$6*(1-$U$2)))^(grain_size_calculator!$G$20/(0.41*'stage-discharge'!$L12)))*LN(30*$C12*AH$6/'stage-discharge'!$M12)</f>
        <v>9.5073612146688394E-7</v>
      </c>
      <c r="AI12" s="10">
        <f>(((1-AI$6)*$U$2/(AI$6*(1-$U$2)))^(grain_size_calculator!$G$20/(0.41*'stage-discharge'!$L12)))*LN(30*$C12*AI$6/'stage-discharge'!$M12)</f>
        <v>3.0130830720899801E-7</v>
      </c>
      <c r="AJ12" s="10">
        <f>(((1-AJ$6)*$U$2/(AJ$6*(1-$U$2)))^(grain_size_calculator!$G$20/(0.41*'stage-discharge'!$L12)))*LN(30*$C12*AJ$6/'stage-discharge'!$M12)</f>
        <v>7.0569789406658074E-8</v>
      </c>
      <c r="AK12" s="10">
        <f>(((1-AK$6)*$U$2/(AK$6*(1-$U$2)))^(grain_size_calculator!$G$20/(0.41*'stage-discharge'!$L12)))*LN(30*$C12*AK$6/'stage-discharge'!$M12)</f>
        <v>8.7680271340442756E-9</v>
      </c>
      <c r="AL12" s="10">
        <f>(((1-AL$6)*$U$2/(AL$6*(1-$U$2)))^(grain_size_calculator!$G$20/(0.41*'stage-discharge'!$L12)))*LN(30*$C12*AL$6/'stage-discharge'!$M12)</f>
        <v>1.2497002608497434E-10</v>
      </c>
    </row>
    <row r="13" spans="2:38" x14ac:dyDescent="0.45">
      <c r="B13" s="1">
        <v>1575</v>
      </c>
      <c r="C13" s="3">
        <v>5.9831792597890008</v>
      </c>
      <c r="D13" s="3">
        <f>IF(C13&gt;'field data'!$C$6,'stage-discharge'!C13-'field data'!$C$6,0)</f>
        <v>1.4831792597890008</v>
      </c>
      <c r="E13" s="3">
        <f>(C13*'field data'!$C$5*'field data'!$C$9*((9.81*'field data'!$C$7*'stage-discharge'!C13)^0.5))+'stage-discharge'!D13*'field data'!$C$4*'field data'!$C$12*((9.81*'field data'!$C$11*'stage-discharge'!D13)^0.5)-B13</f>
        <v>-1.8546188584878109E-8</v>
      </c>
      <c r="F13" s="3">
        <f>C13*'field data'!$C$7/(1.65*grain_size_calculator!$G$17/1000)</f>
        <v>0.58556436120133204</v>
      </c>
      <c r="G13" s="11">
        <f t="shared" si="5"/>
        <v>0.19715424844364962</v>
      </c>
      <c r="H13" s="3">
        <f t="shared" si="1"/>
        <v>0.336690996766217</v>
      </c>
      <c r="I13" s="11">
        <f>(G13*1.65*9.81*(grain_size_calculator!$G$17/1000))^0.5</f>
        <v>5.2599338279779848E-2</v>
      </c>
      <c r="J13" s="3">
        <f>I13*(grain_size_calculator!$G$18^0.6)/grain_size_calculator!$G$20</f>
        <v>6.2654287712589634</v>
      </c>
      <c r="K13" s="5">
        <f t="shared" si="2"/>
        <v>1.4539197521875897E-3</v>
      </c>
      <c r="L13" s="11">
        <f>(F13*1.65*9.81*(grain_size_calculator!$G$17/1000))^0.5</f>
        <v>9.0649315471183864E-2</v>
      </c>
      <c r="M13" s="3">
        <f>11*C13/(EXP(0.41*'field data'!$C$9))</f>
        <v>0.93926818746782181</v>
      </c>
      <c r="N13" s="3">
        <f t="shared" si="3"/>
        <v>6.4611096280536815E-5</v>
      </c>
      <c r="O13" s="4">
        <f>N13*'field data'!$C$5*(1.65+1)*60*60*24*365.25</f>
        <v>405245.51248155534</v>
      </c>
      <c r="P13" s="4">
        <f>O13*'field data'!C24</f>
        <v>1397.4437790118373</v>
      </c>
      <c r="Q13" s="4"/>
      <c r="S13" s="11">
        <f t="shared" si="4"/>
        <v>3.3593401943229927E-2</v>
      </c>
      <c r="T13" s="10">
        <f>(((1-T$6)*$U$2/(T$6*(1-$U$2)))^(grain_size_calculator!$G$20/(0.41*'stage-discharge'!$L13)))*LN(30*$C13*T$6/'stage-discharge'!$M13)</f>
        <v>0.55283404662346602</v>
      </c>
      <c r="U13" s="10">
        <f>(((1-U$6)*$U$2/(U$6*(1-$U$2)))^(grain_size_calculator!$G$20/(0.41*'stage-discharge'!$L13)))*LN(30*$C13*U$6/'stage-discharge'!$M13)</f>
        <v>8.3947085646456129E-2</v>
      </c>
      <c r="V13" s="10">
        <f>(((1-V$6)*$U$2/(V$6*(1-$U$2)))^(grain_size_calculator!$G$20/(0.41*'stage-discharge'!$L13)))*LN(30*$C13*V$6/'stage-discharge'!$M13)</f>
        <v>2.2041565600284301E-2</v>
      </c>
      <c r="W13" s="10">
        <f>(((1-W$6)*$U$2/(W$6*(1-$U$2)))^(grain_size_calculator!$G$20/(0.41*'stage-discharge'!$L13)))*LN(30*$C13*W$6/'stage-discharge'!$M13)</f>
        <v>7.5416807116592119E-3</v>
      </c>
      <c r="X13" s="10">
        <f>(((1-X$6)*$U$2/(X$6*(1-$U$2)))^(grain_size_calculator!$G$20/(0.41*'stage-discharge'!$L13)))*LN(30*$C13*X$6/'stage-discharge'!$M13)</f>
        <v>3.0036788285452941E-3</v>
      </c>
      <c r="Y13" s="10">
        <f>(((1-Y$6)*$U$2/(Y$6*(1-$U$2)))^(grain_size_calculator!$G$20/(0.41*'stage-discharge'!$L13)))*LN(30*$C13*Y$6/'stage-discharge'!$M13)</f>
        <v>1.3145537945575697E-3</v>
      </c>
      <c r="Z13" s="10">
        <f>(((1-Z$6)*$U$2/(Z$6*(1-$U$2)))^(grain_size_calculator!$G$20/(0.41*'stage-discharge'!$L13)))*LN(30*$C13*Z$6/'stage-discharge'!$M13)</f>
        <v>6.108199937121478E-4</v>
      </c>
      <c r="AA13" s="10">
        <f>(((1-AA$6)*$U$2/(AA$6*(1-$U$2)))^(grain_size_calculator!$G$20/(0.41*'stage-discharge'!$L13)))*LN(30*$C13*AA$6/'stage-discharge'!$M13)</f>
        <v>2.9443381269789827E-4</v>
      </c>
      <c r="AB13" s="10">
        <f>(((1-AB$6)*$U$2/(AB$6*(1-$U$2)))^(grain_size_calculator!$G$20/(0.41*'stage-discharge'!$L13)))*LN(30*$C13*AB$6/'stage-discharge'!$M13)</f>
        <v>1.4467627680535419E-4</v>
      </c>
      <c r="AC13" s="10">
        <f>(((1-AC$6)*$U$2/(AC$6*(1-$U$2)))^(grain_size_calculator!$G$20/(0.41*'stage-discharge'!$L13)))*LN(30*$C13*AC$6/'stage-discharge'!$M13)</f>
        <v>7.1400564580632544E-5</v>
      </c>
      <c r="AD13" s="10">
        <f>(((1-AD$6)*$U$2/(AD$6*(1-$U$2)))^(grain_size_calculator!$G$20/(0.41*'stage-discharge'!$L13)))*LN(30*$C13*AD$6/'stage-discharge'!$M13)</f>
        <v>3.4894099480163136E-5</v>
      </c>
      <c r="AE13" s="10">
        <f>(((1-AE$6)*$U$2/(AE$6*(1-$U$2)))^(grain_size_calculator!$G$20/(0.41*'stage-discharge'!$L13)))*LN(30*$C13*AE$6/'stage-discharge'!$M13)</f>
        <v>1.6631182635006267E-5</v>
      </c>
      <c r="AF13" s="10">
        <f>(((1-AF$6)*$U$2/(AF$6*(1-$U$2)))^(grain_size_calculator!$G$20/(0.41*'stage-discharge'!$L13)))*LN(30*$C13*AF$6/'stage-discharge'!$M13)</f>
        <v>7.5891589699436276E-6</v>
      </c>
      <c r="AG13" s="10">
        <f>(((1-AG$6)*$U$2/(AG$6*(1-$U$2)))^(grain_size_calculator!$G$20/(0.41*'stage-discharge'!$L13)))*LN(30*$C13*AG$6/'stage-discharge'!$M13)</f>
        <v>3.233859017863805E-6</v>
      </c>
      <c r="AH13" s="10">
        <f>(((1-AH$6)*$U$2/(AH$6*(1-$U$2)))^(grain_size_calculator!$G$20/(0.41*'stage-discharge'!$L13)))*LN(30*$C13*AH$6/'stage-discharge'!$M13)</f>
        <v>1.2392714285015888E-6</v>
      </c>
      <c r="AI13" s="10">
        <f>(((1-AI$6)*$U$2/(AI$6*(1-$U$2)))^(grain_size_calculator!$G$20/(0.41*'stage-discharge'!$L13)))*LN(30*$C13*AI$6/'stage-discharge'!$M13)</f>
        <v>4.0064273037690369E-7</v>
      </c>
      <c r="AJ13" s="10">
        <f>(((1-AJ$6)*$U$2/(AJ$6*(1-$U$2)))^(grain_size_calculator!$G$20/(0.41*'stage-discharge'!$L13)))*LN(30*$C13*AJ$6/'stage-discharge'!$M13)</f>
        <v>9.6216100102828514E-8</v>
      </c>
      <c r="AK13" s="10">
        <f>(((1-AK$6)*$U$2/(AK$6*(1-$U$2)))^(grain_size_calculator!$G$20/(0.41*'stage-discharge'!$L13)))*LN(30*$C13*AK$6/'stage-discharge'!$M13)</f>
        <v>1.2391486410293885E-8</v>
      </c>
      <c r="AL13" s="10">
        <f>(((1-AL$6)*$U$2/(AL$6*(1-$U$2)))^(grain_size_calculator!$G$20/(0.41*'stage-discharge'!$L13)))*LN(30*$C13*AL$6/'stage-discharge'!$M13)</f>
        <v>1.8998569308307713E-10</v>
      </c>
    </row>
    <row r="14" spans="2:38" x14ac:dyDescent="0.45">
      <c r="B14" s="1">
        <v>1825</v>
      </c>
      <c r="C14" s="3">
        <v>6.1740527859541672</v>
      </c>
      <c r="D14" s="3">
        <f>IF(C14&gt;'field data'!$C$6,'stage-discharge'!C14-'field data'!$C$6,0)</f>
        <v>1.6740527859541672</v>
      </c>
      <c r="E14" s="3">
        <f>(C14*'field data'!$C$5*'field data'!$C$9*((9.81*'field data'!$C$7*'stage-discharge'!C14)^0.5))+'stage-discharge'!D14*'field data'!$C$4*'field data'!$C$12*((9.81*'field data'!$C$11*'stage-discharge'!D14)^0.5)-B14</f>
        <v>-2.8066334380127955E-5</v>
      </c>
      <c r="F14" s="3">
        <f>C14*'field data'!$C$7/(1.65*grain_size_calculator!$G$17/1000)</f>
        <v>0.60424485355600921</v>
      </c>
      <c r="G14" s="11">
        <f t="shared" si="5"/>
        <v>0.2060447372195692</v>
      </c>
      <c r="H14" s="3">
        <f t="shared" si="1"/>
        <v>0.34099543588495013</v>
      </c>
      <c r="I14" s="11">
        <f>(G14*1.65*9.81*(grain_size_calculator!$G$17/1000))^0.5</f>
        <v>5.3772220854785509E-2</v>
      </c>
      <c r="J14" s="3">
        <f>I14*(grain_size_calculator!$G$18^0.6)/grain_size_calculator!$G$20</f>
        <v>6.4051379856916801</v>
      </c>
      <c r="K14" s="5">
        <f t="shared" si="2"/>
        <v>1.6224958908820314E-3</v>
      </c>
      <c r="L14" s="11">
        <f>(F14*1.65*9.81*(grain_size_calculator!$G$17/1000))^0.5</f>
        <v>9.2083897051707442E-2</v>
      </c>
      <c r="M14" s="3">
        <f>11*C14/(EXP(0.41*'field data'!$C$9))</f>
        <v>0.96923242941551679</v>
      </c>
      <c r="N14" s="3">
        <f t="shared" si="3"/>
        <v>7.8042986025122197E-5</v>
      </c>
      <c r="O14" s="4">
        <f>N14*'field data'!$C$5*(1.65+1)*60*60*24*365.25</f>
        <v>489491.3054875462</v>
      </c>
      <c r="P14" s="4">
        <f>O14*'field data'!C25</f>
        <v>796.20564346196397</v>
      </c>
      <c r="Q14" s="4"/>
      <c r="S14" s="11">
        <f t="shared" si="4"/>
        <v>3.4688067048937919E-2</v>
      </c>
      <c r="T14" s="10">
        <f>(((1-T$6)*$U$2/(T$6*(1-$U$2)))^(grain_size_calculator!$G$20/(0.41*'stage-discharge'!$L14)))*LN(30*$C14*T$6/'stage-discharge'!$M14)</f>
        <v>0.56654006190773087</v>
      </c>
      <c r="U14" s="10">
        <f>(((1-U$6)*$U$2/(U$6*(1-$U$2)))^(grain_size_calculator!$G$20/(0.41*'stage-discharge'!$L14)))*LN(30*$C14*U$6/'stage-discharge'!$M14)</f>
        <v>8.8834533594906104E-2</v>
      </c>
      <c r="V14" s="10">
        <f>(((1-V$6)*$U$2/(V$6*(1-$U$2)))^(grain_size_calculator!$G$20/(0.41*'stage-discharge'!$L14)))*LN(30*$C14*V$6/'stage-discharge'!$M14)</f>
        <v>2.3853287457917243E-2</v>
      </c>
      <c r="W14" s="10">
        <f>(((1-W$6)*$U$2/(W$6*(1-$U$2)))^(grain_size_calculator!$G$20/(0.41*'stage-discharge'!$L14)))*LN(30*$C14*W$6/'stage-discharge'!$M14)</f>
        <v>8.3080322929887495E-3</v>
      </c>
      <c r="X14" s="10">
        <f>(((1-X$6)*$U$2/(X$6*(1-$U$2)))^(grain_size_calculator!$G$20/(0.41*'stage-discharge'!$L14)))*LN(30*$C14*X$6/'stage-discharge'!$M14)</f>
        <v>3.3594172882891044E-3</v>
      </c>
      <c r="Y14" s="10">
        <f>(((1-Y$6)*$U$2/(Y$6*(1-$U$2)))^(grain_size_calculator!$G$20/(0.41*'stage-discharge'!$L14)))*LN(30*$C14*Y$6/'stage-discharge'!$M14)</f>
        <v>1.4902502521713231E-3</v>
      </c>
      <c r="Z14" s="10">
        <f>(((1-Z$6)*$U$2/(Z$6*(1-$U$2)))^(grain_size_calculator!$G$20/(0.41*'stage-discharge'!$L14)))*LN(30*$C14*Z$6/'stage-discharge'!$M14)</f>
        <v>7.011490320725513E-4</v>
      </c>
      <c r="AA14" s="10">
        <f>(((1-AA$6)*$U$2/(AA$6*(1-$U$2)))^(grain_size_calculator!$G$20/(0.41*'stage-discharge'!$L14)))*LN(30*$C14*AA$6/'stage-discharge'!$M14)</f>
        <v>3.4199327552867731E-4</v>
      </c>
      <c r="AB14" s="10">
        <f>(((1-AB$6)*$U$2/(AB$6*(1-$U$2)))^(grain_size_calculator!$G$20/(0.41*'stage-discharge'!$L14)))*LN(30*$C14*AB$6/'stage-discharge'!$M14)</f>
        <v>1.6998232839915235E-4</v>
      </c>
      <c r="AC14" s="10">
        <f>(((1-AC$6)*$U$2/(AC$6*(1-$U$2)))^(grain_size_calculator!$G$20/(0.41*'stage-discharge'!$L14)))*LN(30*$C14*AC$6/'stage-discharge'!$M14)</f>
        <v>8.4846647421310715E-5</v>
      </c>
      <c r="AD14" s="10">
        <f>(((1-AD$6)*$U$2/(AD$6*(1-$U$2)))^(grain_size_calculator!$G$20/(0.41*'stage-discharge'!$L14)))*LN(30*$C14*AD$6/'stage-discharge'!$M14)</f>
        <v>4.194320389246626E-5</v>
      </c>
      <c r="AE14" s="10">
        <f>(((1-AE$6)*$U$2/(AE$6*(1-$U$2)))^(grain_size_calculator!$G$20/(0.41*'stage-discharge'!$L14)))*LN(30*$C14*AE$6/'stage-discharge'!$M14)</f>
        <v>2.022858612579208E-5</v>
      </c>
      <c r="AF14" s="10">
        <f>(((1-AF$6)*$U$2/(AF$6*(1-$U$2)))^(grain_size_calculator!$G$20/(0.41*'stage-discharge'!$L14)))*LN(30*$C14*AF$6/'stage-discharge'!$M14)</f>
        <v>9.3465707971889589E-6</v>
      </c>
      <c r="AG14" s="10">
        <f>(((1-AG$6)*$U$2/(AG$6*(1-$U$2)))^(grain_size_calculator!$G$20/(0.41*'stage-discharge'!$L14)))*LN(30*$C14*AG$6/'stage-discharge'!$M14)</f>
        <v>4.0369197295696179E-6</v>
      </c>
      <c r="AH14" s="10">
        <f>(((1-AH$6)*$U$2/(AH$6*(1-$U$2)))^(grain_size_calculator!$G$20/(0.41*'stage-discharge'!$L14)))*LN(30*$C14*AH$6/'stage-discharge'!$M14)</f>
        <v>1.5706372524590947E-6</v>
      </c>
      <c r="AI14" s="10">
        <f>(((1-AI$6)*$U$2/(AI$6*(1-$U$2)))^(grain_size_calculator!$G$20/(0.41*'stage-discharge'!$L14)))*LN(30*$C14*AI$6/'stage-discharge'!$M14)</f>
        <v>5.1688145993727526E-7</v>
      </c>
      <c r="AJ14" s="10">
        <f>(((1-AJ$6)*$U$2/(AJ$6*(1-$U$2)))^(grain_size_calculator!$G$20/(0.41*'stage-discharge'!$L14)))*LN(30*$C14*AJ$6/'stage-discharge'!$M14)</f>
        <v>1.2694366641360445E-7</v>
      </c>
      <c r="AK14" s="10">
        <f>(((1-AK$6)*$U$2/(AK$6*(1-$U$2)))^(grain_size_calculator!$G$20/(0.41*'stage-discharge'!$L14)))*LN(30*$C14*AK$6/'stage-discharge'!$M14)</f>
        <v>1.6882122663439877E-8</v>
      </c>
      <c r="AL14" s="10">
        <f>(((1-AL$6)*$U$2/(AL$6*(1-$U$2)))^(grain_size_calculator!$G$20/(0.41*'stage-discharge'!$L14)))*LN(30*$C14*AL$6/'stage-discharge'!$M14)</f>
        <v>2.7628654253568353E-10</v>
      </c>
    </row>
    <row r="15" spans="2:38" x14ac:dyDescent="0.45">
      <c r="B15" s="1">
        <v>2075</v>
      </c>
      <c r="C15" s="3">
        <v>6.3551664076637033</v>
      </c>
      <c r="D15" s="3">
        <f>IF(C15&gt;'field data'!$C$6,'stage-discharge'!C15-'field data'!$C$6,0)</f>
        <v>1.8551664076637033</v>
      </c>
      <c r="E15" s="3">
        <f>(C15*'field data'!$C$5*'field data'!$C$9*((9.81*'field data'!$C$7*'stage-discharge'!C15)^0.5))+'stage-discharge'!D15*'field data'!$C$4*'field data'!$C$12*((9.81*'field data'!$C$11*'stage-discharge'!D15)^0.5)-B15</f>
        <v>1.3828412193106487E-7</v>
      </c>
      <c r="F15" s="3">
        <f>C15*'field data'!$C$7/(1.65*grain_size_calculator!$G$17/1000)</f>
        <v>0.62197015938362443</v>
      </c>
      <c r="G15" s="11">
        <f t="shared" si="5"/>
        <v>0.21473875166547648</v>
      </c>
      <c r="H15" s="3">
        <f t="shared" si="1"/>
        <v>0.34525571432282809</v>
      </c>
      <c r="I15" s="11">
        <f>(G15*1.65*9.81*(grain_size_calculator!$G$17/1000))^0.5</f>
        <v>5.4894953637237127E-2</v>
      </c>
      <c r="J15" s="3">
        <f>I15*(grain_size_calculator!$G$18^0.6)/grain_size_calculator!$G$20</f>
        <v>6.5388735517208856</v>
      </c>
      <c r="K15" s="5">
        <f t="shared" si="2"/>
        <v>1.798043777672812E-3</v>
      </c>
      <c r="L15" s="11">
        <f>(F15*1.65*9.81*(grain_size_calculator!$G$17/1000))^0.5</f>
        <v>9.3424758732818414E-2</v>
      </c>
      <c r="M15" s="3">
        <f>11*C15/(EXP(0.41*'field data'!$C$9))</f>
        <v>0.99766451473379081</v>
      </c>
      <c r="N15" s="3">
        <f t="shared" si="3"/>
        <v>9.301171986904478E-5</v>
      </c>
      <c r="O15" s="4">
        <f>N15*'field data'!$C$5*(1.65+1)*60*60*24*365.25</f>
        <v>583376.2968741993</v>
      </c>
      <c r="P15" s="4">
        <f>O15*'field data'!C26</f>
        <v>683.22153249849293</v>
      </c>
      <c r="Q15" s="4"/>
      <c r="S15" s="11">
        <f t="shared" si="4"/>
        <v>3.5721719700584291E-2</v>
      </c>
      <c r="T15" s="10">
        <f>(((1-T$6)*$U$2/(T$6*(1-$U$2)))^(grain_size_calculator!$G$20/(0.41*'stage-discharge'!$L15)))*LN(30*$C15*T$6/'stage-discharge'!$M15)</f>
        <v>0.57926370050548248</v>
      </c>
      <c r="U15" s="10">
        <f>(((1-U$6)*$U$2/(U$6*(1-$U$2)))^(grain_size_calculator!$G$20/(0.41*'stage-discharge'!$L15)))*LN(30*$C15*U$6/'stage-discharge'!$M15)</f>
        <v>9.351258899508684E-2</v>
      </c>
      <c r="V15" s="10">
        <f>(((1-V$6)*$U$2/(V$6*(1-$U$2)))^(grain_size_calculator!$G$20/(0.41*'stage-discharge'!$L15)))*LN(30*$C15*V$6/'stage-discharge'!$M15)</f>
        <v>2.5624789630665376E-2</v>
      </c>
      <c r="W15" s="10">
        <f>(((1-W$6)*$U$2/(W$6*(1-$U$2)))^(grain_size_calculator!$G$20/(0.41*'stage-discharge'!$L15)))*LN(30*$C15*W$6/'stage-discharge'!$M15)</f>
        <v>9.0701689772098946E-3</v>
      </c>
      <c r="X15" s="10">
        <f>(((1-X$6)*$U$2/(X$6*(1-$U$2)))^(grain_size_calculator!$G$20/(0.41*'stage-discharge'!$L15)))*LN(30*$C15*X$6/'stage-discharge'!$M15)</f>
        <v>3.718338886366121E-3</v>
      </c>
      <c r="Y15" s="10">
        <f>(((1-Y$6)*$U$2/(Y$6*(1-$U$2)))^(grain_size_calculator!$G$20/(0.41*'stage-discharge'!$L15)))*LN(30*$C15*Y$6/'stage-discharge'!$M15)</f>
        <v>1.6698139751819955E-3</v>
      </c>
      <c r="Z15" s="10">
        <f>(((1-Z$6)*$U$2/(Z$6*(1-$U$2)))^(grain_size_calculator!$G$20/(0.41*'stage-discharge'!$L15)))*LN(30*$C15*Z$6/'stage-discharge'!$M15)</f>
        <v>7.9456832476287225E-4</v>
      </c>
      <c r="AA15" s="10">
        <f>(((1-AA$6)*$U$2/(AA$6*(1-$U$2)))^(grain_size_calculator!$G$20/(0.41*'stage-discharge'!$L15)))*LN(30*$C15*AA$6/'stage-discharge'!$M15)</f>
        <v>3.917359443267986E-4</v>
      </c>
      <c r="AB15" s="10">
        <f>(((1-AB$6)*$U$2/(AB$6*(1-$U$2)))^(grain_size_calculator!$G$20/(0.41*'stage-discharge'!$L15)))*LN(30*$C15*AB$6/'stage-discharge'!$M15)</f>
        <v>1.9674010416788809E-4</v>
      </c>
      <c r="AC15" s="10">
        <f>(((1-AC$6)*$U$2/(AC$6*(1-$U$2)))^(grain_size_calculator!$G$20/(0.41*'stage-discharge'!$L15)))*LN(30*$C15*AC$6/'stage-discharge'!$M15)</f>
        <v>9.9218293693623686E-5</v>
      </c>
      <c r="AD15" s="10">
        <f>(((1-AD$6)*$U$2/(AD$6*(1-$U$2)))^(grain_size_calculator!$G$20/(0.41*'stage-discharge'!$L15)))*LN(30*$C15*AD$6/'stage-discharge'!$M15)</f>
        <v>4.9560072868375532E-5</v>
      </c>
      <c r="AE15" s="10">
        <f>(((1-AE$6)*$U$2/(AE$6*(1-$U$2)))^(grain_size_calculator!$G$20/(0.41*'stage-discharge'!$L15)))*LN(30*$C15*AE$6/'stage-discharge'!$M15)</f>
        <v>2.4159659560711277E-5</v>
      </c>
      <c r="AF15" s="10">
        <f>(((1-AF$6)*$U$2/(AF$6*(1-$U$2)))^(grain_size_calculator!$G$20/(0.41*'stage-discharge'!$L15)))*LN(30*$C15*AF$6/'stage-discharge'!$M15)</f>
        <v>1.128988720640398E-5</v>
      </c>
      <c r="AG15" s="10">
        <f>(((1-AG$6)*$U$2/(AG$6*(1-$U$2)))^(grain_size_calculator!$G$20/(0.41*'stage-discharge'!$L15)))*LN(30*$C15*AG$6/'stage-discharge'!$M15)</f>
        <v>4.9364107442894022E-6</v>
      </c>
      <c r="AH15" s="10">
        <f>(((1-AH$6)*$U$2/(AH$6*(1-$U$2)))^(grain_size_calculator!$G$20/(0.41*'stage-discharge'!$L15)))*LN(30*$C15*AH$6/'stage-discharge'!$M15)</f>
        <v>1.9471745399046073E-6</v>
      </c>
      <c r="AI15" s="10">
        <f>(((1-AI$6)*$U$2/(AI$6*(1-$U$2)))^(grain_size_calculator!$G$20/(0.41*'stage-discharge'!$L15)))*LN(30*$C15*AI$6/'stage-discharge'!$M15)</f>
        <v>6.5121602419823187E-7</v>
      </c>
      <c r="AJ15" s="10">
        <f>(((1-AJ$6)*$U$2/(AJ$6*(1-$U$2)))^(grain_size_calculator!$G$20/(0.41*'stage-discharge'!$L15)))*LN(30*$C15*AJ$6/'stage-discharge'!$M15)</f>
        <v>1.6321834638753198E-7</v>
      </c>
      <c r="AK15" s="10">
        <f>(((1-AK$6)*$U$2/(AK$6*(1-$U$2)))^(grain_size_calculator!$G$20/(0.41*'stage-discharge'!$L15)))*LN(30*$C15*AK$6/'stage-discharge'!$M15)</f>
        <v>2.2347428343112926E-8</v>
      </c>
      <c r="AL15" s="10">
        <f>(((1-AL$6)*$U$2/(AL$6*(1-$U$2)))^(grain_size_calculator!$G$20/(0.41*'stage-discharge'!$L15)))*LN(30*$C15*AL$6/'stage-discharge'!$M15)</f>
        <v>3.8802305077394178E-10</v>
      </c>
    </row>
    <row r="16" spans="2:38" x14ac:dyDescent="0.45">
      <c r="B16" s="1">
        <v>2450</v>
      </c>
      <c r="C16" s="3">
        <v>6.612226927285402</v>
      </c>
      <c r="D16" s="3">
        <f>IF(C16&gt;'field data'!$C$6,'stage-discharge'!C16-'field data'!$C$6,0)</f>
        <v>2.112226927285402</v>
      </c>
      <c r="E16" s="3">
        <f>(C16*'field data'!$C$5*'field data'!$C$9*((9.81*'field data'!$C$7*'stage-discharge'!C16)^0.5))+'stage-discharge'!D16*'field data'!$C$4*'field data'!$C$12*((9.81*'field data'!$C$11*'stage-discharge'!D16)^0.5)-B16</f>
        <v>9.745348052092595E-6</v>
      </c>
      <c r="F16" s="3">
        <f>C16*'field data'!$C$7/(1.65*grain_size_calculator!$G$17/1000)</f>
        <v>0.64712826888136177</v>
      </c>
      <c r="G16" s="11">
        <f t="shared" si="5"/>
        <v>0.22750999855415524</v>
      </c>
      <c r="H16" s="3">
        <f t="shared" si="1"/>
        <v>0.35156862942710471</v>
      </c>
      <c r="I16" s="11">
        <f>(G16*1.65*9.81*(grain_size_calculator!$G$17/1000))^0.5</f>
        <v>5.650377376911199E-2</v>
      </c>
      <c r="J16" s="3">
        <f>I16*(grain_size_calculator!$G$18^0.6)/grain_size_calculator!$G$20</f>
        <v>6.7305099538446802</v>
      </c>
      <c r="K16" s="5">
        <f t="shared" si="2"/>
        <v>2.0754924715293403E-3</v>
      </c>
      <c r="L16" s="11">
        <f>(F16*1.65*9.81*(grain_size_calculator!$G$17/1000))^0.5</f>
        <v>9.5295500743391728E-2</v>
      </c>
      <c r="M16" s="3">
        <f>11*C16/(EXP(0.41*'field data'!$C$9))</f>
        <v>1.0380191084791774</v>
      </c>
      <c r="N16" s="3">
        <f t="shared" si="3"/>
        <v>1.1859763858021836E-4</v>
      </c>
      <c r="O16" s="4">
        <f>N16*'field data'!$C$5*(1.65+1)*60*60*24*365.25</f>
        <v>743853.0468027459</v>
      </c>
      <c r="P16" s="4">
        <f>O16*'field data'!C27</f>
        <v>822.76598429660567</v>
      </c>
      <c r="Q16" s="4"/>
      <c r="S16" s="11">
        <f t="shared" si="4"/>
        <v>3.7180787995702493E-2</v>
      </c>
      <c r="T16" s="10">
        <f>(((1-T$6)*$U$2/(T$6*(1-$U$2)))^(grain_size_calculator!$G$20/(0.41*'stage-discharge'!$L16)))*LN(30*$C16*T$6/'stage-discharge'!$M16)</f>
        <v>0.59687067125419979</v>
      </c>
      <c r="U16" s="10">
        <f>(((1-U$6)*$U$2/(U$6*(1-$U$2)))^(grain_size_calculator!$G$20/(0.41*'stage-discharge'!$L16)))*LN(30*$C16*U$6/'stage-discharge'!$M16)</f>
        <v>0.10021164674731958</v>
      </c>
      <c r="V16" s="10">
        <f>(((1-V$6)*$U$2/(V$6*(1-$U$2)))^(grain_size_calculator!$G$20/(0.41*'stage-discharge'!$L16)))*LN(30*$C16*V$6/'stage-discharge'!$M16)</f>
        <v>2.8223075074420671E-2</v>
      </c>
      <c r="W16" s="10">
        <f>(((1-W$6)*$U$2/(W$6*(1-$U$2)))^(grain_size_calculator!$G$20/(0.41*'stage-discharge'!$L16)))*LN(30*$C16*W$6/'stage-discharge'!$M16)</f>
        <v>1.0209475674728727E-2</v>
      </c>
      <c r="X16" s="10">
        <f>(((1-X$6)*$U$2/(X$6*(1-$U$2)))^(grain_size_calculator!$G$20/(0.41*'stage-discharge'!$L16)))*LN(30*$C16*X$6/'stage-discharge'!$M16)</f>
        <v>4.2636602685860673E-3</v>
      </c>
      <c r="Y16" s="10">
        <f>(((1-Y$6)*$U$2/(Y$6*(1-$U$2)))^(grain_size_calculator!$G$20/(0.41*'stage-discharge'!$L16)))*LN(30*$C16*Y$6/'stage-discharge'!$M16)</f>
        <v>1.9466108642394696E-3</v>
      </c>
      <c r="Z16" s="10">
        <f>(((1-Z$6)*$U$2/(Z$6*(1-$U$2)))^(grain_size_calculator!$G$20/(0.41*'stage-discharge'!$L16)))*LN(30*$C16*Z$6/'stage-discharge'!$M16)</f>
        <v>9.4051231651460577E-4</v>
      </c>
      <c r="AA16" s="10">
        <f>(((1-AA$6)*$U$2/(AA$6*(1-$U$2)))^(grain_size_calculator!$G$20/(0.41*'stage-discharge'!$L16)))*LN(30*$C16*AA$6/'stage-discharge'!$M16)</f>
        <v>4.7043786645520222E-4</v>
      </c>
      <c r="AB16" s="10">
        <f>(((1-AB$6)*$U$2/(AB$6*(1-$U$2)))^(grain_size_calculator!$G$20/(0.41*'stage-discharge'!$L16)))*LN(30*$C16*AB$6/'stage-discharge'!$M16)</f>
        <v>2.3959974368277311E-4</v>
      </c>
      <c r="AC16" s="10">
        <f>(((1-AC$6)*$U$2/(AC$6*(1-$U$2)))^(grain_size_calculator!$G$20/(0.41*'stage-discharge'!$L16)))*LN(30*$C16*AC$6/'stage-discharge'!$M16)</f>
        <v>1.2252048485748566E-4</v>
      </c>
      <c r="AD16" s="10">
        <f>(((1-AD$6)*$U$2/(AD$6*(1-$U$2)))^(grain_size_calculator!$G$20/(0.41*'stage-discharge'!$L16)))*LN(30*$C16*AD$6/'stage-discharge'!$M16)</f>
        <v>6.2063103971818465E-5</v>
      </c>
      <c r="AE16" s="10">
        <f>(((1-AE$6)*$U$2/(AE$6*(1-$U$2)))^(grain_size_calculator!$G$20/(0.41*'stage-discharge'!$L16)))*LN(30*$C16*AE$6/'stage-discharge'!$M16)</f>
        <v>3.0695023907713093E-5</v>
      </c>
      <c r="AF16" s="10">
        <f>(((1-AF$6)*$U$2/(AF$6*(1-$U$2)))^(grain_size_calculator!$G$20/(0.41*'stage-discharge'!$L16)))*LN(30*$C16*AF$6/'stage-discharge'!$M16)</f>
        <v>1.4564277882791708E-5</v>
      </c>
      <c r="AG16" s="10">
        <f>(((1-AG$6)*$U$2/(AG$6*(1-$U$2)))^(grain_size_calculator!$G$20/(0.41*'stage-discharge'!$L16)))*LN(30*$C16*AG$6/'stage-discharge'!$M16)</f>
        <v>6.4742291943340084E-6</v>
      </c>
      <c r="AH16" s="10">
        <f>(((1-AH$6)*$U$2/(AH$6*(1-$U$2)))^(grain_size_calculator!$G$20/(0.41*'stage-discharge'!$L16)))*LN(30*$C16*AH$6/'stage-discharge'!$M16)</f>
        <v>2.6015203449441551E-6</v>
      </c>
      <c r="AI16" s="10">
        <f>(((1-AI$6)*$U$2/(AI$6*(1-$U$2)))^(grain_size_calculator!$G$20/(0.41*'stage-discharge'!$L16)))*LN(30*$C16*AI$6/'stage-discharge'!$M16)</f>
        <v>8.8918363504187776E-7</v>
      </c>
      <c r="AJ16" s="10">
        <f>(((1-AJ$6)*$U$2/(AJ$6*(1-$U$2)))^(grain_size_calculator!$G$20/(0.41*'stage-discharge'!$L16)))*LN(30*$C16*AJ$6/'stage-discharge'!$M16)</f>
        <v>2.2905050876251112E-7</v>
      </c>
      <c r="AK16" s="10">
        <f>(((1-AK$6)*$U$2/(AK$6*(1-$U$2)))^(grain_size_calculator!$G$20/(0.41*'stage-discharge'!$L16)))*LN(30*$C16*AK$6/'stage-discharge'!$M16)</f>
        <v>3.2616250459754686E-8</v>
      </c>
      <c r="AL16" s="10">
        <f>(((1-AL$6)*$U$2/(AL$6*(1-$U$2)))^(grain_size_calculator!$G$20/(0.41*'stage-discharge'!$L16)))*LN(30*$C16*AL$6/'stage-discharge'!$M16)</f>
        <v>6.1334954822300244E-10</v>
      </c>
    </row>
    <row r="17" spans="2:38" x14ac:dyDescent="0.45">
      <c r="B17" s="1">
        <v>2950</v>
      </c>
      <c r="C17" s="3">
        <v>6.9335333027183781</v>
      </c>
      <c r="D17" s="3">
        <f>IF(C17&gt;'field data'!$C$6,'stage-discharge'!C17-'field data'!$C$6,0)</f>
        <v>2.4335333027183781</v>
      </c>
      <c r="E17" s="3">
        <f>(C17*'field data'!$C$5*'field data'!$C$9*((9.81*'field data'!$C$7*'stage-discharge'!C17)^0.5))+'stage-discharge'!D17*'field data'!$C$4*'field data'!$C$12*((9.81*'field data'!$C$11*'stage-discharge'!D17)^0.5)-B17</f>
        <v>2.9478314900188707E-7</v>
      </c>
      <c r="F17" s="3">
        <f>C17*'field data'!$C$7/(1.65*grain_size_calculator!$G$17/1000)</f>
        <v>0.67857401942819739</v>
      </c>
      <c r="G17" s="11">
        <f t="shared" si="5"/>
        <v>0.24418507993717586</v>
      </c>
      <c r="H17" s="3">
        <f t="shared" si="1"/>
        <v>0.35985032280330925</v>
      </c>
      <c r="I17" s="11">
        <f>(G17*1.65*9.81*(grain_size_calculator!$G$17/1000))^0.5</f>
        <v>5.8537850715300238E-2</v>
      </c>
      <c r="J17" s="3">
        <f>I17*(grain_size_calculator!$G$18^0.6)/grain_size_calculator!$G$20</f>
        <v>6.9728012951124008</v>
      </c>
      <c r="K17" s="5">
        <f t="shared" si="2"/>
        <v>2.473642700367784E-3</v>
      </c>
      <c r="L17" s="11">
        <f>(F17*1.65*9.81*(grain_size_calculator!$G$17/1000))^0.5</f>
        <v>9.7583372753525077E-2</v>
      </c>
      <c r="M17" s="3">
        <f>11*C17/(EXP(0.41*'field data'!$C$9))</f>
        <v>1.0884593249211347</v>
      </c>
      <c r="N17" s="3">
        <f t="shared" si="3"/>
        <v>1.5916925274332431E-4</v>
      </c>
      <c r="O17" s="4">
        <f>N17*'field data'!$C$5*(1.65+1)*60*60*24*365.25</f>
        <v>998321.17256158043</v>
      </c>
      <c r="P17" s="4">
        <f>O17*'field data'!C28</f>
        <v>519.63755362846177</v>
      </c>
      <c r="Q17" s="4"/>
      <c r="S17" s="11">
        <f t="shared" si="4"/>
        <v>3.8992011023129193E-2</v>
      </c>
      <c r="T17" s="10">
        <f>(((1-T$6)*$U$2/(T$6*(1-$U$2)))^(grain_size_calculator!$G$20/(0.41*'stage-discharge'!$L17)))*LN(30*$C17*T$6/'stage-discharge'!$M17)</f>
        <v>0.61816723230731774</v>
      </c>
      <c r="U17" s="10">
        <f>(((1-U$6)*$U$2/(U$6*(1-$U$2)))^(grain_size_calculator!$G$20/(0.41*'stage-discharge'!$L17)))*LN(30*$C17*U$6/'stage-discharge'!$M17)</f>
        <v>0.10866764575749714</v>
      </c>
      <c r="V17" s="10">
        <f>(((1-V$6)*$U$2/(V$6*(1-$U$2)))^(grain_size_calculator!$G$20/(0.41*'stage-discharge'!$L17)))*LN(30*$C17*V$6/'stage-discharge'!$M17)</f>
        <v>3.1602016668390166E-2</v>
      </c>
      <c r="W17" s="10">
        <f>(((1-W$6)*$U$2/(W$6*(1-$U$2)))^(grain_size_calculator!$G$20/(0.41*'stage-discharge'!$L17)))*LN(30*$C17*W$6/'stage-discharge'!$M17)</f>
        <v>1.1726584227032828E-2</v>
      </c>
      <c r="X17" s="10">
        <f>(((1-X$6)*$U$2/(X$6*(1-$U$2)))^(grain_size_calculator!$G$20/(0.41*'stage-discharge'!$L17)))*LN(30*$C17*X$6/'stage-discharge'!$M17)</f>
        <v>5.004617474965274E-3</v>
      </c>
      <c r="Y17" s="10">
        <f>(((1-Y$6)*$U$2/(Y$6*(1-$U$2)))^(grain_size_calculator!$G$20/(0.41*'stage-discharge'!$L17)))*LN(30*$C17*Y$6/'stage-discharge'!$M17)</f>
        <v>2.3295454176335646E-3</v>
      </c>
      <c r="Z17" s="10">
        <f>(((1-Z$6)*$U$2/(Z$6*(1-$U$2)))^(grain_size_calculator!$G$20/(0.41*'stage-discharge'!$L17)))*LN(30*$C17*Z$6/'stage-discharge'!$M17)</f>
        <v>1.1458035503982722E-3</v>
      </c>
      <c r="AA17" s="10">
        <f>(((1-AA$6)*$U$2/(AA$6*(1-$U$2)))^(grain_size_calculator!$G$20/(0.41*'stage-discharge'!$L17)))*LN(30*$C17*AA$6/'stage-discharge'!$M17)</f>
        <v>5.8290233075103577E-4</v>
      </c>
      <c r="AB17" s="10">
        <f>(((1-AB$6)*$U$2/(AB$6*(1-$U$2)))^(grain_size_calculator!$G$20/(0.41*'stage-discharge'!$L17)))*LN(30*$C17*AB$6/'stage-discharge'!$M17)</f>
        <v>3.0178946255772303E-4</v>
      </c>
      <c r="AC17" s="10">
        <f>(((1-AC$6)*$U$2/(AC$6*(1-$U$2)))^(grain_size_calculator!$G$20/(0.41*'stage-discharge'!$L17)))*LN(30*$C17*AC$6/'stage-discharge'!$M17)</f>
        <v>1.5684803758952423E-4</v>
      </c>
      <c r="AD17" s="10">
        <f>(((1-AD$6)*$U$2/(AD$6*(1-$U$2)))^(grain_size_calculator!$G$20/(0.41*'stage-discharge'!$L17)))*LN(30*$C17*AD$6/'stage-discharge'!$M17)</f>
        <v>8.0765907482305261E-5</v>
      </c>
      <c r="AE17" s="10">
        <f>(((1-AE$6)*$U$2/(AE$6*(1-$U$2)))^(grain_size_calculator!$G$20/(0.41*'stage-discharge'!$L17)))*LN(30*$C17*AE$6/'stage-discharge'!$M17)</f>
        <v>4.0626593127113397E-5</v>
      </c>
      <c r="AF17" s="10">
        <f>(((1-AF$6)*$U$2/(AF$6*(1-$U$2)))^(grain_size_calculator!$G$20/(0.41*'stage-discharge'!$L17)))*LN(30*$C17*AF$6/'stage-discharge'!$M17)</f>
        <v>1.9623886463493009E-5</v>
      </c>
      <c r="AG17" s="10">
        <f>(((1-AG$6)*$U$2/(AG$6*(1-$U$2)))^(grain_size_calculator!$G$20/(0.41*'stage-discharge'!$L17)))*LN(30*$C17*AG$6/'stage-discharge'!$M17)</f>
        <v>8.8938106569634466E-6</v>
      </c>
      <c r="AH17" s="10">
        <f>(((1-AH$6)*$U$2/(AH$6*(1-$U$2)))^(grain_size_calculator!$G$20/(0.41*'stage-discharge'!$L17)))*LN(30*$C17*AH$6/'stage-discharge'!$M17)</f>
        <v>3.6521385357133016E-6</v>
      </c>
      <c r="AI17" s="10">
        <f>(((1-AI$6)*$U$2/(AI$6*(1-$U$2)))^(grain_size_calculator!$G$20/(0.41*'stage-discharge'!$L17)))*LN(30*$C17*AI$6/'stage-discharge'!$M17)</f>
        <v>1.2804690905751444E-6</v>
      </c>
      <c r="AJ17" s="10">
        <f>(((1-AJ$6)*$U$2/(AJ$6*(1-$U$2)))^(grain_size_calculator!$G$20/(0.41*'stage-discharge'!$L17)))*LN(30*$C17*AJ$6/'stage-discharge'!$M17)</f>
        <v>3.4059424570468281E-7</v>
      </c>
      <c r="AK17" s="10">
        <f>(((1-AK$6)*$U$2/(AK$6*(1-$U$2)))^(grain_size_calculator!$G$20/(0.41*'stage-discharge'!$L17)))*LN(30*$C17*AK$6/'stage-discharge'!$M17)</f>
        <v>5.0780432729159023E-8</v>
      </c>
      <c r="AL17" s="10">
        <f>(((1-AL$6)*$U$2/(AL$6*(1-$U$2)))^(grain_size_calculator!$G$20/(0.41*'stage-discharge'!$L17)))*LN(30*$C17*AL$6/'stage-discharge'!$M17)</f>
        <v>1.0484160166750555E-9</v>
      </c>
    </row>
    <row r="18" spans="2:38" x14ac:dyDescent="0.45">
      <c r="B18" s="1">
        <v>3450</v>
      </c>
      <c r="C18" s="3">
        <v>7.2357148113814267</v>
      </c>
      <c r="D18" s="3">
        <f>IF(C18&gt;'field data'!$C$6,'stage-discharge'!C18-'field data'!$C$6,0)</f>
        <v>2.7357148113814267</v>
      </c>
      <c r="E18" s="3">
        <f>(C18*'field data'!$C$5*'field data'!$C$9*((9.81*'field data'!$C$7*'stage-discharge'!C18)^0.5))+'stage-discharge'!D18*'field data'!$C$4*'field data'!$C$12*((9.81*'field data'!$C$11*'stage-discharge'!D18)^0.5)-B18</f>
        <v>1.9948154204030288E-5</v>
      </c>
      <c r="F18" s="3">
        <f>C18*'field data'!$C$7/(1.65*grain_size_calculator!$G$17/1000)</f>
        <v>0.70814804928826436</v>
      </c>
      <c r="G18" s="11">
        <f t="shared" si="5"/>
        <v>0.26058946388430965</v>
      </c>
      <c r="H18" s="3">
        <f t="shared" si="1"/>
        <v>0.36798726501643164</v>
      </c>
      <c r="I18" s="11">
        <f>(G18*1.65*9.81*(grain_size_calculator!$G$17/1000))^0.5</f>
        <v>6.047218163244656E-2</v>
      </c>
      <c r="J18" s="3">
        <f>I18*(grain_size_calculator!$G$18^0.6)/grain_size_calculator!$G$20</f>
        <v>7.2032112770205421</v>
      </c>
      <c r="K18" s="5">
        <f t="shared" si="2"/>
        <v>2.9060272691159039E-3</v>
      </c>
      <c r="L18" s="11">
        <f>(F18*1.65*9.81*(grain_size_calculator!$G$17/1000))^0.5</f>
        <v>9.9687164278814008E-2</v>
      </c>
      <c r="M18" s="3">
        <f>11*C18/(EXP(0.41*'field data'!$C$9))</f>
        <v>1.1358972280165274</v>
      </c>
      <c r="N18" s="3">
        <f t="shared" si="3"/>
        <v>2.0799626011301471E-4</v>
      </c>
      <c r="O18" s="4">
        <f>N18*'field data'!$C$5*(1.65+1)*60*60*24*365.25</f>
        <v>1304567.7271558163</v>
      </c>
      <c r="P18" s="4">
        <f>O18*'field data'!C29</f>
        <v>297.08104004979714</v>
      </c>
      <c r="Q18" s="4"/>
      <c r="S18" s="11">
        <f t="shared" si="4"/>
        <v>4.0683566143666958E-2</v>
      </c>
      <c r="T18" s="10">
        <f>(((1-T$6)*$U$2/(T$6*(1-$U$2)))^(grain_size_calculator!$G$20/(0.41*'stage-discharge'!$L18)))*LN(30*$C18*T$6/'stage-discharge'!$M18)</f>
        <v>0.63751422080469411</v>
      </c>
      <c r="U18" s="10">
        <f>(((1-U$6)*$U$2/(U$6*(1-$U$2)))^(grain_size_calculator!$G$20/(0.41*'stage-discharge'!$L18)))*LN(30*$C18*U$6/'stage-discharge'!$M18)</f>
        <v>0.11668804802950863</v>
      </c>
      <c r="V18" s="10">
        <f>(((1-V$6)*$U$2/(V$6*(1-$U$2)))^(grain_size_calculator!$G$20/(0.41*'stage-discharge'!$L18)))*LN(30*$C18*V$6/'stage-discharge'!$M18)</f>
        <v>3.4904740574898126E-2</v>
      </c>
      <c r="W18" s="10">
        <f>(((1-W$6)*$U$2/(W$6*(1-$U$2)))^(grain_size_calculator!$G$20/(0.41*'stage-discharge'!$L18)))*LN(30*$C18*W$6/'stage-discharge'!$M18)</f>
        <v>1.3245279736232005E-2</v>
      </c>
      <c r="X18" s="10">
        <f>(((1-X$6)*$U$2/(X$6*(1-$U$2)))^(grain_size_calculator!$G$20/(0.41*'stage-discharge'!$L18)))*LN(30*$C18*X$6/'stage-discharge'!$M18)</f>
        <v>5.7615740566752125E-3</v>
      </c>
      <c r="Y18" s="10">
        <f>(((1-Y$6)*$U$2/(Y$6*(1-$U$2)))^(grain_size_calculator!$G$20/(0.41*'stage-discharge'!$L18)))*LN(30*$C18*Y$6/'stage-discharge'!$M18)</f>
        <v>2.7279009219388587E-3</v>
      </c>
      <c r="Z18" s="10">
        <f>(((1-Z$6)*$U$2/(Z$6*(1-$U$2)))^(grain_size_calculator!$G$20/(0.41*'stage-discharge'!$L18)))*LN(30*$C18*Z$6/'stage-discharge'!$M18)</f>
        <v>1.3629604718114552E-3</v>
      </c>
      <c r="AA18" s="10">
        <f>(((1-AA$6)*$U$2/(AA$6*(1-$U$2)))^(grain_size_calculator!$G$20/(0.41*'stage-discharge'!$L18)))*LN(30*$C18*AA$6/'stage-discharge'!$M18)</f>
        <v>7.0376533392981541E-4</v>
      </c>
      <c r="AB18" s="10">
        <f>(((1-AB$6)*$U$2/(AB$6*(1-$U$2)))^(grain_size_calculator!$G$20/(0.41*'stage-discharge'!$L18)))*LN(30*$C18*AB$6/'stage-discharge'!$M18)</f>
        <v>3.6965666766236967E-4</v>
      </c>
      <c r="AC18" s="10">
        <f>(((1-AC$6)*$U$2/(AC$6*(1-$U$2)))^(grain_size_calculator!$G$20/(0.41*'stage-discharge'!$L18)))*LN(30*$C18*AC$6/'stage-discharge'!$M18)</f>
        <v>1.9488260124563258E-4</v>
      </c>
      <c r="AD18" s="10">
        <f>(((1-AD$6)*$U$2/(AD$6*(1-$U$2)))^(grain_size_calculator!$G$20/(0.41*'stage-discharge'!$L18)))*LN(30*$C18*AD$6/'stage-discharge'!$M18)</f>
        <v>1.0180859626830434E-4</v>
      </c>
      <c r="AE18" s="10">
        <f>(((1-AE$6)*$U$2/(AE$6*(1-$U$2)))^(grain_size_calculator!$G$20/(0.41*'stage-discharge'!$L18)))*LN(30*$C18*AE$6/'stage-discharge'!$M18)</f>
        <v>5.197874130321728E-5</v>
      </c>
      <c r="AF18" s="10">
        <f>(((1-AF$6)*$U$2/(AF$6*(1-$U$2)))^(grain_size_calculator!$G$20/(0.41*'stage-discharge'!$L18)))*LN(30*$C18*AF$6/'stage-discharge'!$M18)</f>
        <v>2.5504455902468824E-5</v>
      </c>
      <c r="AG18" s="10">
        <f>(((1-AG$6)*$U$2/(AG$6*(1-$U$2)))^(grain_size_calculator!$G$20/(0.41*'stage-discharge'!$L18)))*LN(30*$C18*AG$6/'stage-discharge'!$M18)</f>
        <v>1.1757258582616532E-5</v>
      </c>
      <c r="AH18" s="10">
        <f>(((1-AH$6)*$U$2/(AH$6*(1-$U$2)))^(grain_size_calculator!$G$20/(0.41*'stage-discharge'!$L18)))*LN(30*$C18*AH$6/'stage-discharge'!$M18)</f>
        <v>4.9209175277214878E-6</v>
      </c>
      <c r="AI18" s="10">
        <f>(((1-AI$6)*$U$2/(AI$6*(1-$U$2)))^(grain_size_calculator!$G$20/(0.41*'stage-discharge'!$L18)))*LN(30*$C18*AI$6/'stage-discharge'!$M18)</f>
        <v>1.7643629674955361E-6</v>
      </c>
      <c r="AJ18" s="10">
        <f>(((1-AJ$6)*$U$2/(AJ$6*(1-$U$2)))^(grain_size_calculator!$G$20/(0.41*'stage-discharge'!$L18)))*LN(30*$C18*AJ$6/'stage-discharge'!$M18)</f>
        <v>4.8272483269623877E-7</v>
      </c>
      <c r="AK18" s="10">
        <f>(((1-AK$6)*$U$2/(AK$6*(1-$U$2)))^(grain_size_calculator!$G$20/(0.41*'stage-discharge'!$L18)))*LN(30*$C18*AK$6/'stage-discharge'!$M18)</f>
        <v>7.4937802212796926E-8</v>
      </c>
      <c r="AL18" s="10">
        <f>(((1-AL$6)*$U$2/(AL$6*(1-$U$2)))^(grain_size_calculator!$G$20/(0.41*'stage-discharge'!$L18)))*LN(30*$C18*AL$6/'stage-discharge'!$M18)</f>
        <v>1.6795561830528069E-9</v>
      </c>
    </row>
    <row r="19" spans="2:38" x14ac:dyDescent="0.45">
      <c r="B19" s="1">
        <v>3950</v>
      </c>
      <c r="C19" s="3">
        <v>7.5226699525320484</v>
      </c>
      <c r="D19" s="3">
        <f>IF(C19&gt;'field data'!$C$6,'stage-discharge'!C19-'field data'!$C$6,0)</f>
        <v>3.0226699525320484</v>
      </c>
      <c r="E19" s="3">
        <f>(C19*'field data'!$C$5*'field data'!$C$9*((9.81*'field data'!$C$7*'stage-discharge'!C19)^0.5))+'stage-discharge'!D19*'field data'!$C$4*'field data'!$C$12*((9.81*'field data'!$C$11*'stage-discharge'!D19)^0.5)-B19</f>
        <v>2.044005855168507E-4</v>
      </c>
      <c r="F19" s="3">
        <f>C19*'field data'!$C$7/(1.65*grain_size_calculator!$G$17/1000)</f>
        <v>0.73623189846366532</v>
      </c>
      <c r="G19" s="11">
        <f t="shared" si="5"/>
        <v>0.27681496332616512</v>
      </c>
      <c r="H19" s="3">
        <f t="shared" si="1"/>
        <v>0.37598882078297585</v>
      </c>
      <c r="I19" s="11">
        <f>(G19*1.65*9.81*(grain_size_calculator!$G$17/1000))^0.5</f>
        <v>6.2326392705070954E-2</v>
      </c>
      <c r="J19" s="3">
        <f>I19*(grain_size_calculator!$G$18^0.6)/grain_size_calculator!$G$20</f>
        <v>7.424077694400431</v>
      </c>
      <c r="K19" s="5">
        <f t="shared" si="2"/>
        <v>3.3743975896412971E-3</v>
      </c>
      <c r="L19" s="11">
        <f>(F19*1.65*9.81*(grain_size_calculator!$G$17/1000))^0.5</f>
        <v>0.10164465019275494</v>
      </c>
      <c r="M19" s="3">
        <f>11*C19/(EXP(0.41*'field data'!$C$9))</f>
        <v>1.1809448228837789</v>
      </c>
      <c r="N19" s="3">
        <f t="shared" si="3"/>
        <v>2.6607456002930737E-4</v>
      </c>
      <c r="O19" s="4">
        <f>N19*'field data'!$C$5*(1.65+1)*60*60*24*365.25</f>
        <v>1668839.0639466979</v>
      </c>
      <c r="P19" s="4">
        <f>O19*'field data'!C30</f>
        <v>108.58122020538714</v>
      </c>
      <c r="Q19" s="4"/>
      <c r="S19" s="11">
        <f t="shared" si="4"/>
        <v>4.2279945957522554E-2</v>
      </c>
      <c r="T19" s="10">
        <f>(((1-T$6)*$U$2/(T$6*(1-$U$2)))^(grain_size_calculator!$G$20/(0.41*'stage-discharge'!$L19)))*LN(30*$C19*T$6/'stage-discharge'!$M19)</f>
        <v>0.65530794566704775</v>
      </c>
      <c r="U19" s="10">
        <f>(((1-U$6)*$U$2/(U$6*(1-$U$2)))^(grain_size_calculator!$G$20/(0.41*'stage-discharge'!$L19)))*LN(30*$C19*U$6/'stage-discharge'!$M19)</f>
        <v>0.12435178768381497</v>
      </c>
      <c r="V19" s="10">
        <f>(((1-V$6)*$U$2/(V$6*(1-$U$2)))^(grain_size_calculator!$G$20/(0.41*'stage-discharge'!$L19)))*LN(30*$C19*V$6/'stage-discharge'!$M19)</f>
        <v>3.8145818417339966E-2</v>
      </c>
      <c r="W19" s="10">
        <f>(((1-W$6)*$U$2/(W$6*(1-$U$2)))^(grain_size_calculator!$G$20/(0.41*'stage-discharge'!$L19)))*LN(30*$C19*W$6/'stage-discharge'!$M19)</f>
        <v>1.4767477697553426E-2</v>
      </c>
      <c r="X19" s="10">
        <f>(((1-X$6)*$U$2/(X$6*(1-$U$2)))^(grain_size_calculator!$G$20/(0.41*'stage-discharge'!$L19)))*LN(30*$C19*X$6/'stage-discharge'!$M19)</f>
        <v>6.5340623226311052E-3</v>
      </c>
      <c r="Y19" s="10">
        <f>(((1-Y$6)*$U$2/(Y$6*(1-$U$2)))^(grain_size_calculator!$G$20/(0.41*'stage-discharge'!$L19)))*LN(30*$C19*Y$6/'stage-discharge'!$M19)</f>
        <v>3.1410113410688012E-3</v>
      </c>
      <c r="Z19" s="10">
        <f>(((1-Z$6)*$U$2/(Z$6*(1-$U$2)))^(grain_size_calculator!$G$20/(0.41*'stage-discharge'!$L19)))*LN(30*$C19*Z$6/'stage-discharge'!$M19)</f>
        <v>1.5915214048845365E-3</v>
      </c>
      <c r="AA19" s="10">
        <f>(((1-AA$6)*$U$2/(AA$6*(1-$U$2)))^(grain_size_calculator!$G$20/(0.41*'stage-discharge'!$L19)))*LN(30*$C19*AA$6/'stage-discharge'!$M19)</f>
        <v>8.3277325281316285E-4</v>
      </c>
      <c r="AB19" s="10">
        <f>(((1-AB$6)*$U$2/(AB$6*(1-$U$2)))^(grain_size_calculator!$G$20/(0.41*'stage-discharge'!$L19)))*LN(30*$C19*AB$6/'stage-discharge'!$M19)</f>
        <v>4.4308955044345554E-4</v>
      </c>
      <c r="AC19" s="10">
        <f>(((1-AC$6)*$U$2/(AC$6*(1-$U$2)))^(grain_size_calculator!$G$20/(0.41*'stage-discharge'!$L19)))*LN(30*$C19*AC$6/'stage-discharge'!$M19)</f>
        <v>2.3659410618775479E-4</v>
      </c>
      <c r="AD19" s="10">
        <f>(((1-AD$6)*$U$2/(AD$6*(1-$U$2)))^(grain_size_calculator!$G$20/(0.41*'stage-discharge'!$L19)))*LN(30*$C19*AD$6/'stage-discharge'!$M19)</f>
        <v>1.2520145320358943E-4</v>
      </c>
      <c r="AE19" s="10">
        <f>(((1-AE$6)*$U$2/(AE$6*(1-$U$2)))^(grain_size_calculator!$G$20/(0.41*'stage-discharge'!$L19)))*LN(30*$C19*AE$6/'stage-discharge'!$M19)</f>
        <v>6.4776928743987388E-5</v>
      </c>
      <c r="AF19" s="10">
        <f>(((1-AF$6)*$U$2/(AF$6*(1-$U$2)))^(grain_size_calculator!$G$20/(0.41*'stage-discharge'!$L19)))*LN(30*$C19*AF$6/'stage-discharge'!$M19)</f>
        <v>3.2232869416870161E-5</v>
      </c>
      <c r="AG19" s="10">
        <f>(((1-AG$6)*$U$2/(AG$6*(1-$U$2)))^(grain_size_calculator!$G$20/(0.41*'stage-discharge'!$L19)))*LN(30*$C19*AG$6/'stage-discharge'!$M19)</f>
        <v>1.508647451945978E-5</v>
      </c>
      <c r="AH19" s="10">
        <f>(((1-AH$6)*$U$2/(AH$6*(1-$U$2)))^(grain_size_calculator!$G$20/(0.41*'stage-discharge'!$L19)))*LN(30*$C19*AH$6/'stage-discharge'!$M19)</f>
        <v>6.4228046845978733E-6</v>
      </c>
      <c r="AI19" s="10">
        <f>(((1-AI$6)*$U$2/(AI$6*(1-$U$2)))^(grain_size_calculator!$G$20/(0.41*'stage-discharge'!$L19)))*LN(30*$C19*AI$6/'stage-discharge'!$M19)</f>
        <v>2.34935815314952E-6</v>
      </c>
      <c r="AJ19" s="10">
        <f>(((1-AJ$6)*$U$2/(AJ$6*(1-$U$2)))^(grain_size_calculator!$G$20/(0.41*'stage-discharge'!$L19)))*LN(30*$C19*AJ$6/'stage-discharge'!$M19)</f>
        <v>6.5917055651288215E-7</v>
      </c>
      <c r="AK19" s="10">
        <f>(((1-AK$6)*$U$2/(AK$6*(1-$U$2)))^(grain_size_calculator!$G$20/(0.41*'stage-discharge'!$L19)))*LN(30*$C19*AK$6/'stage-discharge'!$M19)</f>
        <v>1.0608872075175526E-7</v>
      </c>
      <c r="AL19" s="10">
        <f>(((1-AL$6)*$U$2/(AL$6*(1-$U$2)))^(grain_size_calculator!$G$20/(0.41*'stage-discharge'!$L19)))*LN(30*$C19*AL$6/'stage-discharge'!$M19)</f>
        <v>2.5586675445161055E-9</v>
      </c>
    </row>
    <row r="20" spans="2:38" x14ac:dyDescent="0.45">
      <c r="B20" s="1">
        <v>4450</v>
      </c>
      <c r="C20" s="3">
        <v>7.7970849989590612</v>
      </c>
      <c r="D20" s="3">
        <f>IF(C20&gt;'field data'!$C$6,'stage-discharge'!C20-'field data'!$C$6,0)</f>
        <v>3.2970849989590612</v>
      </c>
      <c r="E20" s="3">
        <f>(C20*'field data'!$C$5*'field data'!$C$9*((9.81*'field data'!$C$7*'stage-discharge'!C20)^0.5))+'stage-discharge'!D20*'field data'!$C$4*'field data'!$C$12*((9.81*'field data'!$C$11*'stage-discharge'!D20)^0.5)-B20</f>
        <v>2.2668073142995127E-5</v>
      </c>
      <c r="F20" s="3">
        <f>C20*'field data'!$C$7/(1.65*grain_size_calculator!$G$17/1000)</f>
        <v>0.76308846825507992</v>
      </c>
      <c r="G20" s="11">
        <f t="shared" si="5"/>
        <v>0.29292160415355367</v>
      </c>
      <c r="H20" s="3">
        <f t="shared" si="1"/>
        <v>0.38386322993894056</v>
      </c>
      <c r="I20" s="11">
        <f>(G20*1.65*9.81*(grain_size_calculator!$G$17/1000))^0.5</f>
        <v>6.4114005848693659E-2</v>
      </c>
      <c r="J20" s="3">
        <f>I20*(grain_size_calculator!$G$18^0.6)/grain_size_calculator!$G$20</f>
        <v>7.6370112252817499</v>
      </c>
      <c r="K20" s="5">
        <f t="shared" si="2"/>
        <v>3.8802490222528893E-3</v>
      </c>
      <c r="L20" s="11">
        <f>(F20*1.65*9.81*(grain_size_calculator!$G$17/1000))^0.5</f>
        <v>0.10348196237784814</v>
      </c>
      <c r="M20" s="3">
        <f>11*C20/(EXP(0.41*'field data'!$C$9))</f>
        <v>1.2240238135140025</v>
      </c>
      <c r="N20" s="3">
        <f t="shared" si="3"/>
        <v>3.3444720917698772E-4</v>
      </c>
      <c r="O20" s="4">
        <f>N20*'field data'!$C$5*(1.65+1)*60*60*24*365.25</f>
        <v>2097677.3106043367</v>
      </c>
      <c r="P20" s="4">
        <f>O20*'field data'!C31</f>
        <v>68.241559927269478</v>
      </c>
      <c r="Q20" s="4"/>
      <c r="S20" s="11">
        <f t="shared" si="4"/>
        <v>4.3798063645837888E-2</v>
      </c>
      <c r="T20" s="10">
        <f>(((1-T$6)*$U$2/(T$6*(1-$U$2)))^(grain_size_calculator!$G$20/(0.41*'stage-discharge'!$L20)))*LN(30*$C20*T$6/'stage-discharge'!$M20)</f>
        <v>0.67182399156532335</v>
      </c>
      <c r="U20" s="10">
        <f>(((1-U$6)*$U$2/(U$6*(1-$U$2)))^(grain_size_calculator!$G$20/(0.41*'stage-discharge'!$L20)))*LN(30*$C20*U$6/'stage-discharge'!$M20)</f>
        <v>0.13171366386878794</v>
      </c>
      <c r="V20" s="10">
        <f>(((1-V$6)*$U$2/(V$6*(1-$U$2)))^(grain_size_calculator!$G$20/(0.41*'stage-discharge'!$L20)))*LN(30*$C20*V$6/'stage-discharge'!$M20)</f>
        <v>4.1334693332852238E-2</v>
      </c>
      <c r="W20" s="10">
        <f>(((1-W$6)*$U$2/(W$6*(1-$U$2)))^(grain_size_calculator!$G$20/(0.41*'stage-discharge'!$L20)))*LN(30*$C20*W$6/'stage-discharge'!$M20)</f>
        <v>1.6293893442182905E-2</v>
      </c>
      <c r="X20" s="10">
        <f>(((1-X$6)*$U$2/(X$6*(1-$U$2)))^(grain_size_calculator!$G$20/(0.41*'stage-discharge'!$L20)))*LN(30*$C20*X$6/'stage-discharge'!$M20)</f>
        <v>7.3213310220933119E-3</v>
      </c>
      <c r="Y20" s="10">
        <f>(((1-Y$6)*$U$2/(Y$6*(1-$U$2)))^(grain_size_calculator!$G$20/(0.41*'stage-discharge'!$L20)))*LN(30*$C20*Y$6/'stage-discharge'!$M20)</f>
        <v>3.5681476908317662E-3</v>
      </c>
      <c r="Z20" s="10">
        <f>(((1-Z$6)*$U$2/(Z$6*(1-$U$2)))^(grain_size_calculator!$G$20/(0.41*'stage-discharge'!$L20)))*LN(30*$C20*Z$6/'stage-discharge'!$M20)</f>
        <v>1.8310102760656294E-3</v>
      </c>
      <c r="AA20" s="10">
        <f>(((1-AA$6)*$U$2/(AA$6*(1-$U$2)))^(grain_size_calculator!$G$20/(0.41*'stage-discharge'!$L20)))*LN(30*$C20*AA$6/'stage-discharge'!$M20)</f>
        <v>9.6966548598556611E-4</v>
      </c>
      <c r="AB20" s="10">
        <f>(((1-AB$6)*$U$2/(AB$6*(1-$U$2)))^(grain_size_calculator!$G$20/(0.41*'stage-discharge'!$L20)))*LN(30*$C20*AB$6/'stage-discharge'!$M20)</f>
        <v>5.2196906795153161E-4</v>
      </c>
      <c r="AC20" s="10">
        <f>(((1-AC$6)*$U$2/(AC$6*(1-$U$2)))^(grain_size_calculator!$G$20/(0.41*'stage-discharge'!$L20)))*LN(30*$C20*AC$6/'stage-discharge'!$M20)</f>
        <v>2.8194505145959816E-4</v>
      </c>
      <c r="AD20" s="10">
        <f>(((1-AD$6)*$U$2/(AD$6*(1-$U$2)))^(grain_size_calculator!$G$20/(0.41*'stage-discharge'!$L20)))*LN(30*$C20*AD$6/'stage-discharge'!$M20)</f>
        <v>1.5094822624629923E-4</v>
      </c>
      <c r="AE20" s="10">
        <f>(((1-AE$6)*$U$2/(AE$6*(1-$U$2)))^(grain_size_calculator!$G$20/(0.41*'stage-discharge'!$L20)))*LN(30*$C20*AE$6/'stage-discharge'!$M20)</f>
        <v>7.9041626680173457E-5</v>
      </c>
      <c r="AF20" s="10">
        <f>(((1-AF$6)*$U$2/(AF$6*(1-$U$2)))^(grain_size_calculator!$G$20/(0.41*'stage-discharge'!$L20)))*LN(30*$C20*AF$6/'stage-discharge'!$M20)</f>
        <v>3.9832674301951977E-5</v>
      </c>
      <c r="AG20" s="10">
        <f>(((1-AG$6)*$U$2/(AG$6*(1-$U$2)))^(grain_size_calculator!$G$20/(0.41*'stage-discharge'!$L20)))*LN(30*$C20*AG$6/'stage-discharge'!$M20)</f>
        <v>1.8901436300880143E-5</v>
      </c>
      <c r="AH20" s="10">
        <f>(((1-AH$6)*$U$2/(AH$6*(1-$U$2)))^(grain_size_calculator!$G$20/(0.41*'stage-discharge'!$L20)))*LN(30*$C20*AH$6/'stage-discharge'!$M20)</f>
        <v>8.1718423826456941E-6</v>
      </c>
      <c r="AI20" s="10">
        <f>(((1-AI$6)*$U$2/(AI$6*(1-$U$2)))^(grain_size_calculator!$G$20/(0.41*'stage-discharge'!$L20)))*LN(30*$C20*AI$6/'stage-discharge'!$M20)</f>
        <v>3.0436538562804218E-6</v>
      </c>
      <c r="AJ20" s="10">
        <f>(((1-AJ$6)*$U$2/(AJ$6*(1-$U$2)))^(grain_size_calculator!$G$20/(0.41*'stage-discharge'!$L20)))*LN(30*$C20*AJ$6/'stage-discharge'!$M20)</f>
        <v>8.7364061688325741E-7</v>
      </c>
      <c r="AK20" s="10">
        <f>(((1-AK$6)*$U$2/(AK$6*(1-$U$2)))^(grain_size_calculator!$G$20/(0.41*'stage-discharge'!$L20)))*LN(30*$C20*AK$6/'stage-discharge'!$M20)</f>
        <v>1.4526900157800806E-7</v>
      </c>
      <c r="AL20" s="10">
        <f>(((1-AL$6)*$U$2/(AL$6*(1-$U$2)))^(grain_size_calculator!$G$20/(0.41*'stage-discharge'!$L20)))*LN(30*$C20*AL$6/'stage-discharge'!$M20)</f>
        <v>3.7438372348440748E-9</v>
      </c>
    </row>
    <row r="21" spans="2:38" x14ac:dyDescent="0.45"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spans="2:38" x14ac:dyDescent="0.45">
      <c r="B22">
        <f>'field data'!C8</f>
        <v>275</v>
      </c>
      <c r="C22" s="3">
        <v>4.5000007297105524</v>
      </c>
      <c r="D22" s="3">
        <f>IF(C22&gt;'field data'!$C$6,'stage-discharge'!C22-'field data'!$C$6,0)</f>
        <v>7.2971055242732064E-7</v>
      </c>
      <c r="E22" s="3">
        <f>(C22*'field data'!$C$5*'field data'!$C$9*((9.81*'field data'!$C$7*'stage-discharge'!C22)^0.5))+'stage-discharge'!D22*'field data'!$C$4*'field data'!$C$12*((9.81*'field data'!$C$11*'stage-discharge'!D22)^0.5)-B22</f>
        <v>6.7288162483691849E-5</v>
      </c>
      <c r="F22" s="12">
        <f>C22*'field data'!$C$7/(1.65*grain_size_calculator!$G$17/1000)</f>
        <v>0.44040800689488513</v>
      </c>
      <c r="G22" s="11">
        <f t="shared" si="5"/>
        <v>0.13758368501485008</v>
      </c>
      <c r="H22" s="3">
        <f t="shared" ref="H22" si="6">G22/F22</f>
        <v>0.3124005078492772</v>
      </c>
      <c r="I22" s="11">
        <f>(G22*1.65*9.81*(grain_size_calculator!$G$17/1000))^0.5</f>
        <v>4.3940063401681911E-2</v>
      </c>
      <c r="J22" s="3">
        <f>I22*(grain_size_calculator!$G$18^0.6)/grain_size_calculator!$G$20</f>
        <v>5.2339695983147472</v>
      </c>
      <c r="K22" s="5">
        <f t="shared" si="2"/>
        <v>5.9318851338922471E-4</v>
      </c>
      <c r="L22" s="11">
        <f>(F22*1.65*9.81*(grain_size_calculator!$G$17/1000))^0.5</f>
        <v>7.8614890460932868E-2</v>
      </c>
      <c r="M22" s="3">
        <f>11*C22/(EXP(0.41*'field data'!$C$9))</f>
        <v>0.70643170553244672</v>
      </c>
      <c r="N22" s="3">
        <f t="shared" ref="N22" si="7">K22*L22*C22*S22/0.41</f>
        <v>1.2730648415144525E-5</v>
      </c>
      <c r="O22" s="4">
        <f>N22*'field data'!$C$5*(1.65+1)*60*60*24*365.25</f>
        <v>79847.55619712075</v>
      </c>
      <c r="P22" s="4">
        <f>O22*'field data'!C33</f>
        <v>0</v>
      </c>
      <c r="Q22" s="4"/>
      <c r="S22" s="11">
        <f t="shared" ref="S22" si="8">SUM(T22:AL22)*$U$3</f>
        <v>2.4872775531558342E-2</v>
      </c>
      <c r="T22" s="10">
        <f>(((1-T$6)*$U$2/(T$6*(1-$U$2)))^(grain_size_calculator!$G$20/(0.41*'stage-discharge'!$L22)))*LN(30*$C22*T$6/'stage-discharge'!$M22)</f>
        <v>0.43459671989717485</v>
      </c>
      <c r="U22" s="10">
        <f>(((1-U$6)*$U$2/(U$6*(1-$U$2)))^(grain_size_calculator!$G$20/(0.41*'stage-discharge'!$L22)))*LN(30*$C22*U$6/'stage-discharge'!$M22)</f>
        <v>4.8141389705025198E-2</v>
      </c>
      <c r="V22" s="10">
        <f>(((1-V$6)*$U$2/(V$6*(1-$U$2)))^(grain_size_calculator!$G$20/(0.41*'stage-discharge'!$L22)))*LN(30*$C22*V$6/'stage-discharge'!$M22)</f>
        <v>1.0142660815227435E-2</v>
      </c>
      <c r="W22" s="10">
        <f>(((1-W$6)*$U$2/(W$6*(1-$U$2)))^(grain_size_calculator!$G$20/(0.41*'stage-discharge'!$L22)))*LN(30*$C22*W$6/'stage-discharge'!$M22)</f>
        <v>2.9139287236384769E-3</v>
      </c>
      <c r="X22" s="10">
        <f>(((1-X$6)*$U$2/(X$6*(1-$U$2)))^(grain_size_calculator!$G$20/(0.41*'stage-discharge'!$L22)))*LN(30*$C22*X$6/'stage-discharge'!$M22)</f>
        <v>1.0000107908249992E-3</v>
      </c>
      <c r="Y22" s="10">
        <f>(((1-Y$6)*$U$2/(Y$6*(1-$U$2)))^(grain_size_calculator!$G$20/(0.41*'stage-discharge'!$L22)))*LN(30*$C22*Y$6/'stage-discharge'!$M22)</f>
        <v>3.8321887743865879E-4</v>
      </c>
      <c r="Z22" s="10">
        <f>(((1-Z$6)*$U$2/(Z$6*(1-$U$2)))^(grain_size_calculator!$G$20/(0.41*'stage-discharge'!$L22)))*LN(30*$C22*Z$6/'stage-discharge'!$M22)</f>
        <v>1.5752931869546553E-4</v>
      </c>
      <c r="AA22" s="10">
        <f>(((1-AA$6)*$U$2/(AA$6*(1-$U$2)))^(grain_size_calculator!$G$20/(0.41*'stage-discharge'!$L22)))*LN(30*$C22*AA$6/'stage-discharge'!$M22)</f>
        <v>6.7608420236863273E-5</v>
      </c>
      <c r="AB22" s="10">
        <f>(((1-AB$6)*$U$2/(AB$6*(1-$U$2)))^(grain_size_calculator!$G$20/(0.41*'stage-discharge'!$L22)))*LN(30*$C22*AB$6/'stage-discharge'!$M22)</f>
        <v>2.9683181126243595E-5</v>
      </c>
      <c r="AC22" s="10">
        <f>(((1-AC$6)*$U$2/(AC$6*(1-$U$2)))^(grain_size_calculator!$G$20/(0.41*'stage-discharge'!$L22)))*LN(30*$C22*AC$6/'stage-discharge'!$M22)</f>
        <v>1.3104058945967138E-5</v>
      </c>
      <c r="AD22" s="10">
        <f>(((1-AD$6)*$U$2/(AD$6*(1-$U$2)))^(grain_size_calculator!$G$20/(0.41*'stage-discharge'!$L22)))*LN(30*$C22*AD$6/'stage-discharge'!$M22)</f>
        <v>5.7221099694928257E-6</v>
      </c>
      <c r="AE22" s="10">
        <f>(((1-AE$6)*$U$2/(AE$6*(1-$U$2)))^(grain_size_calculator!$G$20/(0.41*'stage-discharge'!$L22)))*LN(30*$C22*AE$6/'stage-discharge'!$M22)</f>
        <v>2.4282438235403364E-6</v>
      </c>
      <c r="AF22" s="10">
        <f>(((1-AF$6)*$U$2/(AF$6*(1-$U$2)))^(grain_size_calculator!$G$20/(0.41*'stage-discharge'!$L22)))*LN(30*$C22*AF$6/'stage-discharge'!$M22)</f>
        <v>9.8026259103554139E-7</v>
      </c>
      <c r="AG22" s="10">
        <f>(((1-AG$6)*$U$2/(AG$6*(1-$U$2)))^(grain_size_calculator!$G$20/(0.41*'stage-discharge'!$L22)))*LN(30*$C22*AG$6/'stage-discharge'!$M22)</f>
        <v>3.6575241314936422E-7</v>
      </c>
      <c r="AH22" s="10">
        <f>(((1-AH$6)*$U$2/(AH$6*(1-$U$2)))^(grain_size_calculator!$G$20/(0.41*'stage-discharge'!$L22)))*LN(30*$C22*AH$6/'stage-discharge'!$M22)</f>
        <v>1.2077386507902927E-7</v>
      </c>
      <c r="AI22" s="10">
        <f>(((1-AI$6)*$U$2/(AI$6*(1-$U$2)))^(grain_size_calculator!$G$20/(0.41*'stage-discharge'!$L22)))*LN(30*$C22*AI$6/'stage-discharge'!$M22)</f>
        <v>3.2784239524397182E-8</v>
      </c>
      <c r="AJ22" s="10">
        <f>(((1-AJ$6)*$U$2/(AJ$6*(1-$U$2)))^(grain_size_calculator!$G$20/(0.41*'stage-discharge'!$L22)))*LN(30*$C22*AJ$6/'stage-discharge'!$M22)</f>
        <v>6.3175990666610772E-9</v>
      </c>
      <c r="AK22" s="10">
        <f>(((1-AK$6)*$U$2/(AK$6*(1-$U$2)))^(grain_size_calculator!$G$20/(0.41*'stage-discharge'!$L22)))*LN(30*$C22*AK$6/'stage-discharge'!$M22)</f>
        <v>5.9353871581130481E-10</v>
      </c>
      <c r="AL22" s="10">
        <f>(((1-AL$6)*$U$2/(AL$6*(1-$U$2)))^(grain_size_calculator!$G$20/(0.41*'stage-discharge'!$L22)))*LN(30*$C22*AL$6/'stage-discharge'!$M22)</f>
        <v>4.7931781861434918E-12</v>
      </c>
    </row>
    <row r="24" spans="2:38" x14ac:dyDescent="0.45">
      <c r="E24" t="s">
        <v>70</v>
      </c>
      <c r="F24">
        <f>0.455*(F22^0.353)/100</f>
        <v>3.4063736483864963E-3</v>
      </c>
    </row>
    <row r="25" spans="2:38" x14ac:dyDescent="0.45">
      <c r="E25" t="s">
        <v>71</v>
      </c>
      <c r="F25">
        <f>F24*(L22^3)/(1.65*9.81*(1/(('field data'!C9)^2)))</f>
        <v>1.0984038594385085E-5</v>
      </c>
      <c r="G25" t="s">
        <v>60</v>
      </c>
    </row>
    <row r="26" spans="2:38" x14ac:dyDescent="0.45">
      <c r="E26" t="s">
        <v>72</v>
      </c>
      <c r="F26" s="4">
        <f>F25*'field data'!C5*(1.65+1)*60*60*24*365.25</f>
        <v>68892.691898800636</v>
      </c>
      <c r="G26" t="s">
        <v>40</v>
      </c>
      <c r="H26" t="s">
        <v>75</v>
      </c>
      <c r="O26" t="s">
        <v>67</v>
      </c>
      <c r="P26" s="4">
        <f>SUM(P7:P20)</f>
        <v>54421.776925002967</v>
      </c>
      <c r="Q26" t="s">
        <v>73</v>
      </c>
    </row>
    <row r="27" spans="2:38" x14ac:dyDescent="0.45">
      <c r="O27" t="s">
        <v>68</v>
      </c>
      <c r="P27">
        <f>'field data'!E32/'stage-discharge'!P26</f>
        <v>1.0012083095706699</v>
      </c>
      <c r="Q27" t="s">
        <v>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6110-49E4-40C8-AC3E-02D77813BCDD}">
  <dimension ref="B3:H20"/>
  <sheetViews>
    <sheetView workbookViewId="0">
      <selection activeCell="H21" sqref="H21"/>
    </sheetView>
  </sheetViews>
  <sheetFormatPr defaultRowHeight="14.25" x14ac:dyDescent="0.45"/>
  <sheetData>
    <row r="3" spans="2:8" x14ac:dyDescent="0.45">
      <c r="B3" t="s">
        <v>41</v>
      </c>
      <c r="C3" t="s">
        <v>42</v>
      </c>
      <c r="D3" t="s">
        <v>25</v>
      </c>
      <c r="E3" t="s">
        <v>24</v>
      </c>
      <c r="F3" t="s">
        <v>25</v>
      </c>
    </row>
    <row r="4" spans="2:8" x14ac:dyDescent="0.45">
      <c r="B4" t="s">
        <v>26</v>
      </c>
      <c r="C4" t="s">
        <v>14</v>
      </c>
      <c r="D4" t="s">
        <v>26</v>
      </c>
      <c r="F4" t="s">
        <v>43</v>
      </c>
    </row>
    <row r="5" spans="2:8" x14ac:dyDescent="0.45">
      <c r="B5" s="1">
        <v>3.7100000000000084</v>
      </c>
      <c r="C5" s="1">
        <v>0.99999999999999978</v>
      </c>
      <c r="D5" s="3">
        <f>(B5*B6)^0.5</f>
        <v>2.7239676943752471</v>
      </c>
      <c r="E5">
        <f>C5-C6</f>
        <v>8.9999999999999747E-2</v>
      </c>
      <c r="F5" s="3">
        <f>LOG(D5,2)</f>
        <v>1.4457095934230393</v>
      </c>
      <c r="G5" s="11">
        <f>E5*F5</f>
        <v>0.13011386340807318</v>
      </c>
    </row>
    <row r="6" spans="2:8" x14ac:dyDescent="0.45">
      <c r="B6" s="1">
        <v>1.9999999999999956</v>
      </c>
      <c r="C6" s="1">
        <v>0.91</v>
      </c>
      <c r="D6" s="3">
        <f t="shared" ref="D6:D14" si="0">(B6*B7)^0.5</f>
        <v>1.6733200530681511</v>
      </c>
      <c r="E6">
        <f t="shared" ref="E6:E14" si="1">C6-C7</f>
        <v>0.17000000000000004</v>
      </c>
      <c r="F6" s="3">
        <f t="shared" ref="F6:F14" si="2">LOG(D6,2)</f>
        <v>0.742713413585121</v>
      </c>
      <c r="G6" s="11">
        <f t="shared" ref="G6:G14" si="3">E6*F6</f>
        <v>0.12626128030947059</v>
      </c>
    </row>
    <row r="7" spans="2:8" x14ac:dyDescent="0.45">
      <c r="B7" s="1">
        <v>1.4000000000000032</v>
      </c>
      <c r="C7" s="1">
        <v>0.74</v>
      </c>
      <c r="D7" s="3">
        <f t="shared" si="0"/>
        <v>1.0908712114635715</v>
      </c>
      <c r="E7">
        <f t="shared" si="1"/>
        <v>0.18999999999999995</v>
      </c>
      <c r="F7" s="3">
        <f t="shared" si="2"/>
        <v>0.12548078676660945</v>
      </c>
      <c r="G7" s="11">
        <f t="shared" si="3"/>
        <v>2.3841349485655791E-2</v>
      </c>
    </row>
    <row r="8" spans="2:8" x14ac:dyDescent="0.45">
      <c r="B8" s="1">
        <v>0.84999999999999798</v>
      </c>
      <c r="C8" s="1">
        <v>0.55000000000000004</v>
      </c>
      <c r="D8" s="3">
        <f t="shared" si="0"/>
        <v>0.77685262437607816</v>
      </c>
      <c r="E8">
        <f t="shared" si="1"/>
        <v>0.13000000000000006</v>
      </c>
      <c r="F8" s="3">
        <f t="shared" si="2"/>
        <v>-0.36428716195353283</v>
      </c>
      <c r="G8" s="11">
        <f t="shared" si="3"/>
        <v>-4.7357331053959291E-2</v>
      </c>
    </row>
    <row r="9" spans="2:8" x14ac:dyDescent="0.45">
      <c r="B9" s="1">
        <v>0.71000000000000174</v>
      </c>
      <c r="C9" s="1">
        <v>0.42</v>
      </c>
      <c r="D9" s="3">
        <f t="shared" si="0"/>
        <v>0.6526867548832288</v>
      </c>
      <c r="E9">
        <f t="shared" si="1"/>
        <v>0.12</v>
      </c>
      <c r="F9" s="3">
        <f t="shared" si="2"/>
        <v>-0.61553733221812446</v>
      </c>
      <c r="G9" s="11">
        <f t="shared" si="3"/>
        <v>-7.3864479866174934E-2</v>
      </c>
    </row>
    <row r="10" spans="2:8" x14ac:dyDescent="0.45">
      <c r="B10" s="1">
        <v>0.59999999999999853</v>
      </c>
      <c r="C10" s="1">
        <v>0.3</v>
      </c>
      <c r="D10" s="3">
        <f t="shared" si="0"/>
        <v>0.54772255750516607</v>
      </c>
      <c r="E10">
        <f t="shared" si="1"/>
        <v>0.12</v>
      </c>
      <c r="F10" s="3">
        <f t="shared" si="2"/>
        <v>-0.86848279708310316</v>
      </c>
      <c r="G10" s="11">
        <f t="shared" si="3"/>
        <v>-0.10421793564997238</v>
      </c>
    </row>
    <row r="11" spans="2:8" x14ac:dyDescent="0.45">
      <c r="B11" s="1">
        <v>0.50000000000000111</v>
      </c>
      <c r="C11" s="1">
        <v>0.18</v>
      </c>
      <c r="D11" s="3">
        <f t="shared" si="0"/>
        <v>0.46097722286464438</v>
      </c>
      <c r="E11">
        <f t="shared" si="1"/>
        <v>7.9999999999999988E-2</v>
      </c>
      <c r="F11" s="3">
        <f t="shared" si="2"/>
        <v>-1.1172326268185115</v>
      </c>
      <c r="G11" s="11">
        <f t="shared" si="3"/>
        <v>-8.9378610145480916E-2</v>
      </c>
    </row>
    <row r="12" spans="2:8" x14ac:dyDescent="0.45">
      <c r="B12" s="1">
        <v>0.4249999999999991</v>
      </c>
      <c r="C12" s="1">
        <v>0.1</v>
      </c>
      <c r="D12" s="3">
        <f t="shared" si="0"/>
        <v>0.35707142142714249</v>
      </c>
      <c r="E12">
        <f t="shared" si="1"/>
        <v>7.5000000000000011E-2</v>
      </c>
      <c r="F12" s="3">
        <f t="shared" si="2"/>
        <v>-1.4857154239016148</v>
      </c>
      <c r="G12" s="11">
        <f t="shared" si="3"/>
        <v>-0.11142865679262112</v>
      </c>
    </row>
    <row r="13" spans="2:8" x14ac:dyDescent="0.45">
      <c r="B13" s="1">
        <v>0.30000000000000066</v>
      </c>
      <c r="C13" s="1">
        <v>2.5000000000000001E-2</v>
      </c>
      <c r="D13" s="3">
        <f t="shared" si="0"/>
        <v>0.21213203435596426</v>
      </c>
      <c r="E13">
        <f t="shared" si="1"/>
        <v>2.1000000000000001E-2</v>
      </c>
      <c r="F13" s="3">
        <f t="shared" si="2"/>
        <v>-2.2369655941662061</v>
      </c>
      <c r="G13" s="11">
        <f t="shared" si="3"/>
        <v>-4.6976277477490329E-2</v>
      </c>
    </row>
    <row r="14" spans="2:8" x14ac:dyDescent="0.45">
      <c r="B14" s="1">
        <v>0.14999999999999966</v>
      </c>
      <c r="C14" s="1">
        <v>4.0000000000000001E-3</v>
      </c>
      <c r="D14" s="3">
        <f t="shared" si="0"/>
        <v>0.106066017177982</v>
      </c>
      <c r="E14">
        <f t="shared" si="1"/>
        <v>4.0000000000000001E-3</v>
      </c>
      <c r="F14" s="3">
        <f t="shared" si="2"/>
        <v>-3.2369655941662083</v>
      </c>
      <c r="G14" s="11">
        <f t="shared" si="3"/>
        <v>-1.2947862376664834E-2</v>
      </c>
    </row>
    <row r="15" spans="2:8" x14ac:dyDescent="0.45">
      <c r="B15" s="1">
        <v>7.4999999999999997E-2</v>
      </c>
      <c r="C15" s="1">
        <v>0</v>
      </c>
    </row>
    <row r="16" spans="2:8" x14ac:dyDescent="0.45">
      <c r="E16">
        <f>SUM(E5:E14)</f>
        <v>0.99999999999999989</v>
      </c>
      <c r="F16" t="s">
        <v>44</v>
      </c>
      <c r="G16" s="3">
        <f>SUM(G5:G14)</f>
        <v>-0.20595466015916425</v>
      </c>
      <c r="H16" t="s">
        <v>43</v>
      </c>
    </row>
    <row r="17" spans="6:8" x14ac:dyDescent="0.45">
      <c r="F17" t="s">
        <v>44</v>
      </c>
      <c r="G17" s="3">
        <f>2^G16</f>
        <v>0.86696480934813591</v>
      </c>
      <c r="H17" t="s">
        <v>26</v>
      </c>
    </row>
    <row r="18" spans="6:8" x14ac:dyDescent="0.45">
      <c r="F18" t="s">
        <v>45</v>
      </c>
      <c r="G18" s="9">
        <f>((1.65*9.81*(G17/1000))^0.5)*(G17/1000)/0.000001</f>
        <v>102.70194775300072</v>
      </c>
    </row>
    <row r="19" spans="6:8" x14ac:dyDescent="0.45">
      <c r="F19" t="s">
        <v>52</v>
      </c>
      <c r="G19">
        <v>13.52</v>
      </c>
      <c r="H19" t="s">
        <v>53</v>
      </c>
    </row>
    <row r="20" spans="6:8" x14ac:dyDescent="0.45">
      <c r="F20" t="s">
        <v>52</v>
      </c>
      <c r="G20">
        <f>G19/100</f>
        <v>0.13519999999999999</v>
      </c>
      <c r="H2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data</vt:lpstr>
      <vt:lpstr>stage-discharge</vt:lpstr>
      <vt:lpstr>grain_size_calculator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Viparelli, Enrica</dc:creator>
  <cp:lastModifiedBy>Viparelli, Enrica</cp:lastModifiedBy>
  <dcterms:created xsi:type="dcterms:W3CDTF">2026-08-05T00:32:26Z</dcterms:created>
  <dcterms:modified xsi:type="dcterms:W3CDTF">2026-08-05T05:34:26Z</dcterms:modified>
</cp:coreProperties>
</file>